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office ICS\artaboga\"/>
    </mc:Choice>
  </mc:AlternateContent>
  <xr:revisionPtr revIDLastSave="0" documentId="13_ncr:1_{BA80E4AD-931B-4370-9400-A0D15D2C618A}" xr6:coauthVersionLast="47" xr6:coauthVersionMax="47" xr10:uidLastSave="{00000000-0000-0000-0000-000000000000}"/>
  <bookViews>
    <workbookView xWindow="-60" yWindow="-60" windowWidth="24120" windowHeight="13020" tabRatio="500" firstSheet="4" activeTab="4" xr2:uid="{00000000-000D-0000-FFFF-FFFF00000000}"/>
  </bookViews>
  <sheets>
    <sheet name="README CARA PAKAI" sheetId="1" r:id="rId1"/>
    <sheet name="RAB UPDATE" sheetId="2" r:id="rId2"/>
    <sheet name="BOBOT PEK" sheetId="3" r:id="rId3"/>
    <sheet name="TS INTERNAL LAPANGAN" sheetId="4" state="hidden" r:id="rId4"/>
    <sheet name="TS" sheetId="5" r:id="rId5"/>
    <sheet name="KALENDER MINGGU" sheetId="6" r:id="rId6"/>
    <sheet name="PRODUKTIVITAS HARIAN" sheetId="7" r:id="rId7"/>
    <sheet name="RENCANA MINGGUAN" sheetId="8" r:id="rId8"/>
    <sheet name="CETAK RENCANA MINGGUAN" sheetId="9" r:id="rId9"/>
    <sheet name="VALIDASI TERMIN" sheetId="10" r:id="rId10"/>
  </sheets>
  <definedNames>
    <definedName name="_xlnm._FilterDatabase" localSheetId="7" hidden="1">'RENCANA MINGGUAN'!$A$16:$P$160</definedName>
    <definedName name="_xlnm.Print_Area" localSheetId="8">'CETAK RENCANA MINGGUAN'!$A$1:$P$32</definedName>
    <definedName name="_xlnm.Print_Area" localSheetId="5">'KALENDER MINGGU'!$A$5:$C$21</definedName>
    <definedName name="_xlnm.Print_Area" localSheetId="4">TS!$A$5:$AC$73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C11" i="7" l="1"/>
  <c r="BK12" i="7"/>
  <c r="BK54" i="7"/>
  <c r="BH95" i="7"/>
  <c r="BH91" i="7"/>
  <c r="BC80" i="7"/>
  <c r="BA80" i="7"/>
  <c r="BB128" i="7"/>
  <c r="J128" i="7" s="1"/>
  <c r="M128" i="7" s="1"/>
  <c r="BA128" i="7"/>
  <c r="BB80" i="7"/>
  <c r="AV143" i="7"/>
  <c r="C75" i="5"/>
  <c r="C76" i="5" s="1"/>
  <c r="BA98" i="7"/>
  <c r="AX80" i="7"/>
  <c r="AU109" i="7"/>
  <c r="AU107" i="7"/>
  <c r="AV69" i="7"/>
  <c r="AV115" i="7"/>
  <c r="AT130" i="7"/>
  <c r="AV11" i="7"/>
  <c r="F609" i="8"/>
  <c r="D609" i="8"/>
  <c r="A609" i="8"/>
  <c r="H609" i="8" s="1"/>
  <c r="H608" i="8"/>
  <c r="F608" i="8"/>
  <c r="D608" i="8"/>
  <c r="A608" i="8"/>
  <c r="F607" i="8"/>
  <c r="D607" i="8"/>
  <c r="A607" i="8"/>
  <c r="F606" i="8"/>
  <c r="D606" i="8"/>
  <c r="A606" i="8"/>
  <c r="H605" i="8"/>
  <c r="F605" i="8"/>
  <c r="D605" i="8"/>
  <c r="A605" i="8"/>
  <c r="H604" i="8"/>
  <c r="F604" i="8"/>
  <c r="D604" i="8"/>
  <c r="A604" i="8"/>
  <c r="F603" i="8"/>
  <c r="D603" i="8"/>
  <c r="A603" i="8"/>
  <c r="H603" i="8" s="1"/>
  <c r="H602" i="8"/>
  <c r="F602" i="8"/>
  <c r="D602" i="8"/>
  <c r="A602" i="8"/>
  <c r="F601" i="8"/>
  <c r="D601" i="8"/>
  <c r="A601" i="8"/>
  <c r="H601" i="8" s="1"/>
  <c r="H600" i="8"/>
  <c r="F600" i="8"/>
  <c r="D600" i="8"/>
  <c r="A600" i="8"/>
  <c r="F599" i="8"/>
  <c r="D599" i="8"/>
  <c r="A599" i="8"/>
  <c r="F598" i="8"/>
  <c r="D598" i="8"/>
  <c r="A598" i="8"/>
  <c r="H597" i="8"/>
  <c r="F597" i="8"/>
  <c r="D597" i="8"/>
  <c r="A597" i="8"/>
  <c r="F596" i="8"/>
  <c r="D596" i="8"/>
  <c r="A596" i="8"/>
  <c r="H596" i="8" s="1"/>
  <c r="F595" i="8"/>
  <c r="D595" i="8"/>
  <c r="A595" i="8"/>
  <c r="F594" i="8"/>
  <c r="D594" i="8"/>
  <c r="A594" i="8"/>
  <c r="H594" i="8" s="1"/>
  <c r="F593" i="8"/>
  <c r="D593" i="8"/>
  <c r="A593" i="8"/>
  <c r="H593" i="8" s="1"/>
  <c r="F592" i="8"/>
  <c r="D592" i="8"/>
  <c r="A592" i="8"/>
  <c r="H592" i="8" s="1"/>
  <c r="F591" i="8"/>
  <c r="D591" i="8"/>
  <c r="A591" i="8"/>
  <c r="F590" i="8"/>
  <c r="D590" i="8"/>
  <c r="A590" i="8"/>
  <c r="F589" i="8"/>
  <c r="D589" i="8"/>
  <c r="A589" i="8"/>
  <c r="H589" i="8" s="1"/>
  <c r="F588" i="8"/>
  <c r="D588" i="8"/>
  <c r="A588" i="8"/>
  <c r="H588" i="8" s="1"/>
  <c r="F587" i="8"/>
  <c r="D587" i="8"/>
  <c r="A587" i="8"/>
  <c r="H587" i="8" s="1"/>
  <c r="F586" i="8"/>
  <c r="D586" i="8"/>
  <c r="A586" i="8"/>
  <c r="H586" i="8" s="1"/>
  <c r="F585" i="8"/>
  <c r="D585" i="8"/>
  <c r="A585" i="8"/>
  <c r="H585" i="8" s="1"/>
  <c r="F584" i="8"/>
  <c r="D584" i="8"/>
  <c r="A584" i="8"/>
  <c r="H584" i="8" s="1"/>
  <c r="F583" i="8"/>
  <c r="D583" i="8"/>
  <c r="A583" i="8"/>
  <c r="F582" i="8"/>
  <c r="D582" i="8"/>
  <c r="A582" i="8"/>
  <c r="H581" i="8"/>
  <c r="F581" i="8"/>
  <c r="D581" i="8"/>
  <c r="A581" i="8"/>
  <c r="H580" i="8"/>
  <c r="F580" i="8"/>
  <c r="D580" i="8"/>
  <c r="A580" i="8"/>
  <c r="F579" i="8"/>
  <c r="D579" i="8"/>
  <c r="A579" i="8"/>
  <c r="F578" i="8"/>
  <c r="D578" i="8"/>
  <c r="A578" i="8"/>
  <c r="H578" i="8" s="1"/>
  <c r="F577" i="8"/>
  <c r="D577" i="8"/>
  <c r="A577" i="8"/>
  <c r="H577" i="8" s="1"/>
  <c r="H576" i="8"/>
  <c r="F576" i="8"/>
  <c r="D576" i="8"/>
  <c r="A576" i="8"/>
  <c r="F575" i="8"/>
  <c r="D575" i="8"/>
  <c r="A575" i="8"/>
  <c r="F574" i="8"/>
  <c r="D574" i="8"/>
  <c r="A574" i="8"/>
  <c r="F573" i="8"/>
  <c r="D573" i="8"/>
  <c r="A573" i="8"/>
  <c r="H573" i="8" s="1"/>
  <c r="H572" i="8"/>
  <c r="F572" i="8"/>
  <c r="D572" i="8"/>
  <c r="A572" i="8"/>
  <c r="F571" i="8"/>
  <c r="D571" i="8"/>
  <c r="A571" i="8"/>
  <c r="H571" i="8" s="1"/>
  <c r="H570" i="8"/>
  <c r="F570" i="8"/>
  <c r="D570" i="8"/>
  <c r="A570" i="8"/>
  <c r="F569" i="8"/>
  <c r="D569" i="8"/>
  <c r="A569" i="8"/>
  <c r="H569" i="8" s="1"/>
  <c r="H568" i="8"/>
  <c r="F568" i="8"/>
  <c r="D568" i="8"/>
  <c r="A568" i="8"/>
  <c r="F567" i="8"/>
  <c r="D567" i="8"/>
  <c r="A567" i="8"/>
  <c r="F566" i="8"/>
  <c r="D566" i="8"/>
  <c r="A566" i="8"/>
  <c r="H565" i="8"/>
  <c r="F565" i="8"/>
  <c r="D565" i="8"/>
  <c r="A565" i="8"/>
  <c r="H564" i="8"/>
  <c r="F564" i="8"/>
  <c r="D564" i="8"/>
  <c r="A564" i="8"/>
  <c r="F563" i="8"/>
  <c r="D563" i="8"/>
  <c r="A563" i="8"/>
  <c r="H562" i="8"/>
  <c r="F562" i="8"/>
  <c r="D562" i="8"/>
  <c r="A562" i="8"/>
  <c r="F561" i="8"/>
  <c r="D561" i="8"/>
  <c r="A561" i="8"/>
  <c r="H561" i="8" s="1"/>
  <c r="H560" i="8"/>
  <c r="F560" i="8"/>
  <c r="D560" i="8"/>
  <c r="A560" i="8"/>
  <c r="F559" i="8"/>
  <c r="D559" i="8"/>
  <c r="A559" i="8"/>
  <c r="F558" i="8"/>
  <c r="D558" i="8"/>
  <c r="A558" i="8"/>
  <c r="H557" i="8"/>
  <c r="F557" i="8"/>
  <c r="D557" i="8"/>
  <c r="A557" i="8"/>
  <c r="F556" i="8"/>
  <c r="D556" i="8"/>
  <c r="A556" i="8"/>
  <c r="H556" i="8" s="1"/>
  <c r="F555" i="8"/>
  <c r="D555" i="8"/>
  <c r="A555" i="8"/>
  <c r="F554" i="8"/>
  <c r="D554" i="8"/>
  <c r="A554" i="8"/>
  <c r="F553" i="8"/>
  <c r="D553" i="8"/>
  <c r="A553" i="8"/>
  <c r="H553" i="8" s="1"/>
  <c r="F552" i="8"/>
  <c r="D552" i="8"/>
  <c r="A552" i="8"/>
  <c r="H552" i="8" s="1"/>
  <c r="F551" i="8"/>
  <c r="D551" i="8"/>
  <c r="A551" i="8"/>
  <c r="F550" i="8"/>
  <c r="D550" i="8"/>
  <c r="A550" i="8"/>
  <c r="F549" i="8"/>
  <c r="D549" i="8"/>
  <c r="A549" i="8"/>
  <c r="H549" i="8" s="1"/>
  <c r="F548" i="8"/>
  <c r="D548" i="8"/>
  <c r="A548" i="8"/>
  <c r="F547" i="8"/>
  <c r="D547" i="8"/>
  <c r="A547" i="8"/>
  <c r="F546" i="8"/>
  <c r="D546" i="8"/>
  <c r="A546" i="8"/>
  <c r="H546" i="8" s="1"/>
  <c r="F545" i="8"/>
  <c r="D545" i="8"/>
  <c r="A545" i="8"/>
  <c r="H545" i="8" s="1"/>
  <c r="F544" i="8"/>
  <c r="D544" i="8"/>
  <c r="A544" i="8"/>
  <c r="H544" i="8" s="1"/>
  <c r="F543" i="8"/>
  <c r="D543" i="8"/>
  <c r="A543" i="8"/>
  <c r="F542" i="8"/>
  <c r="D542" i="8"/>
  <c r="A542" i="8"/>
  <c r="H541" i="8"/>
  <c r="F541" i="8"/>
  <c r="D541" i="8"/>
  <c r="A541" i="8"/>
  <c r="H540" i="8"/>
  <c r="F540" i="8"/>
  <c r="D540" i="8"/>
  <c r="A540" i="8"/>
  <c r="F539" i="8"/>
  <c r="D539" i="8"/>
  <c r="A539" i="8"/>
  <c r="F538" i="8"/>
  <c r="D538" i="8"/>
  <c r="A538" i="8"/>
  <c r="F537" i="8"/>
  <c r="D537" i="8"/>
  <c r="A537" i="8"/>
  <c r="H537" i="8" s="1"/>
  <c r="H536" i="8"/>
  <c r="F536" i="8"/>
  <c r="D536" i="8"/>
  <c r="A536" i="8"/>
  <c r="F535" i="8"/>
  <c r="D535" i="8"/>
  <c r="A535" i="8"/>
  <c r="H535" i="8" s="1"/>
  <c r="F534" i="8"/>
  <c r="D534" i="8"/>
  <c r="A534" i="8"/>
  <c r="H534" i="8" s="1"/>
  <c r="F533" i="8"/>
  <c r="D533" i="8"/>
  <c r="A533" i="8"/>
  <c r="H533" i="8" s="1"/>
  <c r="F532" i="8"/>
  <c r="D532" i="8"/>
  <c r="A532" i="8"/>
  <c r="F531" i="8"/>
  <c r="D531" i="8"/>
  <c r="A531" i="8"/>
  <c r="F530" i="8"/>
  <c r="D530" i="8"/>
  <c r="A530" i="8"/>
  <c r="H529" i="8"/>
  <c r="F529" i="8"/>
  <c r="D529" i="8"/>
  <c r="A529" i="8"/>
  <c r="F528" i="8"/>
  <c r="D528" i="8"/>
  <c r="A528" i="8"/>
  <c r="F527" i="8"/>
  <c r="D527" i="8"/>
  <c r="A527" i="8"/>
  <c r="H526" i="8"/>
  <c r="F526" i="8"/>
  <c r="D526" i="8"/>
  <c r="A526" i="8"/>
  <c r="H525" i="8"/>
  <c r="F525" i="8"/>
  <c r="D525" i="8"/>
  <c r="A525" i="8"/>
  <c r="F524" i="8"/>
  <c r="D524" i="8"/>
  <c r="A524" i="8"/>
  <c r="F523" i="8"/>
  <c r="D523" i="8"/>
  <c r="A523" i="8"/>
  <c r="F522" i="8"/>
  <c r="D522" i="8"/>
  <c r="A522" i="8"/>
  <c r="H521" i="8"/>
  <c r="F521" i="8"/>
  <c r="D521" i="8"/>
  <c r="A521" i="8"/>
  <c r="F520" i="8"/>
  <c r="D520" i="8"/>
  <c r="A520" i="8"/>
  <c r="F519" i="8"/>
  <c r="D519" i="8"/>
  <c r="A519" i="8"/>
  <c r="F518" i="8"/>
  <c r="D518" i="8"/>
  <c r="A518" i="8"/>
  <c r="H518" i="8" s="1"/>
  <c r="F517" i="8"/>
  <c r="D517" i="8"/>
  <c r="A517" i="8"/>
  <c r="H517" i="8" s="1"/>
  <c r="F516" i="8"/>
  <c r="D516" i="8"/>
  <c r="A516" i="8"/>
  <c r="F515" i="8"/>
  <c r="D515" i="8"/>
  <c r="A515" i="8"/>
  <c r="F514" i="8"/>
  <c r="D514" i="8"/>
  <c r="A514" i="8"/>
  <c r="H514" i="8" s="1"/>
  <c r="F513" i="8"/>
  <c r="D513" i="8"/>
  <c r="A513" i="8"/>
  <c r="H513" i="8" s="1"/>
  <c r="F512" i="8"/>
  <c r="D512" i="8"/>
  <c r="A512" i="8"/>
  <c r="H512" i="8" s="1"/>
  <c r="F511" i="8"/>
  <c r="D511" i="8"/>
  <c r="A511" i="8"/>
  <c r="H511" i="8" s="1"/>
  <c r="H510" i="8"/>
  <c r="F510" i="8"/>
  <c r="D510" i="8"/>
  <c r="A510" i="8"/>
  <c r="F509" i="8"/>
  <c r="D509" i="8"/>
  <c r="A509" i="8"/>
  <c r="F508" i="8"/>
  <c r="D508" i="8"/>
  <c r="A508" i="8"/>
  <c r="H508" i="8" s="1"/>
  <c r="F507" i="8"/>
  <c r="D507" i="8"/>
  <c r="A507" i="8"/>
  <c r="F506" i="8"/>
  <c r="D506" i="8"/>
  <c r="A506" i="8"/>
  <c r="F505" i="8"/>
  <c r="D505" i="8"/>
  <c r="A505" i="8"/>
  <c r="H505" i="8" s="1"/>
  <c r="F504" i="8"/>
  <c r="D504" i="8"/>
  <c r="A504" i="8"/>
  <c r="H504" i="8" s="1"/>
  <c r="H503" i="8"/>
  <c r="F503" i="8"/>
  <c r="D503" i="8"/>
  <c r="A503" i="8"/>
  <c r="F502" i="8"/>
  <c r="D502" i="8"/>
  <c r="A502" i="8"/>
  <c r="F501" i="8"/>
  <c r="D501" i="8"/>
  <c r="A501" i="8"/>
  <c r="H500" i="8"/>
  <c r="F500" i="8"/>
  <c r="D500" i="8"/>
  <c r="A500" i="8"/>
  <c r="F499" i="8"/>
  <c r="D499" i="8"/>
  <c r="A499" i="8"/>
  <c r="H499" i="8" s="1"/>
  <c r="F498" i="8"/>
  <c r="D498" i="8"/>
  <c r="A498" i="8"/>
  <c r="F497" i="8"/>
  <c r="D497" i="8"/>
  <c r="A497" i="8"/>
  <c r="H496" i="8"/>
  <c r="F496" i="8"/>
  <c r="D496" i="8"/>
  <c r="A496" i="8"/>
  <c r="H495" i="8"/>
  <c r="F495" i="8"/>
  <c r="D495" i="8"/>
  <c r="A495" i="8"/>
  <c r="F494" i="8"/>
  <c r="D494" i="8"/>
  <c r="A494" i="8"/>
  <c r="F493" i="8"/>
  <c r="D493" i="8"/>
  <c r="A493" i="8"/>
  <c r="H492" i="8"/>
  <c r="F492" i="8"/>
  <c r="D492" i="8"/>
  <c r="A492" i="8"/>
  <c r="H491" i="8"/>
  <c r="F491" i="8"/>
  <c r="D491" i="8"/>
  <c r="A491" i="8"/>
  <c r="F490" i="8"/>
  <c r="D490" i="8"/>
  <c r="A490" i="8"/>
  <c r="F489" i="8"/>
  <c r="D489" i="8"/>
  <c r="A489" i="8"/>
  <c r="F488" i="8"/>
  <c r="D488" i="8"/>
  <c r="A488" i="8"/>
  <c r="H488" i="8" s="1"/>
  <c r="F487" i="8"/>
  <c r="D487" i="8"/>
  <c r="A487" i="8"/>
  <c r="H487" i="8" s="1"/>
  <c r="F486" i="8"/>
  <c r="D486" i="8"/>
  <c r="A486" i="8"/>
  <c r="F485" i="8"/>
  <c r="D485" i="8"/>
  <c r="A485" i="8"/>
  <c r="H484" i="8"/>
  <c r="F484" i="8"/>
  <c r="D484" i="8"/>
  <c r="A484" i="8"/>
  <c r="H483" i="8"/>
  <c r="F483" i="8"/>
  <c r="D483" i="8"/>
  <c r="A483" i="8"/>
  <c r="F482" i="8"/>
  <c r="D482" i="8"/>
  <c r="A482" i="8"/>
  <c r="F481" i="8"/>
  <c r="D481" i="8"/>
  <c r="A481" i="8"/>
  <c r="H480" i="8"/>
  <c r="F480" i="8"/>
  <c r="D480" i="8"/>
  <c r="A480" i="8"/>
  <c r="H479" i="8"/>
  <c r="F479" i="8"/>
  <c r="D479" i="8"/>
  <c r="A479" i="8"/>
  <c r="F478" i="8"/>
  <c r="D478" i="8"/>
  <c r="A478" i="8"/>
  <c r="F477" i="8"/>
  <c r="D477" i="8"/>
  <c r="A477" i="8"/>
  <c r="F476" i="8"/>
  <c r="D476" i="8"/>
  <c r="A476" i="8"/>
  <c r="H476" i="8" s="1"/>
  <c r="F475" i="8"/>
  <c r="D475" i="8"/>
  <c r="A475" i="8"/>
  <c r="H475" i="8" s="1"/>
  <c r="F474" i="8"/>
  <c r="D474" i="8"/>
  <c r="A474" i="8"/>
  <c r="F473" i="8"/>
  <c r="D473" i="8"/>
  <c r="A473" i="8"/>
  <c r="F472" i="8"/>
  <c r="D472" i="8"/>
  <c r="A472" i="8"/>
  <c r="H472" i="8" s="1"/>
  <c r="F471" i="8"/>
  <c r="D471" i="8"/>
  <c r="A471" i="8"/>
  <c r="H471" i="8" s="1"/>
  <c r="F470" i="8"/>
  <c r="D470" i="8"/>
  <c r="A470" i="8"/>
  <c r="F469" i="8"/>
  <c r="D469" i="8"/>
  <c r="A469" i="8"/>
  <c r="F468" i="8"/>
  <c r="D468" i="8"/>
  <c r="A468" i="8"/>
  <c r="H468" i="8" s="1"/>
  <c r="F467" i="8"/>
  <c r="D467" i="8"/>
  <c r="A467" i="8"/>
  <c r="H467" i="8" s="1"/>
  <c r="F466" i="8"/>
  <c r="D466" i="8"/>
  <c r="A466" i="8"/>
  <c r="H466" i="8" s="1"/>
  <c r="F465" i="8"/>
  <c r="D465" i="8"/>
  <c r="A465" i="8"/>
  <c r="F464" i="8"/>
  <c r="D464" i="8"/>
  <c r="A464" i="8"/>
  <c r="H464" i="8" s="1"/>
  <c r="H463" i="8"/>
  <c r="F463" i="8"/>
  <c r="D463" i="8"/>
  <c r="A463" i="8"/>
  <c r="F462" i="8"/>
  <c r="D462" i="8"/>
  <c r="A462" i="8"/>
  <c r="F461" i="8"/>
  <c r="D461" i="8"/>
  <c r="A461" i="8"/>
  <c r="H461" i="8" s="1"/>
  <c r="H460" i="8"/>
  <c r="F460" i="8"/>
  <c r="D460" i="8"/>
  <c r="A460" i="8"/>
  <c r="F459" i="8"/>
  <c r="D459" i="8"/>
  <c r="A459" i="8"/>
  <c r="F458" i="8"/>
  <c r="D458" i="8"/>
  <c r="A458" i="8"/>
  <c r="F457" i="8"/>
  <c r="D457" i="8"/>
  <c r="A457" i="8"/>
  <c r="H456" i="8"/>
  <c r="F456" i="8"/>
  <c r="D456" i="8"/>
  <c r="A456" i="8"/>
  <c r="H455" i="8"/>
  <c r="F455" i="8"/>
  <c r="D455" i="8"/>
  <c r="A455" i="8"/>
  <c r="F454" i="8"/>
  <c r="D454" i="8"/>
  <c r="A454" i="8"/>
  <c r="F453" i="8"/>
  <c r="D453" i="8"/>
  <c r="A453" i="8"/>
  <c r="H452" i="8"/>
  <c r="F452" i="8"/>
  <c r="D452" i="8"/>
  <c r="A452" i="8"/>
  <c r="F451" i="8"/>
  <c r="D451" i="8"/>
  <c r="A451" i="8"/>
  <c r="H450" i="8"/>
  <c r="F450" i="8"/>
  <c r="D450" i="8"/>
  <c r="A450" i="8"/>
  <c r="F449" i="8"/>
  <c r="D449" i="8"/>
  <c r="A449" i="8"/>
  <c r="H448" i="8"/>
  <c r="F448" i="8"/>
  <c r="D448" i="8"/>
  <c r="A448" i="8"/>
  <c r="F447" i="8"/>
  <c r="D447" i="8"/>
  <c r="A447" i="8"/>
  <c r="H447" i="8" s="1"/>
  <c r="F446" i="8"/>
  <c r="D446" i="8"/>
  <c r="A446" i="8"/>
  <c r="F445" i="8"/>
  <c r="D445" i="8"/>
  <c r="A445" i="8"/>
  <c r="H444" i="8"/>
  <c r="F444" i="8"/>
  <c r="D444" i="8"/>
  <c r="A444" i="8"/>
  <c r="F443" i="8"/>
  <c r="D443" i="8"/>
  <c r="A443" i="8"/>
  <c r="F442" i="8"/>
  <c r="D442" i="8"/>
  <c r="A442" i="8"/>
  <c r="F441" i="8"/>
  <c r="D441" i="8"/>
  <c r="A441" i="8"/>
  <c r="H440" i="8"/>
  <c r="F440" i="8"/>
  <c r="D440" i="8"/>
  <c r="A440" i="8"/>
  <c r="H439" i="8"/>
  <c r="F439" i="8"/>
  <c r="D439" i="8"/>
  <c r="A439" i="8"/>
  <c r="F438" i="8"/>
  <c r="D438" i="8"/>
  <c r="A438" i="8"/>
  <c r="F437" i="8"/>
  <c r="D437" i="8"/>
  <c r="A437" i="8"/>
  <c r="H436" i="8"/>
  <c r="F436" i="8"/>
  <c r="D436" i="8"/>
  <c r="A436" i="8"/>
  <c r="F435" i="8"/>
  <c r="D435" i="8"/>
  <c r="A435" i="8"/>
  <c r="F434" i="8"/>
  <c r="D434" i="8"/>
  <c r="A434" i="8"/>
  <c r="F433" i="8"/>
  <c r="D433" i="8"/>
  <c r="A433" i="8"/>
  <c r="H432" i="8"/>
  <c r="F432" i="8"/>
  <c r="D432" i="8"/>
  <c r="A432" i="8"/>
  <c r="H431" i="8"/>
  <c r="F431" i="8"/>
  <c r="D431" i="8"/>
  <c r="A431" i="8"/>
  <c r="F430" i="8"/>
  <c r="D430" i="8"/>
  <c r="A430" i="8"/>
  <c r="F429" i="8"/>
  <c r="D429" i="8"/>
  <c r="A429" i="8"/>
  <c r="H428" i="8"/>
  <c r="F428" i="8"/>
  <c r="D428" i="8"/>
  <c r="A428" i="8"/>
  <c r="F427" i="8"/>
  <c r="D427" i="8"/>
  <c r="A427" i="8"/>
  <c r="F426" i="8"/>
  <c r="D426" i="8"/>
  <c r="A426" i="8"/>
  <c r="H426" i="8" s="1"/>
  <c r="H425" i="8"/>
  <c r="F425" i="8"/>
  <c r="D425" i="8"/>
  <c r="A425" i="8"/>
  <c r="H424" i="8"/>
  <c r="F424" i="8"/>
  <c r="D424" i="8"/>
  <c r="A424" i="8"/>
  <c r="H423" i="8"/>
  <c r="F423" i="8"/>
  <c r="D423" i="8"/>
  <c r="A423" i="8"/>
  <c r="F422" i="8"/>
  <c r="D422" i="8"/>
  <c r="A422" i="8"/>
  <c r="H422" i="8" s="1"/>
  <c r="F421" i="8"/>
  <c r="D421" i="8"/>
  <c r="A421" i="8"/>
  <c r="H421" i="8" s="1"/>
  <c r="F420" i="8"/>
  <c r="D420" i="8"/>
  <c r="A420" i="8"/>
  <c r="F419" i="8"/>
  <c r="D419" i="8"/>
  <c r="A419" i="8"/>
  <c r="F418" i="8"/>
  <c r="D418" i="8"/>
  <c r="A418" i="8"/>
  <c r="H418" i="8" s="1"/>
  <c r="F417" i="8"/>
  <c r="D417" i="8"/>
  <c r="A417" i="8"/>
  <c r="H416" i="8"/>
  <c r="F416" i="8"/>
  <c r="D416" i="8"/>
  <c r="A416" i="8"/>
  <c r="H415" i="8"/>
  <c r="F415" i="8"/>
  <c r="D415" i="8"/>
  <c r="A415" i="8"/>
  <c r="F414" i="8"/>
  <c r="D414" i="8"/>
  <c r="A414" i="8"/>
  <c r="H414" i="8" s="1"/>
  <c r="F413" i="8"/>
  <c r="D413" i="8"/>
  <c r="A413" i="8"/>
  <c r="H413" i="8" s="1"/>
  <c r="F412" i="8"/>
  <c r="D412" i="8"/>
  <c r="A412" i="8"/>
  <c r="F411" i="8"/>
  <c r="D411" i="8"/>
  <c r="A411" i="8"/>
  <c r="F410" i="8"/>
  <c r="D410" i="8"/>
  <c r="A410" i="8"/>
  <c r="H410" i="8" s="1"/>
  <c r="F409" i="8"/>
  <c r="D409" i="8"/>
  <c r="A409" i="8"/>
  <c r="H409" i="8" s="1"/>
  <c r="H408" i="8"/>
  <c r="F408" i="8"/>
  <c r="D408" i="8"/>
  <c r="A408" i="8"/>
  <c r="F407" i="8"/>
  <c r="D407" i="8"/>
  <c r="A407" i="8"/>
  <c r="H406" i="8"/>
  <c r="F406" i="8"/>
  <c r="D406" i="8"/>
  <c r="A406" i="8"/>
  <c r="H405" i="8"/>
  <c r="F405" i="8"/>
  <c r="D405" i="8"/>
  <c r="A405" i="8"/>
  <c r="F404" i="8"/>
  <c r="D404" i="8"/>
  <c r="A404" i="8"/>
  <c r="F403" i="8"/>
  <c r="D403" i="8"/>
  <c r="A403" i="8"/>
  <c r="F402" i="8"/>
  <c r="D402" i="8"/>
  <c r="A402" i="8"/>
  <c r="H402" i="8" s="1"/>
  <c r="F401" i="8"/>
  <c r="D401" i="8"/>
  <c r="A401" i="8"/>
  <c r="F400" i="8"/>
  <c r="D400" i="8"/>
  <c r="A400" i="8"/>
  <c r="F399" i="8"/>
  <c r="D399" i="8"/>
  <c r="A399" i="8"/>
  <c r="F398" i="8"/>
  <c r="D398" i="8"/>
  <c r="A398" i="8"/>
  <c r="H398" i="8" s="1"/>
  <c r="F397" i="8"/>
  <c r="D397" i="8"/>
  <c r="A397" i="8"/>
  <c r="H397" i="8" s="1"/>
  <c r="F396" i="8"/>
  <c r="D396" i="8"/>
  <c r="A396" i="8"/>
  <c r="F395" i="8"/>
  <c r="D395" i="8"/>
  <c r="A395" i="8"/>
  <c r="F394" i="8"/>
  <c r="D394" i="8"/>
  <c r="A394" i="8"/>
  <c r="H394" i="8" s="1"/>
  <c r="F393" i="8"/>
  <c r="D393" i="8"/>
  <c r="A393" i="8"/>
  <c r="F392" i="8"/>
  <c r="D392" i="8"/>
  <c r="A392" i="8"/>
  <c r="F391" i="8"/>
  <c r="D391" i="8"/>
  <c r="A391" i="8"/>
  <c r="H390" i="8"/>
  <c r="F390" i="8"/>
  <c r="D390" i="8"/>
  <c r="A390" i="8"/>
  <c r="H389" i="8"/>
  <c r="F389" i="8"/>
  <c r="D389" i="8"/>
  <c r="A389" i="8"/>
  <c r="F388" i="8"/>
  <c r="D388" i="8"/>
  <c r="A388" i="8"/>
  <c r="F387" i="8"/>
  <c r="D387" i="8"/>
  <c r="A387" i="8"/>
  <c r="H386" i="8"/>
  <c r="F386" i="8"/>
  <c r="D386" i="8"/>
  <c r="A386" i="8"/>
  <c r="F385" i="8"/>
  <c r="D385" i="8"/>
  <c r="A385" i="8"/>
  <c r="F384" i="8"/>
  <c r="D384" i="8"/>
  <c r="A384" i="8"/>
  <c r="F383" i="8"/>
  <c r="D383" i="8"/>
  <c r="A383" i="8"/>
  <c r="H382" i="8"/>
  <c r="F382" i="8"/>
  <c r="D382" i="8"/>
  <c r="A382" i="8"/>
  <c r="H381" i="8"/>
  <c r="F381" i="8"/>
  <c r="D381" i="8"/>
  <c r="A381" i="8"/>
  <c r="F380" i="8"/>
  <c r="D380" i="8"/>
  <c r="A380" i="8"/>
  <c r="F379" i="8"/>
  <c r="D379" i="8"/>
  <c r="A379" i="8"/>
  <c r="H378" i="8"/>
  <c r="F378" i="8"/>
  <c r="D378" i="8"/>
  <c r="A378" i="8"/>
  <c r="F377" i="8"/>
  <c r="D377" i="8"/>
  <c r="A377" i="8"/>
  <c r="F376" i="8"/>
  <c r="D376" i="8"/>
  <c r="A376" i="8"/>
  <c r="F375" i="8"/>
  <c r="D375" i="8"/>
  <c r="A375" i="8"/>
  <c r="H375" i="8" s="1"/>
  <c r="H374" i="8"/>
  <c r="F374" i="8"/>
  <c r="D374" i="8"/>
  <c r="A374" i="8"/>
  <c r="H373" i="8"/>
  <c r="F373" i="8"/>
  <c r="D373" i="8"/>
  <c r="A373" i="8"/>
  <c r="F372" i="8"/>
  <c r="D372" i="8"/>
  <c r="A372" i="8"/>
  <c r="F371" i="8"/>
  <c r="D371" i="8"/>
  <c r="A371" i="8"/>
  <c r="H370" i="8"/>
  <c r="F370" i="8"/>
  <c r="D370" i="8"/>
  <c r="A370" i="8"/>
  <c r="F369" i="8"/>
  <c r="D369" i="8"/>
  <c r="A369" i="8"/>
  <c r="F368" i="8"/>
  <c r="D368" i="8"/>
  <c r="A368" i="8"/>
  <c r="F367" i="8"/>
  <c r="D367" i="8"/>
  <c r="A367" i="8"/>
  <c r="H367" i="8" s="1"/>
  <c r="H366" i="8"/>
  <c r="F366" i="8"/>
  <c r="D366" i="8"/>
  <c r="A366" i="8"/>
  <c r="H365" i="8"/>
  <c r="F365" i="8"/>
  <c r="D365" i="8"/>
  <c r="A365" i="8"/>
  <c r="F364" i="8"/>
  <c r="D364" i="8"/>
  <c r="A364" i="8"/>
  <c r="H364" i="8" s="1"/>
  <c r="F363" i="8"/>
  <c r="D363" i="8"/>
  <c r="A363" i="8"/>
  <c r="H363" i="8" s="1"/>
  <c r="H362" i="8"/>
  <c r="F362" i="8"/>
  <c r="D362" i="8"/>
  <c r="A362" i="8"/>
  <c r="H361" i="8"/>
  <c r="F361" i="8"/>
  <c r="D361" i="8"/>
  <c r="A361" i="8"/>
  <c r="F360" i="8"/>
  <c r="D360" i="8"/>
  <c r="A360" i="8"/>
  <c r="H360" i="8" s="1"/>
  <c r="F359" i="8"/>
  <c r="D359" i="8"/>
  <c r="A359" i="8"/>
  <c r="F358" i="8"/>
  <c r="D358" i="8"/>
  <c r="A358" i="8"/>
  <c r="F357" i="8"/>
  <c r="D357" i="8"/>
  <c r="A357" i="8"/>
  <c r="H357" i="8" s="1"/>
  <c r="F356" i="8"/>
  <c r="D356" i="8"/>
  <c r="A356" i="8"/>
  <c r="H355" i="8"/>
  <c r="F355" i="8"/>
  <c r="D355" i="8"/>
  <c r="A355" i="8"/>
  <c r="H354" i="8"/>
  <c r="F354" i="8"/>
  <c r="D354" i="8"/>
  <c r="A354" i="8"/>
  <c r="H353" i="8"/>
  <c r="F353" i="8"/>
  <c r="D353" i="8"/>
  <c r="A353" i="8"/>
  <c r="F352" i="8"/>
  <c r="D352" i="8"/>
  <c r="A352" i="8"/>
  <c r="F351" i="8"/>
  <c r="D351" i="8"/>
  <c r="A351" i="8"/>
  <c r="H350" i="8"/>
  <c r="F350" i="8"/>
  <c r="D350" i="8"/>
  <c r="A350" i="8"/>
  <c r="H349" i="8"/>
  <c r="F349" i="8"/>
  <c r="D349" i="8"/>
  <c r="A349" i="8"/>
  <c r="H348" i="8"/>
  <c r="F348" i="8"/>
  <c r="D348" i="8"/>
  <c r="A348" i="8"/>
  <c r="H347" i="8"/>
  <c r="F347" i="8"/>
  <c r="D347" i="8"/>
  <c r="A347" i="8"/>
  <c r="H346" i="8"/>
  <c r="F346" i="8"/>
  <c r="D346" i="8"/>
  <c r="A346" i="8"/>
  <c r="F345" i="8"/>
  <c r="D345" i="8"/>
  <c r="A345" i="8"/>
  <c r="F344" i="8"/>
  <c r="D344" i="8"/>
  <c r="A344" i="8"/>
  <c r="F343" i="8"/>
  <c r="D343" i="8"/>
  <c r="A343" i="8"/>
  <c r="H342" i="8"/>
  <c r="F342" i="8"/>
  <c r="D342" i="8"/>
  <c r="A342" i="8"/>
  <c r="H341" i="8"/>
  <c r="F341" i="8"/>
  <c r="D341" i="8"/>
  <c r="A341" i="8"/>
  <c r="H340" i="8"/>
  <c r="F340" i="8"/>
  <c r="D340" i="8"/>
  <c r="A340" i="8"/>
  <c r="F339" i="8"/>
  <c r="D339" i="8"/>
  <c r="A339" i="8"/>
  <c r="H339" i="8" s="1"/>
  <c r="F338" i="8"/>
  <c r="D338" i="8"/>
  <c r="A338" i="8"/>
  <c r="H338" i="8" s="1"/>
  <c r="F337" i="8"/>
  <c r="D337" i="8"/>
  <c r="A337" i="8"/>
  <c r="F336" i="8"/>
  <c r="D336" i="8"/>
  <c r="A336" i="8"/>
  <c r="F335" i="8"/>
  <c r="D335" i="8"/>
  <c r="A335" i="8"/>
  <c r="F334" i="8"/>
  <c r="D334" i="8"/>
  <c r="A334" i="8"/>
  <c r="H334" i="8" s="1"/>
  <c r="F333" i="8"/>
  <c r="D333" i="8"/>
  <c r="A333" i="8"/>
  <c r="H333" i="8" s="1"/>
  <c r="F332" i="8"/>
  <c r="D332" i="8"/>
  <c r="A332" i="8"/>
  <c r="H332" i="8" s="1"/>
  <c r="F331" i="8"/>
  <c r="D331" i="8"/>
  <c r="A331" i="8"/>
  <c r="H331" i="8" s="1"/>
  <c r="F330" i="8"/>
  <c r="D330" i="8"/>
  <c r="A330" i="8"/>
  <c r="H330" i="8" s="1"/>
  <c r="F329" i="8"/>
  <c r="D329" i="8"/>
  <c r="A329" i="8"/>
  <c r="F328" i="8"/>
  <c r="D328" i="8"/>
  <c r="A328" i="8"/>
  <c r="F327" i="8"/>
  <c r="D327" i="8"/>
  <c r="A327" i="8"/>
  <c r="H326" i="8"/>
  <c r="F326" i="8"/>
  <c r="D326" i="8"/>
  <c r="A326" i="8"/>
  <c r="H325" i="8"/>
  <c r="F325" i="8"/>
  <c r="D325" i="8"/>
  <c r="A325" i="8"/>
  <c r="H324" i="8"/>
  <c r="F324" i="8"/>
  <c r="D324" i="8"/>
  <c r="A324" i="8"/>
  <c r="H323" i="8"/>
  <c r="F323" i="8"/>
  <c r="D323" i="8"/>
  <c r="A323" i="8"/>
  <c r="H322" i="8"/>
  <c r="F322" i="8"/>
  <c r="D322" i="8"/>
  <c r="A322" i="8"/>
  <c r="F321" i="8"/>
  <c r="D321" i="8"/>
  <c r="A321" i="8"/>
  <c r="H321" i="8" s="1"/>
  <c r="F320" i="8"/>
  <c r="D320" i="8"/>
  <c r="A320" i="8"/>
  <c r="F319" i="8"/>
  <c r="D319" i="8"/>
  <c r="A319" i="8"/>
  <c r="F318" i="8"/>
  <c r="D318" i="8"/>
  <c r="A318" i="8"/>
  <c r="H318" i="8" s="1"/>
  <c r="F317" i="8"/>
  <c r="D317" i="8"/>
  <c r="A317" i="8"/>
  <c r="H317" i="8" s="1"/>
  <c r="F316" i="8"/>
  <c r="D316" i="8"/>
  <c r="A316" i="8"/>
  <c r="H316" i="8" s="1"/>
  <c r="F315" i="8"/>
  <c r="D315" i="8"/>
  <c r="A315" i="8"/>
  <c r="H315" i="8" s="1"/>
  <c r="H314" i="8"/>
  <c r="F314" i="8"/>
  <c r="D314" i="8"/>
  <c r="A314" i="8"/>
  <c r="F313" i="8"/>
  <c r="D313" i="8"/>
  <c r="A313" i="8"/>
  <c r="F312" i="8"/>
  <c r="D312" i="8"/>
  <c r="A312" i="8"/>
  <c r="H312" i="8" s="1"/>
  <c r="F311" i="8"/>
  <c r="D311" i="8"/>
  <c r="A311" i="8"/>
  <c r="H311" i="8" s="1"/>
  <c r="F310" i="8"/>
  <c r="D310" i="8"/>
  <c r="A310" i="8"/>
  <c r="H310" i="8" s="1"/>
  <c r="F309" i="8"/>
  <c r="D309" i="8"/>
  <c r="A309" i="8"/>
  <c r="H309" i="8" s="1"/>
  <c r="F308" i="8"/>
  <c r="D308" i="8"/>
  <c r="A308" i="8"/>
  <c r="F307" i="8"/>
  <c r="D307" i="8"/>
  <c r="A307" i="8"/>
  <c r="H307" i="8" s="1"/>
  <c r="F306" i="8"/>
  <c r="D306" i="8"/>
  <c r="A306" i="8"/>
  <c r="H306" i="8" s="1"/>
  <c r="F305" i="8"/>
  <c r="D305" i="8"/>
  <c r="A305" i="8"/>
  <c r="F304" i="8"/>
  <c r="D304" i="8"/>
  <c r="A304" i="8"/>
  <c r="H304" i="8" s="1"/>
  <c r="F303" i="8"/>
  <c r="D303" i="8"/>
  <c r="A303" i="8"/>
  <c r="F302" i="8"/>
  <c r="D302" i="8"/>
  <c r="A302" i="8"/>
  <c r="H301" i="8"/>
  <c r="F301" i="8"/>
  <c r="D301" i="8"/>
  <c r="A301" i="8"/>
  <c r="H300" i="8"/>
  <c r="F300" i="8"/>
  <c r="D300" i="8"/>
  <c r="A300" i="8"/>
  <c r="F299" i="8"/>
  <c r="D299" i="8"/>
  <c r="A299" i="8"/>
  <c r="F298" i="8"/>
  <c r="D298" i="8"/>
  <c r="A298" i="8"/>
  <c r="H298" i="8" s="1"/>
  <c r="F297" i="8"/>
  <c r="D297" i="8"/>
  <c r="A297" i="8"/>
  <c r="H296" i="8"/>
  <c r="F296" i="8"/>
  <c r="D296" i="8"/>
  <c r="A296" i="8"/>
  <c r="F295" i="8"/>
  <c r="D295" i="8"/>
  <c r="A295" i="8"/>
  <c r="F294" i="8"/>
  <c r="D294" i="8"/>
  <c r="A294" i="8"/>
  <c r="H293" i="8"/>
  <c r="F293" i="8"/>
  <c r="D293" i="8"/>
  <c r="A293" i="8"/>
  <c r="H292" i="8"/>
  <c r="F292" i="8"/>
  <c r="D292" i="8"/>
  <c r="A292" i="8"/>
  <c r="F291" i="8"/>
  <c r="D291" i="8"/>
  <c r="A291" i="8"/>
  <c r="F290" i="8"/>
  <c r="D290" i="8"/>
  <c r="A290" i="8"/>
  <c r="H290" i="8" s="1"/>
  <c r="F289" i="8"/>
  <c r="D289" i="8"/>
  <c r="A289" i="8"/>
  <c r="H288" i="8"/>
  <c r="F288" i="8"/>
  <c r="D288" i="8"/>
  <c r="A288" i="8"/>
  <c r="F287" i="8"/>
  <c r="D287" i="8"/>
  <c r="A287" i="8"/>
  <c r="F286" i="8"/>
  <c r="D286" i="8"/>
  <c r="A286" i="8"/>
  <c r="H285" i="8"/>
  <c r="F285" i="8"/>
  <c r="D285" i="8"/>
  <c r="A285" i="8"/>
  <c r="H284" i="8"/>
  <c r="F284" i="8"/>
  <c r="D284" i="8"/>
  <c r="A284" i="8"/>
  <c r="F283" i="8"/>
  <c r="D283" i="8"/>
  <c r="A283" i="8"/>
  <c r="F282" i="8"/>
  <c r="D282" i="8"/>
  <c r="A282" i="8"/>
  <c r="H282" i="8" s="1"/>
  <c r="F281" i="8"/>
  <c r="D281" i="8"/>
  <c r="A281" i="8"/>
  <c r="F280" i="8"/>
  <c r="D280" i="8"/>
  <c r="A280" i="8"/>
  <c r="H280" i="8" s="1"/>
  <c r="F279" i="8"/>
  <c r="D279" i="8"/>
  <c r="A279" i="8"/>
  <c r="F278" i="8"/>
  <c r="D278" i="8"/>
  <c r="A278" i="8"/>
  <c r="F277" i="8"/>
  <c r="D277" i="8"/>
  <c r="A277" i="8"/>
  <c r="H277" i="8" s="1"/>
  <c r="F276" i="8"/>
  <c r="D276" i="8"/>
  <c r="A276" i="8"/>
  <c r="H276" i="8" s="1"/>
  <c r="F275" i="8"/>
  <c r="D275" i="8"/>
  <c r="A275" i="8"/>
  <c r="F274" i="8"/>
  <c r="D274" i="8"/>
  <c r="A274" i="8"/>
  <c r="H274" i="8" s="1"/>
  <c r="F273" i="8"/>
  <c r="D273" i="8"/>
  <c r="A273" i="8"/>
  <c r="F272" i="8"/>
  <c r="D272" i="8"/>
  <c r="A272" i="8"/>
  <c r="H272" i="8" s="1"/>
  <c r="F271" i="8"/>
  <c r="D271" i="8"/>
  <c r="A271" i="8"/>
  <c r="H271" i="8" s="1"/>
  <c r="F270" i="8"/>
  <c r="D270" i="8"/>
  <c r="A270" i="8"/>
  <c r="H269" i="8"/>
  <c r="F269" i="8"/>
  <c r="D269" i="8"/>
  <c r="A269" i="8"/>
  <c r="H268" i="8"/>
  <c r="F268" i="8"/>
  <c r="D268" i="8"/>
  <c r="A268" i="8"/>
  <c r="F267" i="8"/>
  <c r="D267" i="8"/>
  <c r="A267" i="8"/>
  <c r="F266" i="8"/>
  <c r="D266" i="8"/>
  <c r="A266" i="8"/>
  <c r="F265" i="8"/>
  <c r="D265" i="8"/>
  <c r="A265" i="8"/>
  <c r="H264" i="8"/>
  <c r="F264" i="8"/>
  <c r="D264" i="8"/>
  <c r="A264" i="8"/>
  <c r="F263" i="8"/>
  <c r="D263" i="8"/>
  <c r="A263" i="8"/>
  <c r="H263" i="8" s="1"/>
  <c r="F262" i="8"/>
  <c r="D262" i="8"/>
  <c r="A262" i="8"/>
  <c r="H261" i="8"/>
  <c r="F261" i="8"/>
  <c r="D261" i="8"/>
  <c r="A261" i="8"/>
  <c r="F260" i="8"/>
  <c r="D260" i="8"/>
  <c r="A260" i="8"/>
  <c r="H260" i="8" s="1"/>
  <c r="F259" i="8"/>
  <c r="D259" i="8"/>
  <c r="A259" i="8"/>
  <c r="F258" i="8"/>
  <c r="D258" i="8"/>
  <c r="A258" i="8"/>
  <c r="H258" i="8" s="1"/>
  <c r="F257" i="8"/>
  <c r="D257" i="8"/>
  <c r="A257" i="8"/>
  <c r="H257" i="8" s="1"/>
  <c r="F256" i="8"/>
  <c r="D256" i="8"/>
  <c r="A256" i="8"/>
  <c r="H256" i="8" s="1"/>
  <c r="F255" i="8"/>
  <c r="D255" i="8"/>
  <c r="A255" i="8"/>
  <c r="F254" i="8"/>
  <c r="D254" i="8"/>
  <c r="A254" i="8"/>
  <c r="H254" i="8" s="1"/>
  <c r="F253" i="8"/>
  <c r="D253" i="8"/>
  <c r="A253" i="8"/>
  <c r="F252" i="8"/>
  <c r="D252" i="8"/>
  <c r="A252" i="8"/>
  <c r="F251" i="8"/>
  <c r="D251" i="8"/>
  <c r="A251" i="8"/>
  <c r="H251" i="8" s="1"/>
  <c r="F250" i="8"/>
  <c r="D250" i="8"/>
  <c r="A250" i="8"/>
  <c r="H250" i="8" s="1"/>
  <c r="F249" i="8"/>
  <c r="D249" i="8"/>
  <c r="A249" i="8"/>
  <c r="F248" i="8"/>
  <c r="D248" i="8"/>
  <c r="A248" i="8"/>
  <c r="F247" i="8"/>
  <c r="D247" i="8"/>
  <c r="A247" i="8"/>
  <c r="H247" i="8" s="1"/>
  <c r="F246" i="8"/>
  <c r="D246" i="8"/>
  <c r="A246" i="8"/>
  <c r="H246" i="8" s="1"/>
  <c r="F245" i="8"/>
  <c r="D245" i="8"/>
  <c r="A245" i="8"/>
  <c r="F244" i="8"/>
  <c r="D244" i="8"/>
  <c r="A244" i="8"/>
  <c r="H243" i="8"/>
  <c r="F243" i="8"/>
  <c r="D243" i="8"/>
  <c r="A243" i="8"/>
  <c r="F242" i="8"/>
  <c r="D242" i="8"/>
  <c r="A242" i="8"/>
  <c r="H242" i="8" s="1"/>
  <c r="F241" i="8"/>
  <c r="D241" i="8"/>
  <c r="A241" i="8"/>
  <c r="F240" i="8"/>
  <c r="D240" i="8"/>
  <c r="A240" i="8"/>
  <c r="F239" i="8"/>
  <c r="D239" i="8"/>
  <c r="A239" i="8"/>
  <c r="H239" i="8" s="1"/>
  <c r="H238" i="8"/>
  <c r="F238" i="8"/>
  <c r="D238" i="8"/>
  <c r="A238" i="8"/>
  <c r="F237" i="8"/>
  <c r="D237" i="8"/>
  <c r="A237" i="8"/>
  <c r="F236" i="8"/>
  <c r="D236" i="8"/>
  <c r="A236" i="8"/>
  <c r="H235" i="8"/>
  <c r="F235" i="8"/>
  <c r="D235" i="8"/>
  <c r="A235" i="8"/>
  <c r="H234" i="8"/>
  <c r="F234" i="8"/>
  <c r="D234" i="8"/>
  <c r="A234" i="8"/>
  <c r="F233" i="8"/>
  <c r="D233" i="8"/>
  <c r="A233" i="8"/>
  <c r="F232" i="8"/>
  <c r="D232" i="8"/>
  <c r="A232" i="8"/>
  <c r="F231" i="8"/>
  <c r="D231" i="8"/>
  <c r="A231" i="8"/>
  <c r="H231" i="8" s="1"/>
  <c r="H230" i="8"/>
  <c r="F230" i="8"/>
  <c r="D230" i="8"/>
  <c r="A230" i="8"/>
  <c r="F229" i="8"/>
  <c r="D229" i="8"/>
  <c r="A229" i="8"/>
  <c r="H229" i="8" s="1"/>
  <c r="F228" i="8"/>
  <c r="D228" i="8"/>
  <c r="A228" i="8"/>
  <c r="H227" i="8"/>
  <c r="F227" i="8"/>
  <c r="D227" i="8"/>
  <c r="A227" i="8"/>
  <c r="H226" i="8"/>
  <c r="F226" i="8"/>
  <c r="D226" i="8"/>
  <c r="A226" i="8"/>
  <c r="F225" i="8"/>
  <c r="D225" i="8"/>
  <c r="A225" i="8"/>
  <c r="F224" i="8"/>
  <c r="D224" i="8"/>
  <c r="A224" i="8"/>
  <c r="F223" i="8"/>
  <c r="D223" i="8"/>
  <c r="A223" i="8"/>
  <c r="H223" i="8" s="1"/>
  <c r="H222" i="8"/>
  <c r="F222" i="8"/>
  <c r="D222" i="8"/>
  <c r="A222" i="8"/>
  <c r="F221" i="8"/>
  <c r="D221" i="8"/>
  <c r="A221" i="8"/>
  <c r="H221" i="8" s="1"/>
  <c r="F220" i="8"/>
  <c r="D220" i="8"/>
  <c r="A220" i="8"/>
  <c r="H219" i="8"/>
  <c r="F219" i="8"/>
  <c r="D219" i="8"/>
  <c r="A219" i="8"/>
  <c r="F218" i="8"/>
  <c r="D218" i="8"/>
  <c r="A218" i="8"/>
  <c r="H218" i="8" s="1"/>
  <c r="F217" i="8"/>
  <c r="D217" i="8"/>
  <c r="A217" i="8"/>
  <c r="F216" i="8"/>
  <c r="D216" i="8"/>
  <c r="A216" i="8"/>
  <c r="H216" i="8" s="1"/>
  <c r="F215" i="8"/>
  <c r="D215" i="8"/>
  <c r="A215" i="8"/>
  <c r="H215" i="8" s="1"/>
  <c r="H214" i="8"/>
  <c r="F214" i="8"/>
  <c r="D214" i="8"/>
  <c r="A214" i="8"/>
  <c r="F213" i="8"/>
  <c r="D213" i="8"/>
  <c r="A213" i="8"/>
  <c r="H213" i="8" s="1"/>
  <c r="F212" i="8"/>
  <c r="D212" i="8"/>
  <c r="A212" i="8"/>
  <c r="H211" i="8"/>
  <c r="F211" i="8"/>
  <c r="D211" i="8"/>
  <c r="A211" i="8"/>
  <c r="F210" i="8"/>
  <c r="D210" i="8"/>
  <c r="A210" i="8"/>
  <c r="F209" i="8"/>
  <c r="D209" i="8"/>
  <c r="A209" i="8"/>
  <c r="F208" i="8"/>
  <c r="D208" i="8"/>
  <c r="A208" i="8"/>
  <c r="H208" i="8" s="1"/>
  <c r="F207" i="8"/>
  <c r="D207" i="8"/>
  <c r="A207" i="8"/>
  <c r="H207" i="8" s="1"/>
  <c r="F206" i="8"/>
  <c r="D206" i="8"/>
  <c r="A206" i="8"/>
  <c r="H206" i="8" s="1"/>
  <c r="F205" i="8"/>
  <c r="D205" i="8"/>
  <c r="A205" i="8"/>
  <c r="F204" i="8"/>
  <c r="D204" i="8"/>
  <c r="A204" i="8"/>
  <c r="H203" i="8"/>
  <c r="F203" i="8"/>
  <c r="D203" i="8"/>
  <c r="A203" i="8"/>
  <c r="F202" i="8"/>
  <c r="D202" i="8"/>
  <c r="A202" i="8"/>
  <c r="F201" i="8"/>
  <c r="D201" i="8"/>
  <c r="A201" i="8"/>
  <c r="H200" i="8"/>
  <c r="F200" i="8"/>
  <c r="D200" i="8"/>
  <c r="A200" i="8"/>
  <c r="F199" i="8"/>
  <c r="D199" i="8"/>
  <c r="A199" i="8"/>
  <c r="H199" i="8" s="1"/>
  <c r="F198" i="8"/>
  <c r="D198" i="8"/>
  <c r="A198" i="8"/>
  <c r="F197" i="8"/>
  <c r="D197" i="8"/>
  <c r="A197" i="8"/>
  <c r="F196" i="8"/>
  <c r="D196" i="8"/>
  <c r="A196" i="8"/>
  <c r="H195" i="8"/>
  <c r="F195" i="8"/>
  <c r="D195" i="8"/>
  <c r="A195" i="8"/>
  <c r="F194" i="8"/>
  <c r="D194" i="8"/>
  <c r="A194" i="8"/>
  <c r="F193" i="8"/>
  <c r="D193" i="8"/>
  <c r="A193" i="8"/>
  <c r="H192" i="8"/>
  <c r="F192" i="8"/>
  <c r="D192" i="8"/>
  <c r="A192" i="8"/>
  <c r="F191" i="8"/>
  <c r="D191" i="8"/>
  <c r="A191" i="8"/>
  <c r="F190" i="8"/>
  <c r="D190" i="8"/>
  <c r="A190" i="8"/>
  <c r="H190" i="8" s="1"/>
  <c r="F189" i="8"/>
  <c r="D189" i="8"/>
  <c r="A189" i="8"/>
  <c r="F188" i="8"/>
  <c r="D188" i="8"/>
  <c r="A188" i="8"/>
  <c r="H188" i="8" s="1"/>
  <c r="F187" i="8"/>
  <c r="D187" i="8"/>
  <c r="A187" i="8"/>
  <c r="H187" i="8" s="1"/>
  <c r="F186" i="8"/>
  <c r="D186" i="8"/>
  <c r="A186" i="8"/>
  <c r="F185" i="8"/>
  <c r="D185" i="8"/>
  <c r="A185" i="8"/>
  <c r="F184" i="8"/>
  <c r="D184" i="8"/>
  <c r="A184" i="8"/>
  <c r="F183" i="8"/>
  <c r="D183" i="8"/>
  <c r="A183" i="8"/>
  <c r="H183" i="8" s="1"/>
  <c r="F182" i="8"/>
  <c r="D182" i="8"/>
  <c r="A182" i="8"/>
  <c r="H182" i="8" s="1"/>
  <c r="F181" i="8"/>
  <c r="D181" i="8"/>
  <c r="A181" i="8"/>
  <c r="H181" i="8" s="1"/>
  <c r="F180" i="8"/>
  <c r="D180" i="8"/>
  <c r="A180" i="8"/>
  <c r="H180" i="8" s="1"/>
  <c r="F179" i="8"/>
  <c r="D179" i="8"/>
  <c r="A179" i="8"/>
  <c r="H179" i="8" s="1"/>
  <c r="F178" i="8"/>
  <c r="D178" i="8"/>
  <c r="A178" i="8"/>
  <c r="F177" i="8"/>
  <c r="D177" i="8"/>
  <c r="A177" i="8"/>
  <c r="F176" i="8"/>
  <c r="D176" i="8"/>
  <c r="A176" i="8"/>
  <c r="F175" i="8"/>
  <c r="D175" i="8"/>
  <c r="A175" i="8"/>
  <c r="H175" i="8" s="1"/>
  <c r="F174" i="8"/>
  <c r="D174" i="8"/>
  <c r="A174" i="8"/>
  <c r="H174" i="8" s="1"/>
  <c r="F173" i="8"/>
  <c r="D173" i="8"/>
  <c r="A173" i="8"/>
  <c r="H173" i="8" s="1"/>
  <c r="F172" i="8"/>
  <c r="D172" i="8"/>
  <c r="A172" i="8"/>
  <c r="H172" i="8" s="1"/>
  <c r="F171" i="8"/>
  <c r="D171" i="8"/>
  <c r="A171" i="8"/>
  <c r="H171" i="8" s="1"/>
  <c r="F170" i="8"/>
  <c r="D170" i="8"/>
  <c r="A170" i="8"/>
  <c r="F169" i="8"/>
  <c r="D169" i="8"/>
  <c r="A169" i="8"/>
  <c r="F168" i="8"/>
  <c r="D168" i="8"/>
  <c r="A168" i="8"/>
  <c r="H167" i="8"/>
  <c r="F167" i="8"/>
  <c r="D167" i="8"/>
  <c r="A167" i="8"/>
  <c r="H166" i="8"/>
  <c r="F166" i="8"/>
  <c r="D166" i="8"/>
  <c r="A166" i="8"/>
  <c r="F165" i="8"/>
  <c r="D165" i="8"/>
  <c r="A165" i="8"/>
  <c r="H165" i="8" s="1"/>
  <c r="F164" i="8"/>
  <c r="D164" i="8"/>
  <c r="A164" i="8"/>
  <c r="H164" i="8" s="1"/>
  <c r="H163" i="8"/>
  <c r="F163" i="8"/>
  <c r="D163" i="8"/>
  <c r="A163" i="8"/>
  <c r="F162" i="8"/>
  <c r="D162" i="8"/>
  <c r="A162" i="8"/>
  <c r="F161" i="8"/>
  <c r="D161" i="8"/>
  <c r="A161" i="8"/>
  <c r="F160" i="8"/>
  <c r="D160" i="8"/>
  <c r="A160" i="8"/>
  <c r="H159" i="8"/>
  <c r="F159" i="8"/>
  <c r="D159" i="8"/>
  <c r="A159" i="8"/>
  <c r="H158" i="8"/>
  <c r="F158" i="8"/>
  <c r="D158" i="8"/>
  <c r="A158" i="8"/>
  <c r="F157" i="8"/>
  <c r="D157" i="8"/>
  <c r="A157" i="8"/>
  <c r="H157" i="8" s="1"/>
  <c r="H156" i="8"/>
  <c r="F156" i="8"/>
  <c r="D156" i="8"/>
  <c r="A156" i="8"/>
  <c r="H155" i="8"/>
  <c r="F155" i="8"/>
  <c r="D155" i="8"/>
  <c r="A155" i="8"/>
  <c r="F154" i="8"/>
  <c r="D154" i="8"/>
  <c r="A154" i="8"/>
  <c r="F153" i="8"/>
  <c r="D153" i="8"/>
  <c r="A153" i="8"/>
  <c r="F152" i="8"/>
  <c r="D152" i="8"/>
  <c r="A152" i="8"/>
  <c r="H151" i="8"/>
  <c r="F151" i="8"/>
  <c r="D151" i="8"/>
  <c r="A151" i="8"/>
  <c r="F150" i="8"/>
  <c r="D150" i="8"/>
  <c r="A150" i="8"/>
  <c r="H150" i="8" s="1"/>
  <c r="F149" i="8"/>
  <c r="D149" i="8"/>
  <c r="A149" i="8"/>
  <c r="H149" i="8" s="1"/>
  <c r="F148" i="8"/>
  <c r="D148" i="8"/>
  <c r="A148" i="8"/>
  <c r="H148" i="8" s="1"/>
  <c r="H147" i="8"/>
  <c r="F147" i="8"/>
  <c r="D147" i="8"/>
  <c r="A147" i="8"/>
  <c r="F146" i="8"/>
  <c r="D146" i="8"/>
  <c r="A146" i="8"/>
  <c r="F145" i="8"/>
  <c r="D145" i="8"/>
  <c r="A145" i="8"/>
  <c r="F144" i="8"/>
  <c r="D144" i="8"/>
  <c r="A144" i="8"/>
  <c r="H143" i="8"/>
  <c r="F143" i="8"/>
  <c r="D143" i="8"/>
  <c r="A143" i="8"/>
  <c r="H142" i="8"/>
  <c r="F142" i="8"/>
  <c r="D142" i="8"/>
  <c r="A142" i="8"/>
  <c r="F141" i="8"/>
  <c r="D141" i="8"/>
  <c r="A141" i="8"/>
  <c r="H141" i="8" s="1"/>
  <c r="H140" i="8"/>
  <c r="F140" i="8"/>
  <c r="D140" i="8"/>
  <c r="A140" i="8"/>
  <c r="H139" i="8"/>
  <c r="F139" i="8"/>
  <c r="D139" i="8"/>
  <c r="A139" i="8"/>
  <c r="F138" i="8"/>
  <c r="D138" i="8"/>
  <c r="A138" i="8"/>
  <c r="F137" i="8"/>
  <c r="D137" i="8"/>
  <c r="A137" i="8"/>
  <c r="F136" i="8"/>
  <c r="D136" i="8"/>
  <c r="A136" i="8"/>
  <c r="F135" i="8"/>
  <c r="D135" i="8"/>
  <c r="A135" i="8"/>
  <c r="H135" i="8" s="1"/>
  <c r="F134" i="8"/>
  <c r="D134" i="8"/>
  <c r="A134" i="8"/>
  <c r="H134" i="8" s="1"/>
  <c r="F133" i="8"/>
  <c r="D133" i="8"/>
  <c r="A133" i="8"/>
  <c r="H133" i="8" s="1"/>
  <c r="F132" i="8"/>
  <c r="D132" i="8"/>
  <c r="A132" i="8"/>
  <c r="H132" i="8" s="1"/>
  <c r="F131" i="8"/>
  <c r="D131" i="8"/>
  <c r="A131" i="8"/>
  <c r="H131" i="8" s="1"/>
  <c r="F130" i="8"/>
  <c r="D130" i="8"/>
  <c r="A130" i="8"/>
  <c r="F129" i="8"/>
  <c r="D129" i="8"/>
  <c r="A129" i="8"/>
  <c r="F128" i="8"/>
  <c r="D128" i="8"/>
  <c r="A128" i="8"/>
  <c r="H127" i="8"/>
  <c r="F127" i="8"/>
  <c r="D127" i="8"/>
  <c r="A127" i="8"/>
  <c r="F126" i="8"/>
  <c r="D126" i="8"/>
  <c r="A126" i="8"/>
  <c r="H126" i="8" s="1"/>
  <c r="F125" i="8"/>
  <c r="D125" i="8"/>
  <c r="A125" i="8"/>
  <c r="H125" i="8" s="1"/>
  <c r="F124" i="8"/>
  <c r="D124" i="8"/>
  <c r="A124" i="8"/>
  <c r="H124" i="8" s="1"/>
  <c r="H123" i="8"/>
  <c r="F123" i="8"/>
  <c r="D123" i="8"/>
  <c r="A123" i="8"/>
  <c r="F122" i="8"/>
  <c r="D122" i="8"/>
  <c r="A122" i="8"/>
  <c r="F121" i="8"/>
  <c r="D121" i="8"/>
  <c r="A121" i="8"/>
  <c r="F120" i="8"/>
  <c r="D120" i="8"/>
  <c r="A120" i="8"/>
  <c r="F119" i="8"/>
  <c r="D119" i="8"/>
  <c r="A119" i="8"/>
  <c r="H119" i="8" s="1"/>
  <c r="H118" i="8"/>
  <c r="F118" i="8"/>
  <c r="D118" i="8"/>
  <c r="A118" i="8"/>
  <c r="F117" i="8"/>
  <c r="D117" i="8"/>
  <c r="A117" i="8"/>
  <c r="H117" i="8" s="1"/>
  <c r="F116" i="8"/>
  <c r="D116" i="8"/>
  <c r="A116" i="8"/>
  <c r="H116" i="8" s="1"/>
  <c r="F115" i="8"/>
  <c r="D115" i="8"/>
  <c r="A115" i="8"/>
  <c r="H115" i="8" s="1"/>
  <c r="F114" i="8"/>
  <c r="D114" i="8"/>
  <c r="A114" i="8"/>
  <c r="F113" i="8"/>
  <c r="D113" i="8"/>
  <c r="A113" i="8"/>
  <c r="F112" i="8"/>
  <c r="D112" i="8"/>
  <c r="A112" i="8"/>
  <c r="H111" i="8"/>
  <c r="F111" i="8"/>
  <c r="D111" i="8"/>
  <c r="A111" i="8"/>
  <c r="H110" i="8"/>
  <c r="F110" i="8"/>
  <c r="D110" i="8"/>
  <c r="A110" i="8"/>
  <c r="F109" i="8"/>
  <c r="D109" i="8"/>
  <c r="A109" i="8"/>
  <c r="H109" i="8" s="1"/>
  <c r="H108" i="8"/>
  <c r="F108" i="8"/>
  <c r="D108" i="8"/>
  <c r="A108" i="8"/>
  <c r="H107" i="8"/>
  <c r="F107" i="8"/>
  <c r="D107" i="8"/>
  <c r="A107" i="8"/>
  <c r="F106" i="8"/>
  <c r="D106" i="8"/>
  <c r="A106" i="8"/>
  <c r="F105" i="8"/>
  <c r="D105" i="8"/>
  <c r="A105" i="8"/>
  <c r="F104" i="8"/>
  <c r="D104" i="8"/>
  <c r="A104" i="8"/>
  <c r="H103" i="8"/>
  <c r="F103" i="8"/>
  <c r="D103" i="8"/>
  <c r="A103" i="8"/>
  <c r="H102" i="8"/>
  <c r="F102" i="8"/>
  <c r="D102" i="8"/>
  <c r="A102" i="8"/>
  <c r="F101" i="8"/>
  <c r="D101" i="8"/>
  <c r="A101" i="8"/>
  <c r="F100" i="8"/>
  <c r="D100" i="8"/>
  <c r="A100" i="8"/>
  <c r="H100" i="8" s="1"/>
  <c r="F99" i="8"/>
  <c r="D99" i="8"/>
  <c r="A99" i="8"/>
  <c r="H99" i="8" s="1"/>
  <c r="F98" i="8"/>
  <c r="D98" i="8"/>
  <c r="A98" i="8"/>
  <c r="F97" i="8"/>
  <c r="D97" i="8"/>
  <c r="A97" i="8"/>
  <c r="F96" i="8"/>
  <c r="D96" i="8"/>
  <c r="A96" i="8"/>
  <c r="F95" i="8"/>
  <c r="D95" i="8"/>
  <c r="A95" i="8"/>
  <c r="H95" i="8" s="1"/>
  <c r="F94" i="8"/>
  <c r="D94" i="8"/>
  <c r="A94" i="8"/>
  <c r="H94" i="8" s="1"/>
  <c r="F93" i="8"/>
  <c r="D93" i="8"/>
  <c r="A93" i="8"/>
  <c r="F92" i="8"/>
  <c r="D92" i="8"/>
  <c r="A92" i="8"/>
  <c r="H92" i="8" s="1"/>
  <c r="F91" i="8"/>
  <c r="D91" i="8"/>
  <c r="A91" i="8"/>
  <c r="H91" i="8" s="1"/>
  <c r="F90" i="8"/>
  <c r="D90" i="8"/>
  <c r="A90" i="8"/>
  <c r="F89" i="8"/>
  <c r="D89" i="8"/>
  <c r="A89" i="8"/>
  <c r="F88" i="8"/>
  <c r="D88" i="8"/>
  <c r="A88" i="8"/>
  <c r="H87" i="8"/>
  <c r="F87" i="8"/>
  <c r="D87" i="8"/>
  <c r="A87" i="8"/>
  <c r="H86" i="8"/>
  <c r="F86" i="8"/>
  <c r="D86" i="8"/>
  <c r="A86" i="8"/>
  <c r="F85" i="8"/>
  <c r="D85" i="8"/>
  <c r="A85" i="8"/>
  <c r="H84" i="8"/>
  <c r="F84" i="8"/>
  <c r="D84" i="8"/>
  <c r="A84" i="8"/>
  <c r="H83" i="8"/>
  <c r="F83" i="8"/>
  <c r="D83" i="8"/>
  <c r="A83" i="8"/>
  <c r="F82" i="8"/>
  <c r="D82" i="8"/>
  <c r="A82" i="8"/>
  <c r="F81" i="8"/>
  <c r="D81" i="8"/>
  <c r="A81" i="8"/>
  <c r="F80" i="8"/>
  <c r="D80" i="8"/>
  <c r="A80" i="8"/>
  <c r="F79" i="8"/>
  <c r="D79" i="8"/>
  <c r="A79" i="8"/>
  <c r="H79" i="8" s="1"/>
  <c r="H78" i="8"/>
  <c r="F78" i="8"/>
  <c r="D78" i="8"/>
  <c r="A78" i="8"/>
  <c r="F77" i="8"/>
  <c r="D77" i="8"/>
  <c r="A77" i="8"/>
  <c r="H76" i="8"/>
  <c r="F76" i="8"/>
  <c r="D76" i="8"/>
  <c r="A76" i="8"/>
  <c r="H75" i="8"/>
  <c r="F75" i="8"/>
  <c r="D75" i="8"/>
  <c r="A75" i="8"/>
  <c r="F74" i="8"/>
  <c r="D74" i="8"/>
  <c r="A74" i="8"/>
  <c r="F73" i="8"/>
  <c r="D73" i="8"/>
  <c r="A73" i="8"/>
  <c r="F72" i="8"/>
  <c r="D72" i="8"/>
  <c r="A72" i="8"/>
  <c r="H71" i="8"/>
  <c r="F71" i="8"/>
  <c r="D71" i="8"/>
  <c r="A71" i="8"/>
  <c r="H70" i="8"/>
  <c r="F70" i="8"/>
  <c r="D70" i="8"/>
  <c r="A70" i="8"/>
  <c r="F69" i="8"/>
  <c r="D69" i="8"/>
  <c r="A69" i="8"/>
  <c r="F68" i="8"/>
  <c r="D68" i="8"/>
  <c r="A68" i="8"/>
  <c r="H68" i="8" s="1"/>
  <c r="H67" i="8"/>
  <c r="F67" i="8"/>
  <c r="D67" i="8"/>
  <c r="A67" i="8"/>
  <c r="F66" i="8"/>
  <c r="D66" i="8"/>
  <c r="A66" i="8"/>
  <c r="F65" i="8"/>
  <c r="D65" i="8"/>
  <c r="A65" i="8"/>
  <c r="F64" i="8"/>
  <c r="D64" i="8"/>
  <c r="A64" i="8"/>
  <c r="F63" i="8"/>
  <c r="D63" i="8"/>
  <c r="A63" i="8"/>
  <c r="H63" i="8" s="1"/>
  <c r="F62" i="8"/>
  <c r="D62" i="8"/>
  <c r="A62" i="8"/>
  <c r="H62" i="8" s="1"/>
  <c r="F61" i="8"/>
  <c r="D61" i="8"/>
  <c r="A61" i="8"/>
  <c r="H61" i="8" s="1"/>
  <c r="F60" i="8"/>
  <c r="D60" i="8"/>
  <c r="A60" i="8"/>
  <c r="H60" i="8" s="1"/>
  <c r="H59" i="8"/>
  <c r="F59" i="8"/>
  <c r="D59" i="8"/>
  <c r="A59" i="8"/>
  <c r="F58" i="8"/>
  <c r="D58" i="8"/>
  <c r="A58" i="8"/>
  <c r="H58" i="8" s="1"/>
  <c r="F57" i="8"/>
  <c r="D57" i="8"/>
  <c r="A57" i="8"/>
  <c r="H56" i="8"/>
  <c r="F56" i="8"/>
  <c r="D56" i="8"/>
  <c r="A56" i="8"/>
  <c r="H55" i="8"/>
  <c r="F55" i="8"/>
  <c r="D55" i="8"/>
  <c r="A55" i="8"/>
  <c r="F54" i="8"/>
  <c r="D54" i="8"/>
  <c r="A54" i="8"/>
  <c r="F53" i="8"/>
  <c r="D53" i="8"/>
  <c r="A53" i="8"/>
  <c r="H53" i="8" s="1"/>
  <c r="F52" i="8"/>
  <c r="D52" i="8"/>
  <c r="A52" i="8"/>
  <c r="H52" i="8" s="1"/>
  <c r="F51" i="8"/>
  <c r="D51" i="8"/>
  <c r="A51" i="8"/>
  <c r="F50" i="8"/>
  <c r="D50" i="8"/>
  <c r="A50" i="8"/>
  <c r="H49" i="8"/>
  <c r="F49" i="8"/>
  <c r="D49" i="8"/>
  <c r="A49" i="8"/>
  <c r="H48" i="8"/>
  <c r="F48" i="8"/>
  <c r="D48" i="8"/>
  <c r="A48" i="8"/>
  <c r="F47" i="8"/>
  <c r="D47" i="8"/>
  <c r="A47" i="8"/>
  <c r="F46" i="8"/>
  <c r="D46" i="8"/>
  <c r="A46" i="8"/>
  <c r="H46" i="8" s="1"/>
  <c r="F45" i="8"/>
  <c r="D45" i="8"/>
  <c r="A45" i="8"/>
  <c r="F44" i="8"/>
  <c r="D44" i="8"/>
  <c r="A44" i="8"/>
  <c r="H44" i="8" s="1"/>
  <c r="F43" i="8"/>
  <c r="D43" i="8"/>
  <c r="A43" i="8"/>
  <c r="F42" i="8"/>
  <c r="D42" i="8"/>
  <c r="A42" i="8"/>
  <c r="F41" i="8"/>
  <c r="D41" i="8"/>
  <c r="A41" i="8"/>
  <c r="H40" i="8"/>
  <c r="F40" i="8"/>
  <c r="D40" i="8"/>
  <c r="A40" i="8"/>
  <c r="F39" i="8"/>
  <c r="D39" i="8"/>
  <c r="A39" i="8"/>
  <c r="F38" i="8"/>
  <c r="D38" i="8"/>
  <c r="A38" i="8"/>
  <c r="H38" i="8" s="1"/>
  <c r="F37" i="8"/>
  <c r="D37" i="8"/>
  <c r="A37" i="8"/>
  <c r="H37" i="8" s="1"/>
  <c r="H36" i="8"/>
  <c r="F36" i="8"/>
  <c r="D36" i="8"/>
  <c r="A36" i="8"/>
  <c r="F35" i="8"/>
  <c r="D35" i="8"/>
  <c r="A35" i="8"/>
  <c r="F34" i="8"/>
  <c r="D34" i="8"/>
  <c r="A34" i="8"/>
  <c r="F33" i="8"/>
  <c r="D33" i="8"/>
  <c r="A33" i="8"/>
  <c r="H32" i="8"/>
  <c r="F32" i="8"/>
  <c r="D32" i="8"/>
  <c r="A32" i="8"/>
  <c r="F31" i="8"/>
  <c r="D31" i="8"/>
  <c r="A31" i="8"/>
  <c r="F30" i="8"/>
  <c r="D30" i="8"/>
  <c r="A30" i="8"/>
  <c r="H30" i="8" s="1"/>
  <c r="H29" i="8"/>
  <c r="F29" i="8"/>
  <c r="D29" i="8"/>
  <c r="A29" i="8"/>
  <c r="H28" i="8"/>
  <c r="F28" i="8"/>
  <c r="D28" i="8"/>
  <c r="A28" i="8"/>
  <c r="F27" i="8"/>
  <c r="D27" i="8"/>
  <c r="A27" i="8"/>
  <c r="S26" i="8"/>
  <c r="F26" i="8"/>
  <c r="D26" i="8"/>
  <c r="A26" i="8"/>
  <c r="F25" i="8"/>
  <c r="D25" i="8"/>
  <c r="A25" i="8"/>
  <c r="H24" i="8"/>
  <c r="F24" i="8"/>
  <c r="D24" i="8"/>
  <c r="A24" i="8"/>
  <c r="F23" i="8"/>
  <c r="D23" i="8"/>
  <c r="A23" i="8"/>
  <c r="F22" i="8"/>
  <c r="D22" i="8"/>
  <c r="A22" i="8"/>
  <c r="H22" i="8" s="1"/>
  <c r="H21" i="8"/>
  <c r="F21" i="8"/>
  <c r="D21" i="8"/>
  <c r="A21" i="8"/>
  <c r="H20" i="8"/>
  <c r="F20" i="8"/>
  <c r="D20" i="8"/>
  <c r="A20" i="8"/>
  <c r="F19" i="8"/>
  <c r="D19" i="8"/>
  <c r="A19" i="8"/>
  <c r="F18" i="8"/>
  <c r="D18" i="8"/>
  <c r="A18" i="8"/>
  <c r="F17" i="8"/>
  <c r="D17" i="8"/>
  <c r="A17" i="8"/>
  <c r="B7" i="8"/>
  <c r="B8" i="8" s="1"/>
  <c r="J148" i="7"/>
  <c r="M148" i="7" s="1"/>
  <c r="I148" i="7"/>
  <c r="G148" i="7"/>
  <c r="F148" i="7"/>
  <c r="E148" i="7"/>
  <c r="C148" i="7"/>
  <c r="J147" i="7"/>
  <c r="I147" i="7"/>
  <c r="G147" i="7"/>
  <c r="F147" i="7"/>
  <c r="E147" i="7"/>
  <c r="C147" i="7"/>
  <c r="J146" i="7"/>
  <c r="I146" i="7"/>
  <c r="G146" i="7"/>
  <c r="F146" i="7"/>
  <c r="E146" i="7"/>
  <c r="C146" i="7"/>
  <c r="L145" i="7"/>
  <c r="J145" i="7"/>
  <c r="M145" i="7" s="1"/>
  <c r="I145" i="7"/>
  <c r="G145" i="7"/>
  <c r="F145" i="7"/>
  <c r="K145" i="7" s="1"/>
  <c r="E145" i="7"/>
  <c r="C145" i="7"/>
  <c r="K144" i="7"/>
  <c r="J144" i="7"/>
  <c r="M144" i="7" s="1"/>
  <c r="I144" i="7"/>
  <c r="G144" i="7"/>
  <c r="F144" i="7"/>
  <c r="E144" i="7"/>
  <c r="C144" i="7"/>
  <c r="J143" i="7"/>
  <c r="M143" i="7" s="1"/>
  <c r="I143" i="7"/>
  <c r="G143" i="7"/>
  <c r="F143" i="7"/>
  <c r="E143" i="7"/>
  <c r="C143" i="7"/>
  <c r="J142" i="7"/>
  <c r="I142" i="7"/>
  <c r="G142" i="7"/>
  <c r="F142" i="7"/>
  <c r="K142" i="7" s="1"/>
  <c r="E142" i="7"/>
  <c r="C142" i="7"/>
  <c r="J141" i="7"/>
  <c r="I141" i="7"/>
  <c r="G141" i="7"/>
  <c r="F141" i="7"/>
  <c r="K141" i="7" s="1"/>
  <c r="E141" i="7"/>
  <c r="C141" i="7"/>
  <c r="J140" i="7"/>
  <c r="L140" i="7" s="1"/>
  <c r="I140" i="7"/>
  <c r="G140" i="7"/>
  <c r="F140" i="7"/>
  <c r="E140" i="7"/>
  <c r="C140" i="7"/>
  <c r="J139" i="7"/>
  <c r="L139" i="7" s="1"/>
  <c r="I139" i="7"/>
  <c r="G139" i="7"/>
  <c r="F139" i="7"/>
  <c r="E139" i="7"/>
  <c r="C139" i="7"/>
  <c r="J138" i="7"/>
  <c r="I138" i="7"/>
  <c r="G138" i="7"/>
  <c r="F138" i="7"/>
  <c r="E138" i="7"/>
  <c r="C138" i="7"/>
  <c r="L137" i="7"/>
  <c r="J137" i="7"/>
  <c r="M137" i="7" s="1"/>
  <c r="I137" i="7"/>
  <c r="G137" i="7"/>
  <c r="F137" i="7"/>
  <c r="E137" i="7"/>
  <c r="C137" i="7"/>
  <c r="J136" i="7"/>
  <c r="I136" i="7"/>
  <c r="G136" i="7"/>
  <c r="E136" i="7"/>
  <c r="C136" i="7"/>
  <c r="J135" i="7"/>
  <c r="M135" i="7" s="1"/>
  <c r="I135" i="7"/>
  <c r="G135" i="7"/>
  <c r="F135" i="7"/>
  <c r="E135" i="7"/>
  <c r="C135" i="7"/>
  <c r="L134" i="7"/>
  <c r="J134" i="7"/>
  <c r="M134" i="7" s="1"/>
  <c r="I134" i="7"/>
  <c r="G134" i="7"/>
  <c r="F134" i="7"/>
  <c r="E134" i="7"/>
  <c r="C134" i="7"/>
  <c r="J133" i="7"/>
  <c r="M133" i="7" s="1"/>
  <c r="I133" i="7"/>
  <c r="G133" i="7"/>
  <c r="F133" i="7"/>
  <c r="E133" i="7"/>
  <c r="C133" i="7"/>
  <c r="J132" i="7"/>
  <c r="I132" i="7"/>
  <c r="G132" i="7"/>
  <c r="F132" i="7"/>
  <c r="K132" i="7" s="1"/>
  <c r="E132" i="7"/>
  <c r="C132" i="7"/>
  <c r="L131" i="7"/>
  <c r="J131" i="7"/>
  <c r="M131" i="7" s="1"/>
  <c r="I131" i="7"/>
  <c r="G131" i="7"/>
  <c r="F131" i="7"/>
  <c r="K131" i="7" s="1"/>
  <c r="E131" i="7"/>
  <c r="C131" i="7"/>
  <c r="J130" i="7"/>
  <c r="I130" i="7"/>
  <c r="G130" i="7"/>
  <c r="E130" i="7"/>
  <c r="C130" i="7"/>
  <c r="M129" i="7"/>
  <c r="L129" i="7"/>
  <c r="J129" i="7"/>
  <c r="I129" i="7"/>
  <c r="G129" i="7"/>
  <c r="F129" i="7"/>
  <c r="K129" i="7" s="1"/>
  <c r="E129" i="7"/>
  <c r="C129" i="7"/>
  <c r="I128" i="7"/>
  <c r="G128" i="7"/>
  <c r="F128" i="7"/>
  <c r="E128" i="7"/>
  <c r="C128" i="7"/>
  <c r="J127" i="7"/>
  <c r="M127" i="7" s="1"/>
  <c r="I127" i="7"/>
  <c r="G127" i="7"/>
  <c r="F127" i="7"/>
  <c r="E127" i="7"/>
  <c r="C127" i="7"/>
  <c r="J126" i="7"/>
  <c r="L126" i="7" s="1"/>
  <c r="I126" i="7"/>
  <c r="G126" i="7"/>
  <c r="F126" i="7"/>
  <c r="E126" i="7"/>
  <c r="C126" i="7"/>
  <c r="J125" i="7"/>
  <c r="L125" i="7" s="1"/>
  <c r="I125" i="7"/>
  <c r="G125" i="7"/>
  <c r="F125" i="7"/>
  <c r="E125" i="7"/>
  <c r="C125" i="7"/>
  <c r="J124" i="7"/>
  <c r="I124" i="7"/>
  <c r="G124" i="7"/>
  <c r="F124" i="7"/>
  <c r="E124" i="7"/>
  <c r="C124" i="7"/>
  <c r="J123" i="7"/>
  <c r="M123" i="7" s="1"/>
  <c r="I123" i="7"/>
  <c r="G123" i="7"/>
  <c r="F123" i="7"/>
  <c r="E123" i="7"/>
  <c r="C123" i="7"/>
  <c r="J122" i="7"/>
  <c r="M122" i="7" s="1"/>
  <c r="I122" i="7"/>
  <c r="G122" i="7"/>
  <c r="F122" i="7"/>
  <c r="E122" i="7"/>
  <c r="C122" i="7"/>
  <c r="J121" i="7"/>
  <c r="M121" i="7" s="1"/>
  <c r="I121" i="7"/>
  <c r="G121" i="7"/>
  <c r="F121" i="7"/>
  <c r="E121" i="7"/>
  <c r="C121" i="7"/>
  <c r="K120" i="7"/>
  <c r="J120" i="7"/>
  <c r="M120" i="7" s="1"/>
  <c r="I120" i="7"/>
  <c r="G120" i="7"/>
  <c r="F120" i="7"/>
  <c r="E120" i="7"/>
  <c r="C120" i="7"/>
  <c r="K119" i="7"/>
  <c r="J119" i="7"/>
  <c r="M119" i="7" s="1"/>
  <c r="I119" i="7"/>
  <c r="G119" i="7"/>
  <c r="F119" i="7"/>
  <c r="E119" i="7"/>
  <c r="C119" i="7"/>
  <c r="K118" i="7"/>
  <c r="J118" i="7"/>
  <c r="M118" i="7" s="1"/>
  <c r="I118" i="7"/>
  <c r="G118" i="7"/>
  <c r="F118" i="7"/>
  <c r="E118" i="7"/>
  <c r="C118" i="7"/>
  <c r="L117" i="7"/>
  <c r="J117" i="7"/>
  <c r="M117" i="7" s="1"/>
  <c r="I117" i="7"/>
  <c r="G117" i="7"/>
  <c r="F117" i="7"/>
  <c r="E117" i="7"/>
  <c r="C117" i="7"/>
  <c r="K116" i="7"/>
  <c r="J116" i="7"/>
  <c r="M116" i="7" s="1"/>
  <c r="I116" i="7"/>
  <c r="G116" i="7"/>
  <c r="F116" i="7"/>
  <c r="E116" i="7"/>
  <c r="C116" i="7"/>
  <c r="J115" i="7"/>
  <c r="M115" i="7" s="1"/>
  <c r="I115" i="7"/>
  <c r="G115" i="7"/>
  <c r="F115" i="7"/>
  <c r="E115" i="7"/>
  <c r="C115" i="7"/>
  <c r="K114" i="7"/>
  <c r="J114" i="7"/>
  <c r="M114" i="7" s="1"/>
  <c r="I114" i="7"/>
  <c r="G114" i="7"/>
  <c r="F114" i="7"/>
  <c r="E114" i="7"/>
  <c r="C114" i="7"/>
  <c r="M113" i="7"/>
  <c r="L113" i="7"/>
  <c r="K113" i="7"/>
  <c r="J113" i="7"/>
  <c r="I113" i="7"/>
  <c r="G113" i="7"/>
  <c r="F113" i="7"/>
  <c r="E113" i="7"/>
  <c r="C113" i="7"/>
  <c r="K112" i="7"/>
  <c r="J112" i="7"/>
  <c r="M112" i="7" s="1"/>
  <c r="I112" i="7"/>
  <c r="G112" i="7"/>
  <c r="F112" i="7"/>
  <c r="E112" i="7"/>
  <c r="C112" i="7"/>
  <c r="M111" i="7"/>
  <c r="L111" i="7"/>
  <c r="J111" i="7"/>
  <c r="I111" i="7"/>
  <c r="H111" i="7"/>
  <c r="G111" i="7"/>
  <c r="F111" i="7"/>
  <c r="K111" i="7" s="1"/>
  <c r="E111" i="7"/>
  <c r="C111" i="7"/>
  <c r="K110" i="7"/>
  <c r="J110" i="7"/>
  <c r="M110" i="7" s="1"/>
  <c r="I110" i="7"/>
  <c r="H110" i="7"/>
  <c r="G110" i="7"/>
  <c r="F110" i="7"/>
  <c r="E110" i="7"/>
  <c r="C110" i="7"/>
  <c r="J109" i="7"/>
  <c r="M109" i="7" s="1"/>
  <c r="I109" i="7"/>
  <c r="G109" i="7"/>
  <c r="F109" i="7"/>
  <c r="E109" i="7"/>
  <c r="C109" i="7"/>
  <c r="K108" i="7"/>
  <c r="J108" i="7"/>
  <c r="M108" i="7" s="1"/>
  <c r="I108" i="7"/>
  <c r="G108" i="7"/>
  <c r="F108" i="7"/>
  <c r="E108" i="7"/>
  <c r="C108" i="7"/>
  <c r="J107" i="7"/>
  <c r="M107" i="7" s="1"/>
  <c r="I107" i="7"/>
  <c r="G107" i="7"/>
  <c r="F107" i="7"/>
  <c r="E107" i="7"/>
  <c r="C107" i="7"/>
  <c r="K106" i="7"/>
  <c r="J106" i="7"/>
  <c r="M106" i="7" s="1"/>
  <c r="I106" i="7"/>
  <c r="G106" i="7"/>
  <c r="F106" i="7"/>
  <c r="E106" i="7"/>
  <c r="C106" i="7"/>
  <c r="J105" i="7"/>
  <c r="I105" i="7"/>
  <c r="G105" i="7"/>
  <c r="E105" i="7"/>
  <c r="C105" i="7"/>
  <c r="J104" i="7"/>
  <c r="I104" i="7"/>
  <c r="G104" i="7"/>
  <c r="E104" i="7"/>
  <c r="C104" i="7"/>
  <c r="J103" i="7"/>
  <c r="M103" i="7" s="1"/>
  <c r="I103" i="7"/>
  <c r="G103" i="7"/>
  <c r="F103" i="7"/>
  <c r="E103" i="7"/>
  <c r="C103" i="7"/>
  <c r="J102" i="7"/>
  <c r="M102" i="7" s="1"/>
  <c r="I102" i="7"/>
  <c r="G102" i="7"/>
  <c r="F102" i="7"/>
  <c r="E102" i="7"/>
  <c r="C102" i="7"/>
  <c r="M101" i="7"/>
  <c r="L101" i="7"/>
  <c r="J101" i="7"/>
  <c r="K101" i="7" s="1"/>
  <c r="I101" i="7"/>
  <c r="G101" i="7"/>
  <c r="F101" i="7"/>
  <c r="E101" i="7"/>
  <c r="C101" i="7"/>
  <c r="J100" i="7"/>
  <c r="M100" i="7" s="1"/>
  <c r="I100" i="7"/>
  <c r="G100" i="7"/>
  <c r="F100" i="7"/>
  <c r="E100" i="7"/>
  <c r="C100" i="7"/>
  <c r="J99" i="7"/>
  <c r="M99" i="7" s="1"/>
  <c r="I99" i="7"/>
  <c r="G99" i="7"/>
  <c r="F99" i="7"/>
  <c r="E99" i="7"/>
  <c r="C99" i="7"/>
  <c r="J98" i="7"/>
  <c r="M98" i="7" s="1"/>
  <c r="I98" i="7"/>
  <c r="G98" i="7"/>
  <c r="F98" i="7"/>
  <c r="E98" i="7"/>
  <c r="C98" i="7"/>
  <c r="M97" i="7"/>
  <c r="L97" i="7"/>
  <c r="J97" i="7"/>
  <c r="I97" i="7"/>
  <c r="G97" i="7"/>
  <c r="F97" i="7"/>
  <c r="E97" i="7"/>
  <c r="C97" i="7"/>
  <c r="J95" i="7"/>
  <c r="I95" i="7"/>
  <c r="G95" i="7"/>
  <c r="E95" i="7"/>
  <c r="C95" i="7"/>
  <c r="J94" i="7"/>
  <c r="M94" i="7" s="1"/>
  <c r="I94" i="7"/>
  <c r="G94" i="7"/>
  <c r="F94" i="7"/>
  <c r="K94" i="7" s="1"/>
  <c r="E94" i="7"/>
  <c r="C94" i="7"/>
  <c r="J93" i="7"/>
  <c r="I93" i="7"/>
  <c r="G93" i="7"/>
  <c r="F93" i="7"/>
  <c r="E93" i="7"/>
  <c r="C93" i="7"/>
  <c r="J92" i="7"/>
  <c r="M92" i="7" s="1"/>
  <c r="I92" i="7"/>
  <c r="G92" i="7"/>
  <c r="F92" i="7"/>
  <c r="E92" i="7"/>
  <c r="C92" i="7"/>
  <c r="J91" i="7"/>
  <c r="I91" i="7"/>
  <c r="G91" i="7"/>
  <c r="F91" i="7"/>
  <c r="E91" i="7"/>
  <c r="C91" i="7"/>
  <c r="J90" i="7"/>
  <c r="M90" i="7" s="1"/>
  <c r="I90" i="7"/>
  <c r="G90" i="7"/>
  <c r="F90" i="7"/>
  <c r="E90" i="7"/>
  <c r="C90" i="7"/>
  <c r="J89" i="7"/>
  <c r="I89" i="7"/>
  <c r="G89" i="7"/>
  <c r="F89" i="7"/>
  <c r="E89" i="7"/>
  <c r="C89" i="7"/>
  <c r="J88" i="7"/>
  <c r="M88" i="7" s="1"/>
  <c r="I88" i="7"/>
  <c r="G88" i="7"/>
  <c r="F88" i="7"/>
  <c r="E88" i="7"/>
  <c r="C88" i="7"/>
  <c r="J87" i="7"/>
  <c r="I87" i="7"/>
  <c r="G87" i="7"/>
  <c r="F87" i="7"/>
  <c r="K87" i="7" s="1"/>
  <c r="E87" i="7"/>
  <c r="C87" i="7"/>
  <c r="M86" i="7"/>
  <c r="L86" i="7"/>
  <c r="J86" i="7"/>
  <c r="I86" i="7"/>
  <c r="G86" i="7"/>
  <c r="F86" i="7"/>
  <c r="K86" i="7" s="1"/>
  <c r="E86" i="7"/>
  <c r="C86" i="7"/>
  <c r="J85" i="7"/>
  <c r="I85" i="7"/>
  <c r="G85" i="7"/>
  <c r="F85" i="7"/>
  <c r="K85" i="7" s="1"/>
  <c r="E85" i="7"/>
  <c r="C85" i="7"/>
  <c r="M84" i="7"/>
  <c r="L84" i="7"/>
  <c r="J84" i="7"/>
  <c r="I84" i="7"/>
  <c r="G84" i="7"/>
  <c r="F84" i="7"/>
  <c r="K84" i="7" s="1"/>
  <c r="E84" i="7"/>
  <c r="C84" i="7"/>
  <c r="J83" i="7"/>
  <c r="I83" i="7"/>
  <c r="G83" i="7"/>
  <c r="F83" i="7"/>
  <c r="K83" i="7" s="1"/>
  <c r="E83" i="7"/>
  <c r="C83" i="7"/>
  <c r="M82" i="7"/>
  <c r="L82" i="7"/>
  <c r="J82" i="7"/>
  <c r="I82" i="7"/>
  <c r="G82" i="7"/>
  <c r="F82" i="7"/>
  <c r="K82" i="7" s="1"/>
  <c r="E82" i="7"/>
  <c r="C82" i="7"/>
  <c r="J81" i="7"/>
  <c r="I81" i="7"/>
  <c r="G81" i="7"/>
  <c r="F81" i="7"/>
  <c r="E81" i="7"/>
  <c r="C81" i="7"/>
  <c r="J80" i="7"/>
  <c r="M80" i="7" s="1"/>
  <c r="I80" i="7"/>
  <c r="G80" i="7"/>
  <c r="F80" i="7"/>
  <c r="E80" i="7"/>
  <c r="C80" i="7"/>
  <c r="J79" i="7"/>
  <c r="I79" i="7"/>
  <c r="G79" i="7"/>
  <c r="F79" i="7"/>
  <c r="E79" i="7"/>
  <c r="C79" i="7"/>
  <c r="J78" i="7"/>
  <c r="M78" i="7" s="1"/>
  <c r="I78" i="7"/>
  <c r="G78" i="7"/>
  <c r="F78" i="7"/>
  <c r="E78" i="7"/>
  <c r="C78" i="7"/>
  <c r="J77" i="7"/>
  <c r="M77" i="7" s="1"/>
  <c r="I77" i="7"/>
  <c r="G77" i="7"/>
  <c r="F77" i="7"/>
  <c r="E77" i="7"/>
  <c r="C77" i="7"/>
  <c r="J76" i="7"/>
  <c r="L76" i="7" s="1"/>
  <c r="I76" i="7"/>
  <c r="G76" i="7"/>
  <c r="F76" i="7"/>
  <c r="E76" i="7"/>
  <c r="C76" i="7"/>
  <c r="K75" i="7"/>
  <c r="J75" i="7"/>
  <c r="I75" i="7"/>
  <c r="G75" i="7"/>
  <c r="F75" i="7"/>
  <c r="E75" i="7"/>
  <c r="C75" i="7"/>
  <c r="J74" i="7"/>
  <c r="M74" i="7" s="1"/>
  <c r="I74" i="7"/>
  <c r="G74" i="7"/>
  <c r="F74" i="7"/>
  <c r="E74" i="7"/>
  <c r="C74" i="7"/>
  <c r="J73" i="7"/>
  <c r="M73" i="7" s="1"/>
  <c r="I73" i="7"/>
  <c r="G73" i="7"/>
  <c r="F73" i="7"/>
  <c r="E73" i="7"/>
  <c r="C73" i="7"/>
  <c r="J72" i="7"/>
  <c r="M72" i="7" s="1"/>
  <c r="I72" i="7"/>
  <c r="G72" i="7"/>
  <c r="F72" i="7"/>
  <c r="K72" i="7" s="1"/>
  <c r="E72" i="7"/>
  <c r="C72" i="7"/>
  <c r="J71" i="7"/>
  <c r="M71" i="7" s="1"/>
  <c r="I71" i="7"/>
  <c r="G71" i="7"/>
  <c r="F71" i="7"/>
  <c r="E71" i="7"/>
  <c r="C71" i="7"/>
  <c r="J70" i="7"/>
  <c r="M70" i="7" s="1"/>
  <c r="I70" i="7"/>
  <c r="G70" i="7"/>
  <c r="F70" i="7"/>
  <c r="K70" i="7" s="1"/>
  <c r="E70" i="7"/>
  <c r="C70" i="7"/>
  <c r="J69" i="7"/>
  <c r="M69" i="7" s="1"/>
  <c r="I69" i="7"/>
  <c r="G69" i="7"/>
  <c r="F69" i="7"/>
  <c r="E69" i="7"/>
  <c r="C69" i="7"/>
  <c r="J68" i="7"/>
  <c r="M68" i="7" s="1"/>
  <c r="I68" i="7"/>
  <c r="G68" i="7"/>
  <c r="F68" i="7"/>
  <c r="K68" i="7" s="1"/>
  <c r="E68" i="7"/>
  <c r="C68" i="7"/>
  <c r="L67" i="7"/>
  <c r="J67" i="7"/>
  <c r="M67" i="7" s="1"/>
  <c r="I67" i="7"/>
  <c r="G67" i="7"/>
  <c r="F67" i="7"/>
  <c r="K67" i="7" s="1"/>
  <c r="E67" i="7"/>
  <c r="C67" i="7"/>
  <c r="J66" i="7"/>
  <c r="M66" i="7" s="1"/>
  <c r="I66" i="7"/>
  <c r="G66" i="7"/>
  <c r="F66" i="7"/>
  <c r="K66" i="7" s="1"/>
  <c r="E66" i="7"/>
  <c r="C66" i="7"/>
  <c r="L65" i="7"/>
  <c r="J65" i="7"/>
  <c r="M65" i="7" s="1"/>
  <c r="I65" i="7"/>
  <c r="G65" i="7"/>
  <c r="F65" i="7"/>
  <c r="K65" i="7" s="1"/>
  <c r="E65" i="7"/>
  <c r="C65" i="7"/>
  <c r="J64" i="7"/>
  <c r="M64" i="7" s="1"/>
  <c r="I64" i="7"/>
  <c r="G64" i="7"/>
  <c r="F64" i="7"/>
  <c r="E64" i="7"/>
  <c r="C64" i="7"/>
  <c r="J63" i="7"/>
  <c r="M63" i="7" s="1"/>
  <c r="I63" i="7"/>
  <c r="G63" i="7"/>
  <c r="F63" i="7"/>
  <c r="E63" i="7"/>
  <c r="C63" i="7"/>
  <c r="J62" i="7"/>
  <c r="M62" i="7" s="1"/>
  <c r="I62" i="7"/>
  <c r="G62" i="7"/>
  <c r="F62" i="7"/>
  <c r="E62" i="7"/>
  <c r="C62" i="7"/>
  <c r="J61" i="7"/>
  <c r="M61" i="7" s="1"/>
  <c r="I61" i="7"/>
  <c r="G61" i="7"/>
  <c r="F61" i="7"/>
  <c r="K61" i="7" s="1"/>
  <c r="E61" i="7"/>
  <c r="C61" i="7"/>
  <c r="J60" i="7"/>
  <c r="M60" i="7" s="1"/>
  <c r="I60" i="7"/>
  <c r="G60" i="7"/>
  <c r="F60" i="7"/>
  <c r="E60" i="7"/>
  <c r="C60" i="7"/>
  <c r="J59" i="7"/>
  <c r="M59" i="7" s="1"/>
  <c r="I59" i="7"/>
  <c r="G59" i="7"/>
  <c r="F59" i="7"/>
  <c r="E59" i="7"/>
  <c r="C59" i="7"/>
  <c r="J58" i="7"/>
  <c r="M58" i="7" s="1"/>
  <c r="I58" i="7"/>
  <c r="H58" i="7"/>
  <c r="G58" i="7"/>
  <c r="F58" i="7"/>
  <c r="K58" i="7" s="1"/>
  <c r="E58" i="7"/>
  <c r="C58" i="7"/>
  <c r="J57" i="7"/>
  <c r="M57" i="7" s="1"/>
  <c r="I57" i="7"/>
  <c r="G57" i="7"/>
  <c r="F57" i="7"/>
  <c r="E57" i="7"/>
  <c r="C57" i="7"/>
  <c r="J56" i="7"/>
  <c r="M56" i="7" s="1"/>
  <c r="I56" i="7"/>
  <c r="G56" i="7"/>
  <c r="F56" i="7"/>
  <c r="E56" i="7"/>
  <c r="C56" i="7"/>
  <c r="J55" i="7"/>
  <c r="I55" i="7"/>
  <c r="G55" i="7"/>
  <c r="E55" i="7"/>
  <c r="C55" i="7"/>
  <c r="AI54" i="7"/>
  <c r="AC54" i="7"/>
  <c r="J54" i="7" s="1"/>
  <c r="Y54" i="7"/>
  <c r="I54" i="7"/>
  <c r="G54" i="7"/>
  <c r="E54" i="7"/>
  <c r="C54" i="7"/>
  <c r="J53" i="7"/>
  <c r="M53" i="7" s="1"/>
  <c r="I53" i="7"/>
  <c r="G53" i="7"/>
  <c r="F53" i="7"/>
  <c r="E53" i="7"/>
  <c r="C53" i="7"/>
  <c r="J52" i="7"/>
  <c r="L52" i="7" s="1"/>
  <c r="I52" i="7"/>
  <c r="G52" i="7"/>
  <c r="F52" i="7"/>
  <c r="E52" i="7"/>
  <c r="C52" i="7"/>
  <c r="J51" i="7"/>
  <c r="I51" i="7"/>
  <c r="G51" i="7"/>
  <c r="E51" i="7"/>
  <c r="C51" i="7"/>
  <c r="J50" i="7"/>
  <c r="M50" i="7" s="1"/>
  <c r="I50" i="7"/>
  <c r="G50" i="7"/>
  <c r="F50" i="7"/>
  <c r="E50" i="7"/>
  <c r="C50" i="7"/>
  <c r="J49" i="7"/>
  <c r="M49" i="7" s="1"/>
  <c r="I49" i="7"/>
  <c r="G49" i="7"/>
  <c r="F49" i="7"/>
  <c r="E49" i="7"/>
  <c r="C49" i="7"/>
  <c r="M48" i="7"/>
  <c r="K48" i="7"/>
  <c r="J48" i="7"/>
  <c r="L48" i="7" s="1"/>
  <c r="I48" i="7"/>
  <c r="G48" i="7"/>
  <c r="F48" i="7"/>
  <c r="E48" i="7"/>
  <c r="C48" i="7"/>
  <c r="M47" i="7"/>
  <c r="K47" i="7"/>
  <c r="J47" i="7"/>
  <c r="L47" i="7" s="1"/>
  <c r="I47" i="7"/>
  <c r="G47" i="7"/>
  <c r="F47" i="7"/>
  <c r="E47" i="7"/>
  <c r="C47" i="7"/>
  <c r="J46" i="7"/>
  <c r="L46" i="7" s="1"/>
  <c r="I46" i="7"/>
  <c r="G46" i="7"/>
  <c r="F46" i="7"/>
  <c r="E46" i="7"/>
  <c r="C46" i="7"/>
  <c r="J45" i="7"/>
  <c r="K45" i="7" s="1"/>
  <c r="I45" i="7"/>
  <c r="G45" i="7"/>
  <c r="F45" i="7"/>
  <c r="E45" i="7"/>
  <c r="C45" i="7"/>
  <c r="J44" i="7"/>
  <c r="L44" i="7" s="1"/>
  <c r="I44" i="7"/>
  <c r="G44" i="7"/>
  <c r="F44" i="7"/>
  <c r="E44" i="7"/>
  <c r="C44" i="7"/>
  <c r="M43" i="7"/>
  <c r="K43" i="7"/>
  <c r="J43" i="7"/>
  <c r="L43" i="7" s="1"/>
  <c r="I43" i="7"/>
  <c r="G43" i="7"/>
  <c r="F43" i="7"/>
  <c r="E43" i="7"/>
  <c r="C43" i="7"/>
  <c r="M42" i="7"/>
  <c r="L42" i="7"/>
  <c r="K42" i="7"/>
  <c r="J42" i="7"/>
  <c r="I42" i="7"/>
  <c r="G42" i="7"/>
  <c r="F42" i="7"/>
  <c r="E42" i="7"/>
  <c r="C42" i="7"/>
  <c r="M41" i="7"/>
  <c r="K41" i="7"/>
  <c r="J41" i="7"/>
  <c r="I41" i="7"/>
  <c r="G41" i="7"/>
  <c r="F41" i="7"/>
  <c r="L41" i="7" s="1"/>
  <c r="E41" i="7"/>
  <c r="C41" i="7"/>
  <c r="M40" i="7"/>
  <c r="K40" i="7"/>
  <c r="J40" i="7"/>
  <c r="L40" i="7" s="1"/>
  <c r="I40" i="7"/>
  <c r="G40" i="7"/>
  <c r="F40" i="7"/>
  <c r="E40" i="7"/>
  <c r="C40" i="7"/>
  <c r="J39" i="7"/>
  <c r="L39" i="7" s="1"/>
  <c r="I39" i="7"/>
  <c r="G39" i="7"/>
  <c r="F39" i="7"/>
  <c r="E39" i="7"/>
  <c r="C39" i="7"/>
  <c r="J38" i="7"/>
  <c r="M38" i="7" s="1"/>
  <c r="I38" i="7"/>
  <c r="G38" i="7"/>
  <c r="F38" i="7"/>
  <c r="E38" i="7"/>
  <c r="C38" i="7"/>
  <c r="M37" i="7"/>
  <c r="K37" i="7"/>
  <c r="J37" i="7"/>
  <c r="I37" i="7"/>
  <c r="G37" i="7"/>
  <c r="F37" i="7"/>
  <c r="L37" i="7" s="1"/>
  <c r="E37" i="7"/>
  <c r="C37" i="7"/>
  <c r="M36" i="7"/>
  <c r="K36" i="7"/>
  <c r="J36" i="7"/>
  <c r="L36" i="7" s="1"/>
  <c r="I36" i="7"/>
  <c r="G36" i="7"/>
  <c r="F36" i="7"/>
  <c r="E36" i="7"/>
  <c r="C36" i="7"/>
  <c r="M35" i="7"/>
  <c r="K35" i="7"/>
  <c r="J35" i="7"/>
  <c r="L35" i="7" s="1"/>
  <c r="I35" i="7"/>
  <c r="G35" i="7"/>
  <c r="F35" i="7"/>
  <c r="E35" i="7"/>
  <c r="C35" i="7"/>
  <c r="J34" i="7"/>
  <c r="M34" i="7" s="1"/>
  <c r="I34" i="7"/>
  <c r="G34" i="7"/>
  <c r="F34" i="7"/>
  <c r="E34" i="7"/>
  <c r="C34" i="7"/>
  <c r="M33" i="7"/>
  <c r="K33" i="7"/>
  <c r="J33" i="7"/>
  <c r="I33" i="7"/>
  <c r="G33" i="7"/>
  <c r="F33" i="7"/>
  <c r="L33" i="7" s="1"/>
  <c r="E33" i="7"/>
  <c r="C33" i="7"/>
  <c r="M32" i="7"/>
  <c r="K32" i="7"/>
  <c r="J32" i="7"/>
  <c r="L32" i="7" s="1"/>
  <c r="I32" i="7"/>
  <c r="G32" i="7"/>
  <c r="F32" i="7"/>
  <c r="E32" i="7"/>
  <c r="C32" i="7"/>
  <c r="M31" i="7"/>
  <c r="K31" i="7"/>
  <c r="J31" i="7"/>
  <c r="L31" i="7" s="1"/>
  <c r="I31" i="7"/>
  <c r="G31" i="7"/>
  <c r="F31" i="7"/>
  <c r="E31" i="7"/>
  <c r="C31" i="7"/>
  <c r="M30" i="7"/>
  <c r="L30" i="7"/>
  <c r="K30" i="7"/>
  <c r="J30" i="7"/>
  <c r="I30" i="7"/>
  <c r="G30" i="7"/>
  <c r="F30" i="7"/>
  <c r="E30" i="7"/>
  <c r="C30" i="7"/>
  <c r="K29" i="7"/>
  <c r="J29" i="7"/>
  <c r="L29" i="7" s="1"/>
  <c r="I29" i="7"/>
  <c r="G29" i="7"/>
  <c r="F29" i="7"/>
  <c r="M29" i="7" s="1"/>
  <c r="E29" i="7"/>
  <c r="C29" i="7"/>
  <c r="M28" i="7"/>
  <c r="K28" i="7"/>
  <c r="J28" i="7"/>
  <c r="L28" i="7" s="1"/>
  <c r="I28" i="7"/>
  <c r="G28" i="7"/>
  <c r="F28" i="7"/>
  <c r="E28" i="7"/>
  <c r="C28" i="7"/>
  <c r="K27" i="7"/>
  <c r="J27" i="7"/>
  <c r="L27" i="7" s="1"/>
  <c r="I27" i="7"/>
  <c r="G27" i="7"/>
  <c r="F27" i="7"/>
  <c r="E27" i="7"/>
  <c r="C27" i="7"/>
  <c r="M26" i="7"/>
  <c r="L26" i="7"/>
  <c r="K26" i="7"/>
  <c r="J26" i="7"/>
  <c r="I26" i="7"/>
  <c r="G26" i="7"/>
  <c r="F26" i="7"/>
  <c r="E26" i="7"/>
  <c r="C26" i="7"/>
  <c r="M25" i="7"/>
  <c r="J25" i="7"/>
  <c r="L25" i="7" s="1"/>
  <c r="I25" i="7"/>
  <c r="G25" i="7"/>
  <c r="F25" i="7"/>
  <c r="K25" i="7" s="1"/>
  <c r="E25" i="7"/>
  <c r="C25" i="7"/>
  <c r="J24" i="7"/>
  <c r="L24" i="7" s="1"/>
  <c r="I24" i="7"/>
  <c r="G24" i="7"/>
  <c r="F24" i="7"/>
  <c r="E24" i="7"/>
  <c r="C24" i="7"/>
  <c r="J23" i="7"/>
  <c r="L23" i="7" s="1"/>
  <c r="I23" i="7"/>
  <c r="G23" i="7"/>
  <c r="F23" i="7"/>
  <c r="E23" i="7"/>
  <c r="C23" i="7"/>
  <c r="J22" i="7"/>
  <c r="M22" i="7" s="1"/>
  <c r="I22" i="7"/>
  <c r="G22" i="7"/>
  <c r="F22" i="7"/>
  <c r="K22" i="7" s="1"/>
  <c r="E22" i="7"/>
  <c r="C22" i="7"/>
  <c r="M21" i="7"/>
  <c r="L21" i="7"/>
  <c r="J21" i="7"/>
  <c r="K21" i="7" s="1"/>
  <c r="I21" i="7"/>
  <c r="G21" i="7"/>
  <c r="F21" i="7"/>
  <c r="E21" i="7"/>
  <c r="C21" i="7"/>
  <c r="J20" i="7"/>
  <c r="M20" i="7" s="1"/>
  <c r="I20" i="7"/>
  <c r="G20" i="7"/>
  <c r="F20" i="7"/>
  <c r="E20" i="7"/>
  <c r="C20" i="7"/>
  <c r="L19" i="7"/>
  <c r="J19" i="7"/>
  <c r="I19" i="7"/>
  <c r="G19" i="7"/>
  <c r="F19" i="7"/>
  <c r="K19" i="7" s="1"/>
  <c r="E19" i="7"/>
  <c r="C19" i="7"/>
  <c r="J18" i="7"/>
  <c r="M18" i="7" s="1"/>
  <c r="I18" i="7"/>
  <c r="G18" i="7"/>
  <c r="F18" i="7"/>
  <c r="E18" i="7"/>
  <c r="C18" i="7"/>
  <c r="J17" i="7"/>
  <c r="M17" i="7" s="1"/>
  <c r="I17" i="7"/>
  <c r="G17" i="7"/>
  <c r="F17" i="7"/>
  <c r="E17" i="7"/>
  <c r="C17" i="7"/>
  <c r="J16" i="7"/>
  <c r="M16" i="7" s="1"/>
  <c r="I16" i="7"/>
  <c r="G16" i="7"/>
  <c r="F16" i="7"/>
  <c r="E16" i="7"/>
  <c r="C16" i="7"/>
  <c r="L15" i="7"/>
  <c r="J15" i="7"/>
  <c r="I15" i="7"/>
  <c r="G15" i="7"/>
  <c r="F15" i="7"/>
  <c r="K15" i="7" s="1"/>
  <c r="E15" i="7"/>
  <c r="C15" i="7"/>
  <c r="J14" i="7"/>
  <c r="M14" i="7" s="1"/>
  <c r="I14" i="7"/>
  <c r="G14" i="7"/>
  <c r="F14" i="7"/>
  <c r="K14" i="7" s="1"/>
  <c r="E14" i="7"/>
  <c r="C14" i="7"/>
  <c r="M13" i="7"/>
  <c r="L13" i="7"/>
  <c r="J13" i="7"/>
  <c r="I13" i="7"/>
  <c r="G13" i="7"/>
  <c r="F13" i="7"/>
  <c r="K13" i="7" s="1"/>
  <c r="E13" i="7"/>
  <c r="C13" i="7"/>
  <c r="J12" i="7"/>
  <c r="M12" i="7" s="1"/>
  <c r="I12" i="7"/>
  <c r="G12" i="7"/>
  <c r="F12" i="7"/>
  <c r="E12" i="7"/>
  <c r="C12" i="7"/>
  <c r="J11" i="7"/>
  <c r="L11" i="7" s="1"/>
  <c r="I11" i="7"/>
  <c r="G11" i="7"/>
  <c r="F11" i="7"/>
  <c r="E11" i="7"/>
  <c r="C11" i="7"/>
  <c r="J10" i="7"/>
  <c r="M10" i="7" s="1"/>
  <c r="I10" i="7"/>
  <c r="G10" i="7"/>
  <c r="F10" i="7"/>
  <c r="K10" i="7" s="1"/>
  <c r="E10" i="7"/>
  <c r="C10" i="7"/>
  <c r="J9" i="7"/>
  <c r="M9" i="7" s="1"/>
  <c r="I9" i="7"/>
  <c r="G9" i="7"/>
  <c r="F9" i="7"/>
  <c r="E9" i="7"/>
  <c r="C9" i="7"/>
  <c r="J8" i="7"/>
  <c r="M8" i="7" s="1"/>
  <c r="I8" i="7"/>
  <c r="G8" i="7"/>
  <c r="F8" i="7"/>
  <c r="K8" i="7" s="1"/>
  <c r="E8" i="7"/>
  <c r="C8" i="7"/>
  <c r="L7" i="7"/>
  <c r="J7" i="7"/>
  <c r="M7" i="7" s="1"/>
  <c r="I7" i="7"/>
  <c r="G7" i="7"/>
  <c r="F7" i="7"/>
  <c r="K7" i="7" s="1"/>
  <c r="E7" i="7"/>
  <c r="C7" i="7"/>
  <c r="J6" i="7"/>
  <c r="M6" i="7" s="1"/>
  <c r="I6" i="7"/>
  <c r="G6" i="7"/>
  <c r="F6" i="7"/>
  <c r="K6" i="7" s="1"/>
  <c r="E6" i="7"/>
  <c r="C6" i="7"/>
  <c r="M5" i="7"/>
  <c r="L5" i="7"/>
  <c r="J5" i="7"/>
  <c r="I5" i="7"/>
  <c r="G5" i="7"/>
  <c r="F5" i="7"/>
  <c r="K5" i="7" s="1"/>
  <c r="E5" i="7"/>
  <c r="C5" i="7"/>
  <c r="J4" i="7"/>
  <c r="M4" i="7" s="1"/>
  <c r="I4" i="7"/>
  <c r="H4" i="7"/>
  <c r="G4" i="7"/>
  <c r="F4" i="7"/>
  <c r="E4" i="7"/>
  <c r="C4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B6" i="6"/>
  <c r="B63" i="5"/>
  <c r="S41" i="8" s="1"/>
  <c r="B61" i="5"/>
  <c r="S40" i="8" s="1"/>
  <c r="B59" i="5"/>
  <c r="S39" i="8" s="1"/>
  <c r="B57" i="5"/>
  <c r="S38" i="8" s="1"/>
  <c r="B55" i="5"/>
  <c r="S37" i="8" s="1"/>
  <c r="B53" i="5"/>
  <c r="S36" i="8" s="1"/>
  <c r="B51" i="5"/>
  <c r="S35" i="8" s="1"/>
  <c r="B50" i="5"/>
  <c r="B48" i="5"/>
  <c r="S34" i="8" s="1"/>
  <c r="B46" i="5"/>
  <c r="S33" i="8" s="1"/>
  <c r="B44" i="5"/>
  <c r="S32" i="8" s="1"/>
  <c r="B43" i="5"/>
  <c r="B41" i="5"/>
  <c r="S31" i="8" s="1"/>
  <c r="B39" i="5"/>
  <c r="S30" i="8" s="1"/>
  <c r="B37" i="5"/>
  <c r="S29" i="8" s="1"/>
  <c r="B35" i="5"/>
  <c r="S28" i="8" s="1"/>
  <c r="B33" i="5"/>
  <c r="S27" i="8" s="1"/>
  <c r="B29" i="5"/>
  <c r="S25" i="8" s="1"/>
  <c r="B27" i="5"/>
  <c r="S24" i="8" s="1"/>
  <c r="B25" i="5"/>
  <c r="S23" i="8" s="1"/>
  <c r="B23" i="5"/>
  <c r="S22" i="8" s="1"/>
  <c r="B21" i="5"/>
  <c r="S21" i="8" s="1"/>
  <c r="B19" i="5"/>
  <c r="S20" i="8" s="1"/>
  <c r="B17" i="5"/>
  <c r="S19" i="8" s="1"/>
  <c r="B15" i="5"/>
  <c r="S18" i="8" s="1"/>
  <c r="B13" i="5"/>
  <c r="S17" i="8" s="1"/>
  <c r="B12" i="5"/>
  <c r="Y36" i="4"/>
  <c r="Z36" i="4" s="1"/>
  <c r="L36" i="4"/>
  <c r="W36" i="4" s="1"/>
  <c r="X36" i="4" s="1"/>
  <c r="B36" i="4"/>
  <c r="L35" i="4"/>
  <c r="Y35" i="4" s="1"/>
  <c r="Z35" i="4" s="1"/>
  <c r="B35" i="4"/>
  <c r="L34" i="4"/>
  <c r="U34" i="4" s="1"/>
  <c r="V34" i="4" s="1"/>
  <c r="B34" i="4"/>
  <c r="T33" i="4"/>
  <c r="L33" i="4"/>
  <c r="B33" i="4"/>
  <c r="S32" i="4"/>
  <c r="L32" i="4"/>
  <c r="B32" i="4"/>
  <c r="Q31" i="4"/>
  <c r="R31" i="4" s="1"/>
  <c r="S31" i="4" s="1"/>
  <c r="L31" i="4"/>
  <c r="B31" i="4"/>
  <c r="P30" i="4"/>
  <c r="L30" i="4"/>
  <c r="B30" i="4"/>
  <c r="B29" i="4"/>
  <c r="L28" i="4"/>
  <c r="S28" i="4" s="1"/>
  <c r="T28" i="4" s="1"/>
  <c r="U28" i="4" s="1"/>
  <c r="W28" i="4" s="1"/>
  <c r="X28" i="4" s="1"/>
  <c r="Y28" i="4" s="1"/>
  <c r="Z28" i="4" s="1"/>
  <c r="B28" i="4"/>
  <c r="R27" i="4"/>
  <c r="S27" i="4" s="1"/>
  <c r="T27" i="4" s="1"/>
  <c r="Q27" i="4"/>
  <c r="L27" i="4"/>
  <c r="B27" i="4"/>
  <c r="L26" i="4"/>
  <c r="P26" i="4" s="1"/>
  <c r="B26" i="4"/>
  <c r="B25" i="4"/>
  <c r="U24" i="4"/>
  <c r="L24" i="4"/>
  <c r="R24" i="4" s="1"/>
  <c r="S24" i="4" s="1"/>
  <c r="T24" i="4" s="1"/>
  <c r="B24" i="4"/>
  <c r="L23" i="4"/>
  <c r="T23" i="4" s="1"/>
  <c r="B23" i="4"/>
  <c r="L22" i="4"/>
  <c r="P22" i="4" s="1"/>
  <c r="Q22" i="4" s="1"/>
  <c r="R22" i="4" s="1"/>
  <c r="S22" i="4" s="1"/>
  <c r="B22" i="4"/>
  <c r="R21" i="4"/>
  <c r="S21" i="4" s="1"/>
  <c r="L21" i="4"/>
  <c r="B21" i="4"/>
  <c r="S20" i="4"/>
  <c r="T20" i="4" s="1"/>
  <c r="U20" i="4" s="1"/>
  <c r="V20" i="4" s="1"/>
  <c r="W20" i="4" s="1"/>
  <c r="R20" i="4"/>
  <c r="L20" i="4"/>
  <c r="B20" i="4"/>
  <c r="L19" i="4"/>
  <c r="P19" i="4" s="1"/>
  <c r="Q19" i="4" s="1"/>
  <c r="R19" i="4" s="1"/>
  <c r="S19" i="4" s="1"/>
  <c r="T19" i="4" s="1"/>
  <c r="U19" i="4" s="1"/>
  <c r="B19" i="4"/>
  <c r="L18" i="4"/>
  <c r="R18" i="4" s="1"/>
  <c r="S18" i="4" s="1"/>
  <c r="B18" i="4"/>
  <c r="O17" i="4"/>
  <c r="P17" i="4" s="1"/>
  <c r="Q17" i="4" s="1"/>
  <c r="R17" i="4" s="1"/>
  <c r="S17" i="4" s="1"/>
  <c r="T17" i="4" s="1"/>
  <c r="U17" i="4" s="1"/>
  <c r="N17" i="4"/>
  <c r="L17" i="4"/>
  <c r="B17" i="4"/>
  <c r="Q16" i="4"/>
  <c r="P16" i="4"/>
  <c r="L16" i="4"/>
  <c r="B16" i="4"/>
  <c r="S15" i="4"/>
  <c r="R15" i="4"/>
  <c r="L15" i="4"/>
  <c r="B15" i="4"/>
  <c r="R14" i="4"/>
  <c r="Q14" i="4"/>
  <c r="L14" i="4"/>
  <c r="B14" i="4"/>
  <c r="L13" i="4"/>
  <c r="P13" i="4" s="1"/>
  <c r="Q13" i="4" s="1"/>
  <c r="R13" i="4" s="1"/>
  <c r="S13" i="4" s="1"/>
  <c r="B13" i="4"/>
  <c r="L12" i="4"/>
  <c r="B12" i="4"/>
  <c r="P11" i="4"/>
  <c r="O11" i="4"/>
  <c r="L11" i="4"/>
  <c r="B11" i="4"/>
  <c r="N10" i="4"/>
  <c r="N38" i="4" s="1"/>
  <c r="M10" i="4"/>
  <c r="M38" i="4" s="1"/>
  <c r="M39" i="4" s="1"/>
  <c r="L10" i="4"/>
  <c r="B10" i="4"/>
  <c r="B9" i="4"/>
  <c r="AP256" i="3"/>
  <c r="AO256" i="3"/>
  <c r="AK256" i="3"/>
  <c r="AI256" i="3"/>
  <c r="AH256" i="3"/>
  <c r="AE256" i="3"/>
  <c r="AD256" i="3"/>
  <c r="W256" i="3"/>
  <c r="V256" i="3"/>
  <c r="X41" i="8" s="1"/>
  <c r="U256" i="3"/>
  <c r="AL256" i="3" s="1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W255" i="3"/>
  <c r="J255" i="3"/>
  <c r="H255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W254" i="3"/>
  <c r="H254" i="3"/>
  <c r="J254" i="3" s="1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W253" i="3"/>
  <c r="J253" i="3"/>
  <c r="H253" i="3"/>
  <c r="H256" i="3" s="1"/>
  <c r="J256" i="3" s="1"/>
  <c r="L63" i="5" s="1"/>
  <c r="AO251" i="3"/>
  <c r="AK251" i="3"/>
  <c r="AG251" i="3"/>
  <c r="AC251" i="3"/>
  <c r="W251" i="3"/>
  <c r="V251" i="3"/>
  <c r="X40" i="8" s="1"/>
  <c r="U251" i="3"/>
  <c r="W40" i="8" s="1"/>
  <c r="H251" i="3"/>
  <c r="J251" i="3" s="1"/>
  <c r="L61" i="5" s="1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W250" i="3"/>
  <c r="H250" i="3"/>
  <c r="J250" i="3" s="1"/>
  <c r="AQ249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W249" i="3"/>
  <c r="J249" i="3"/>
  <c r="H249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W248" i="3"/>
  <c r="J248" i="3"/>
  <c r="H248" i="3"/>
  <c r="V246" i="3"/>
  <c r="X39" i="8" s="1"/>
  <c r="U246" i="3"/>
  <c r="W39" i="8" s="1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W245" i="3"/>
  <c r="J245" i="3"/>
  <c r="H245" i="3"/>
  <c r="AQ244" i="3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W244" i="3"/>
  <c r="J244" i="3"/>
  <c r="H244" i="3"/>
  <c r="AQ243" i="3"/>
  <c r="AP243" i="3"/>
  <c r="AO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W243" i="3"/>
  <c r="J243" i="3"/>
  <c r="H243" i="3"/>
  <c r="AQ242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W242" i="3"/>
  <c r="H242" i="3"/>
  <c r="J242" i="3" s="1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W241" i="3"/>
  <c r="J241" i="3"/>
  <c r="H241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W240" i="3"/>
  <c r="J240" i="3"/>
  <c r="H240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W239" i="3"/>
  <c r="J239" i="3"/>
  <c r="H239" i="3"/>
  <c r="E239" i="3"/>
  <c r="F136" i="7" s="1"/>
  <c r="K136" i="7" s="1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W238" i="3"/>
  <c r="J238" i="3"/>
  <c r="H238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W237" i="3"/>
  <c r="H237" i="3"/>
  <c r="J237" i="3" s="1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W236" i="3"/>
  <c r="J236" i="3"/>
  <c r="H236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W235" i="3"/>
  <c r="J235" i="3"/>
  <c r="H235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W234" i="3"/>
  <c r="J234" i="3"/>
  <c r="H234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W233" i="3"/>
  <c r="H233" i="3"/>
  <c r="H246" i="3" s="1"/>
  <c r="J246" i="3" s="1"/>
  <c r="L59" i="5" s="1"/>
  <c r="E233" i="3"/>
  <c r="F130" i="7" s="1"/>
  <c r="V231" i="3"/>
  <c r="X38" i="8" s="1"/>
  <c r="U231" i="3"/>
  <c r="W38" i="8" s="1"/>
  <c r="H231" i="3"/>
  <c r="J231" i="3" s="1"/>
  <c r="L57" i="5" s="1"/>
  <c r="AQ230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W230" i="3"/>
  <c r="J230" i="3"/>
  <c r="H230" i="3"/>
  <c r="AQ229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W229" i="3"/>
  <c r="J229" i="3"/>
  <c r="H229" i="3"/>
  <c r="AP227" i="3"/>
  <c r="AN227" i="3"/>
  <c r="AL227" i="3"/>
  <c r="AK227" i="3"/>
  <c r="AH227" i="3"/>
  <c r="AF227" i="3"/>
  <c r="AD227" i="3"/>
  <c r="AC227" i="3"/>
  <c r="W227" i="3"/>
  <c r="V227" i="3"/>
  <c r="X37" i="8" s="1"/>
  <c r="U227" i="3"/>
  <c r="W37" i="8" s="1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W226" i="3"/>
  <c r="H226" i="3"/>
  <c r="J226" i="3" s="1"/>
  <c r="AQ225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W225" i="3"/>
  <c r="J225" i="3"/>
  <c r="H225" i="3"/>
  <c r="H227" i="3" s="1"/>
  <c r="J227" i="3" s="1"/>
  <c r="L55" i="5" s="1"/>
  <c r="V223" i="3"/>
  <c r="X36" i="8" s="1"/>
  <c r="U223" i="3"/>
  <c r="W36" i="8" s="1"/>
  <c r="AQ222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W222" i="3"/>
  <c r="J222" i="3"/>
  <c r="H222" i="3"/>
  <c r="AQ221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W221" i="3"/>
  <c r="H221" i="3"/>
  <c r="J221" i="3" s="1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W220" i="3"/>
  <c r="J220" i="3"/>
  <c r="H220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W219" i="3"/>
  <c r="J219" i="3"/>
  <c r="H219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W218" i="3"/>
  <c r="J218" i="3"/>
  <c r="H218" i="3"/>
  <c r="H223" i="3" s="1"/>
  <c r="J223" i="3" s="1"/>
  <c r="L53" i="5" s="1"/>
  <c r="AC216" i="3"/>
  <c r="V216" i="3"/>
  <c r="X35" i="8" s="1"/>
  <c r="U216" i="3"/>
  <c r="W35" i="8" s="1"/>
  <c r="H216" i="3"/>
  <c r="J216" i="3" s="1"/>
  <c r="L51" i="5" s="1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W215" i="3"/>
  <c r="J215" i="3"/>
  <c r="H215" i="3"/>
  <c r="AQ214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W214" i="3"/>
  <c r="J214" i="3"/>
  <c r="H214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W213" i="3"/>
  <c r="J213" i="3"/>
  <c r="H213" i="3"/>
  <c r="AQ212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W212" i="3"/>
  <c r="H212" i="3"/>
  <c r="J212" i="3" s="1"/>
  <c r="V204" i="3"/>
  <c r="X34" i="8" s="1"/>
  <c r="U204" i="3"/>
  <c r="W34" i="8" s="1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W203" i="3"/>
  <c r="J203" i="3"/>
  <c r="H203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W202" i="3"/>
  <c r="J202" i="3"/>
  <c r="H202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W201" i="3"/>
  <c r="J201" i="3"/>
  <c r="H201" i="3"/>
  <c r="J200" i="3"/>
  <c r="H200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W199" i="3"/>
  <c r="J199" i="3"/>
  <c r="H199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W198" i="3"/>
  <c r="J198" i="3"/>
  <c r="H198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W197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W196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W195" i="3"/>
  <c r="J195" i="3"/>
  <c r="H195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W194" i="3"/>
  <c r="J194" i="3"/>
  <c r="H194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W193" i="3"/>
  <c r="H193" i="3"/>
  <c r="H204" i="3" s="1"/>
  <c r="J204" i="3" s="1"/>
  <c r="L48" i="5" s="1"/>
  <c r="H190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X189" i="3" a="1"/>
  <c r="X189" i="3" s="1"/>
  <c r="W189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X188" i="3" a="1"/>
  <c r="X188" i="3" s="1"/>
  <c r="W188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X187" i="3" a="1"/>
  <c r="X187" i="3" s="1"/>
  <c r="W187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X186" i="3" a="1"/>
  <c r="X186" i="3" s="1"/>
  <c r="W186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X185" i="3" a="1"/>
  <c r="X185" i="3" s="1"/>
  <c r="W185" i="3"/>
  <c r="E185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X184" i="3" a="1"/>
  <c r="X184" i="3"/>
  <c r="W184" i="3"/>
  <c r="AQ183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X183" i="3" a="1"/>
  <c r="X183" i="3" s="1"/>
  <c r="W183" i="3"/>
  <c r="E183" i="3"/>
  <c r="E187" i="3" s="1"/>
  <c r="AN180" i="3"/>
  <c r="AF180" i="3"/>
  <c r="V180" i="3"/>
  <c r="X33" i="8" s="1"/>
  <c r="U180" i="3"/>
  <c r="W33" i="8" s="1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W179" i="3"/>
  <c r="J179" i="3"/>
  <c r="H179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W178" i="3"/>
  <c r="J178" i="3"/>
  <c r="H178" i="3"/>
  <c r="E178" i="3"/>
  <c r="F105" i="7" s="1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W177" i="3"/>
  <c r="J177" i="3"/>
  <c r="H177" i="3"/>
  <c r="E177" i="3"/>
  <c r="F104" i="7" s="1"/>
  <c r="K104" i="7" s="1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W176" i="3"/>
  <c r="J176" i="3"/>
  <c r="H176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W175" i="3"/>
  <c r="H175" i="3"/>
  <c r="H180" i="3" s="1"/>
  <c r="J180" i="3" s="1"/>
  <c r="L46" i="5" s="1"/>
  <c r="AN172" i="3"/>
  <c r="AF172" i="3"/>
  <c r="V172" i="3"/>
  <c r="X32" i="8" s="1"/>
  <c r="U172" i="3"/>
  <c r="W32" i="8" s="1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W171" i="3"/>
  <c r="J171" i="3"/>
  <c r="H171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W170" i="3"/>
  <c r="J170" i="3"/>
  <c r="H170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W169" i="3"/>
  <c r="H169" i="3"/>
  <c r="J169" i="3" s="1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W168" i="3"/>
  <c r="J168" i="3"/>
  <c r="H168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W167" i="3"/>
  <c r="J167" i="3"/>
  <c r="H167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V144" i="3"/>
  <c r="X31" i="8" s="1"/>
  <c r="U144" i="3"/>
  <c r="W31" i="8" s="1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W143" i="3"/>
  <c r="J143" i="3"/>
  <c r="H143" i="3"/>
  <c r="E143" i="3"/>
  <c r="F95" i="7" s="1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W142" i="3"/>
  <c r="J142" i="3"/>
  <c r="H142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W141" i="3"/>
  <c r="J141" i="3"/>
  <c r="H141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W140" i="3"/>
  <c r="H140" i="3"/>
  <c r="J140" i="3" s="1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W139" i="3"/>
  <c r="J139" i="3"/>
  <c r="H139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W138" i="3"/>
  <c r="J138" i="3"/>
  <c r="H138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W137" i="3"/>
  <c r="J137" i="3"/>
  <c r="H137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W136" i="3"/>
  <c r="H136" i="3"/>
  <c r="H144" i="3" s="1"/>
  <c r="J144" i="3" s="1"/>
  <c r="L41" i="5" s="1"/>
  <c r="V133" i="3"/>
  <c r="X30" i="8" s="1"/>
  <c r="U133" i="3"/>
  <c r="W30" i="8" s="1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W132" i="3"/>
  <c r="J132" i="3"/>
  <c r="H132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W131" i="3"/>
  <c r="J131" i="3"/>
  <c r="H131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W130" i="3"/>
  <c r="H130" i="3"/>
  <c r="H133" i="3" s="1"/>
  <c r="J133" i="3" s="1"/>
  <c r="L39" i="5" s="1"/>
  <c r="H129" i="3"/>
  <c r="H128" i="3"/>
  <c r="AP127" i="3"/>
  <c r="AO127" i="3"/>
  <c r="AL127" i="3"/>
  <c r="AK127" i="3"/>
  <c r="AH127" i="3"/>
  <c r="AG127" i="3"/>
  <c r="AD127" i="3"/>
  <c r="AC127" i="3"/>
  <c r="W127" i="3"/>
  <c r="V127" i="3"/>
  <c r="X29" i="8" s="1"/>
  <c r="U127" i="3"/>
  <c r="W29" i="8" s="1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W126" i="3"/>
  <c r="H126" i="3"/>
  <c r="J126" i="3" s="1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W125" i="3"/>
  <c r="J125" i="3"/>
  <c r="H125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W124" i="3"/>
  <c r="J124" i="3"/>
  <c r="H124" i="3"/>
  <c r="H123" i="3"/>
  <c r="H122" i="3"/>
  <c r="V121" i="3"/>
  <c r="X28" i="8" s="1"/>
  <c r="U121" i="3"/>
  <c r="W28" i="8" s="1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W120" i="3"/>
  <c r="J120" i="3"/>
  <c r="H120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W119" i="3"/>
  <c r="J119" i="3"/>
  <c r="H119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W118" i="3"/>
  <c r="H118" i="3"/>
  <c r="J118" i="3" s="1"/>
  <c r="H117" i="3"/>
  <c r="H116" i="3"/>
  <c r="AN115" i="3"/>
  <c r="AH115" i="3"/>
  <c r="AF115" i="3"/>
  <c r="W115" i="3"/>
  <c r="V115" i="3"/>
  <c r="X27" i="8" s="1"/>
  <c r="U115" i="3"/>
  <c r="W27" i="8" s="1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W114" i="3"/>
  <c r="H114" i="3"/>
  <c r="J114" i="3" s="1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W113" i="3"/>
  <c r="J113" i="3"/>
  <c r="H113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W112" i="3"/>
  <c r="J112" i="3"/>
  <c r="H112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W111" i="3"/>
  <c r="J111" i="3"/>
  <c r="H111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W110" i="3"/>
  <c r="H110" i="3"/>
  <c r="H115" i="3" s="1"/>
  <c r="J115" i="3" s="1"/>
  <c r="L33" i="5" s="1"/>
  <c r="H109" i="3"/>
  <c r="H108" i="3"/>
  <c r="H107" i="3"/>
  <c r="V106" i="3"/>
  <c r="X26" i="8" s="1"/>
  <c r="U106" i="3"/>
  <c r="W26" i="8" s="1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W105" i="3"/>
  <c r="J105" i="3"/>
  <c r="H105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W104" i="3"/>
  <c r="H104" i="3"/>
  <c r="J104" i="3" s="1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W103" i="3"/>
  <c r="J103" i="3"/>
  <c r="H103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W102" i="3"/>
  <c r="J102" i="3"/>
  <c r="H102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W101" i="3"/>
  <c r="J101" i="3"/>
  <c r="H101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W100" i="3"/>
  <c r="H100" i="3"/>
  <c r="J100" i="3" s="1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W99" i="3"/>
  <c r="J99" i="3"/>
  <c r="H99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W98" i="3"/>
  <c r="J98" i="3"/>
  <c r="H98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W97" i="3"/>
  <c r="J97" i="3"/>
  <c r="H97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W96" i="3"/>
  <c r="H96" i="3"/>
  <c r="J96" i="3" s="1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W95" i="3"/>
  <c r="J95" i="3"/>
  <c r="H95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W94" i="3"/>
  <c r="J94" i="3"/>
  <c r="H94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W93" i="3"/>
  <c r="J93" i="3"/>
  <c r="H93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W92" i="3"/>
  <c r="H92" i="3"/>
  <c r="J92" i="3" s="1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W91" i="3"/>
  <c r="J91" i="3"/>
  <c r="H91" i="3"/>
  <c r="H106" i="3" s="1"/>
  <c r="J106" i="3" s="1"/>
  <c r="L31" i="5" s="1"/>
  <c r="H89" i="3"/>
  <c r="H88" i="3"/>
  <c r="AO87" i="3"/>
  <c r="AN87" i="3"/>
  <c r="AK87" i="3"/>
  <c r="AG87" i="3"/>
  <c r="AF87" i="3"/>
  <c r="AC87" i="3"/>
  <c r="W87" i="3"/>
  <c r="V87" i="3"/>
  <c r="X25" i="8" s="1"/>
  <c r="U87" i="3"/>
  <c r="W25" i="8" s="1"/>
  <c r="H87" i="3"/>
  <c r="J87" i="3" s="1"/>
  <c r="L29" i="5" s="1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W86" i="3"/>
  <c r="J86" i="3"/>
  <c r="H86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W85" i="3"/>
  <c r="J85" i="3"/>
  <c r="H85" i="3"/>
  <c r="H84" i="3"/>
  <c r="H83" i="3"/>
  <c r="AN82" i="3"/>
  <c r="AF82" i="3"/>
  <c r="V82" i="3"/>
  <c r="X24" i="8" s="1"/>
  <c r="U82" i="3"/>
  <c r="W24" i="8" s="1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X81" i="3" a="1"/>
  <c r="X81" i="3" s="1"/>
  <c r="W81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X80" i="3" a="1"/>
  <c r="X80" i="3" s="1"/>
  <c r="W80" i="3"/>
  <c r="J80" i="3"/>
  <c r="H80" i="3"/>
  <c r="E80" i="3"/>
  <c r="F54" i="7" s="1"/>
  <c r="K54" i="7" s="1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X79" i="3" a="1"/>
  <c r="X79" i="3" s="1"/>
  <c r="W79" i="3"/>
  <c r="J79" i="3"/>
  <c r="H79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X78" i="3" a="1"/>
  <c r="X78" i="3" s="1"/>
  <c r="W78" i="3"/>
  <c r="J78" i="3"/>
  <c r="H78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X77" i="3" a="1"/>
  <c r="X77" i="3" s="1"/>
  <c r="W77" i="3"/>
  <c r="H77" i="3"/>
  <c r="E77" i="3"/>
  <c r="F51" i="7" s="1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X76" i="3" a="1"/>
  <c r="X76" i="3" s="1"/>
  <c r="W76" i="3"/>
  <c r="H76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X75" i="3" a="1"/>
  <c r="X75" i="3" s="1"/>
  <c r="W75" i="3"/>
  <c r="H75" i="3"/>
  <c r="H74" i="3"/>
  <c r="H73" i="3"/>
  <c r="AM72" i="3"/>
  <c r="AE72" i="3"/>
  <c r="V72" i="3"/>
  <c r="X23" i="8" s="1"/>
  <c r="U72" i="3"/>
  <c r="W23" i="8" s="1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W71" i="3"/>
  <c r="J71" i="3"/>
  <c r="H71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W70" i="3"/>
  <c r="H70" i="3"/>
  <c r="J70" i="3" s="1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W69" i="3"/>
  <c r="J69" i="3"/>
  <c r="H69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W68" i="3"/>
  <c r="J68" i="3"/>
  <c r="H68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W67" i="3"/>
  <c r="J67" i="3"/>
  <c r="H67" i="3"/>
  <c r="H72" i="3" s="1"/>
  <c r="J72" i="3" s="1"/>
  <c r="L25" i="5" s="1"/>
  <c r="V64" i="3"/>
  <c r="X22" i="8" s="1"/>
  <c r="U64" i="3"/>
  <c r="W22" i="8" s="1"/>
  <c r="H64" i="3"/>
  <c r="J64" i="3" s="1"/>
  <c r="L23" i="5" s="1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W63" i="3"/>
  <c r="J63" i="3"/>
  <c r="H63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W62" i="3"/>
  <c r="J62" i="3"/>
  <c r="H62" i="3"/>
  <c r="H61" i="3"/>
  <c r="H60" i="3"/>
  <c r="AN59" i="3"/>
  <c r="AF59" i="3"/>
  <c r="V59" i="3"/>
  <c r="X21" i="8" s="1"/>
  <c r="U59" i="3"/>
  <c r="W21" i="8" s="1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W58" i="3"/>
  <c r="J58" i="3"/>
  <c r="H58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W57" i="3"/>
  <c r="J57" i="3"/>
  <c r="H57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W56" i="3"/>
  <c r="H56" i="3"/>
  <c r="J56" i="3" s="1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W55" i="3"/>
  <c r="J55" i="3"/>
  <c r="H55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W54" i="3"/>
  <c r="J54" i="3"/>
  <c r="H54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W53" i="3"/>
  <c r="J53" i="3"/>
  <c r="H53" i="3"/>
  <c r="H59" i="3" s="1"/>
  <c r="J59" i="3" s="1"/>
  <c r="L21" i="5" s="1"/>
  <c r="H52" i="3"/>
  <c r="H51" i="3"/>
  <c r="V50" i="3"/>
  <c r="X20" i="8" s="1"/>
  <c r="U50" i="3"/>
  <c r="W20" i="8" s="1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W49" i="3"/>
  <c r="J49" i="3"/>
  <c r="H49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W48" i="3"/>
  <c r="H48" i="3"/>
  <c r="J48" i="3" s="1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W47" i="3"/>
  <c r="J47" i="3"/>
  <c r="H47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W46" i="3"/>
  <c r="J46" i="3"/>
  <c r="H46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W45" i="3"/>
  <c r="J45" i="3"/>
  <c r="H45" i="3"/>
  <c r="H50" i="3" s="1"/>
  <c r="J50" i="3" s="1"/>
  <c r="L19" i="5" s="1"/>
  <c r="H44" i="3"/>
  <c r="H43" i="3"/>
  <c r="V42" i="3"/>
  <c r="X19" i="8" s="1"/>
  <c r="U42" i="3"/>
  <c r="W19" i="8" s="1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W41" i="3"/>
  <c r="J41" i="3"/>
  <c r="H41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W40" i="3"/>
  <c r="H40" i="3"/>
  <c r="J40" i="3" s="1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W39" i="3"/>
  <c r="H39" i="3"/>
  <c r="J39" i="3" s="1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W38" i="3"/>
  <c r="J38" i="3"/>
  <c r="H38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W37" i="3"/>
  <c r="J37" i="3"/>
  <c r="H37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W36" i="3"/>
  <c r="H36" i="3"/>
  <c r="J36" i="3" s="1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W35" i="3"/>
  <c r="J35" i="3"/>
  <c r="H35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W34" i="3"/>
  <c r="J34" i="3"/>
  <c r="H34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W33" i="3"/>
  <c r="H33" i="3"/>
  <c r="J33" i="3" s="1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W32" i="3"/>
  <c r="H32" i="3"/>
  <c r="H31" i="3"/>
  <c r="H30" i="3"/>
  <c r="V29" i="3"/>
  <c r="X18" i="8" s="1"/>
  <c r="U29" i="3"/>
  <c r="W18" i="8" s="1"/>
  <c r="H29" i="3"/>
  <c r="J29" i="3" s="1"/>
  <c r="L15" i="5" s="1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W28" i="3"/>
  <c r="H28" i="3"/>
  <c r="J28" i="3" s="1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W27" i="3"/>
  <c r="J27" i="3"/>
  <c r="H27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W26" i="3"/>
  <c r="J26" i="3"/>
  <c r="H26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W25" i="3"/>
  <c r="J25" i="3"/>
  <c r="H25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W24" i="3"/>
  <c r="H24" i="3"/>
  <c r="J24" i="3" s="1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W23" i="3"/>
  <c r="H23" i="3"/>
  <c r="J23" i="3" s="1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W22" i="3"/>
  <c r="J22" i="3"/>
  <c r="H22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W21" i="3"/>
  <c r="J21" i="3"/>
  <c r="H21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W20" i="3"/>
  <c r="H20" i="3"/>
  <c r="J20" i="3" s="1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W19" i="3"/>
  <c r="J19" i="3"/>
  <c r="H19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W18" i="3"/>
  <c r="J18" i="3"/>
  <c r="H18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W17" i="3"/>
  <c r="H17" i="3"/>
  <c r="J17" i="3" s="1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W16" i="3"/>
  <c r="J16" i="3"/>
  <c r="H16" i="3"/>
  <c r="V14" i="3"/>
  <c r="X17" i="8" s="1"/>
  <c r="U14" i="3"/>
  <c r="W17" i="8" s="1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X13" i="3" a="1"/>
  <c r="X13" i="3"/>
  <c r="W13" i="3"/>
  <c r="J13" i="3"/>
  <c r="H13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X12" i="3" a="1"/>
  <c r="X12" i="3" s="1"/>
  <c r="W12" i="3"/>
  <c r="J12" i="3"/>
  <c r="H12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X11" i="3" a="1"/>
  <c r="X11" i="3" s="1"/>
  <c r="W11" i="3"/>
  <c r="J11" i="3"/>
  <c r="H11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X10" i="3" a="1"/>
  <c r="X10" i="3" s="1"/>
  <c r="W10" i="3"/>
  <c r="H10" i="3"/>
  <c r="H14" i="3" s="1"/>
  <c r="J14" i="3" s="1"/>
  <c r="L13" i="5" s="1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X9" i="3" a="1"/>
  <c r="X9" i="3"/>
  <c r="W9" i="3"/>
  <c r="J9" i="3"/>
  <c r="H9" i="3"/>
  <c r="J255" i="2"/>
  <c r="H255" i="2"/>
  <c r="J254" i="2"/>
  <c r="H254" i="2"/>
  <c r="J253" i="2"/>
  <c r="H253" i="2"/>
  <c r="H256" i="2" s="1"/>
  <c r="J256" i="2" s="1"/>
  <c r="J250" i="2"/>
  <c r="H250" i="2"/>
  <c r="J249" i="2"/>
  <c r="H249" i="2"/>
  <c r="J248" i="2"/>
  <c r="H248" i="2"/>
  <c r="H251" i="2" s="1"/>
  <c r="J251" i="2" s="1"/>
  <c r="J245" i="2"/>
  <c r="H245" i="2"/>
  <c r="J244" i="2"/>
  <c r="H244" i="2"/>
  <c r="J243" i="2"/>
  <c r="H243" i="2"/>
  <c r="H242" i="2"/>
  <c r="J242" i="2" s="1"/>
  <c r="J241" i="2"/>
  <c r="H241" i="2"/>
  <c r="J240" i="2"/>
  <c r="H240" i="2"/>
  <c r="J239" i="2"/>
  <c r="H239" i="2"/>
  <c r="E239" i="2"/>
  <c r="H238" i="2"/>
  <c r="J238" i="2" s="1"/>
  <c r="J237" i="2"/>
  <c r="H237" i="2"/>
  <c r="H236" i="2"/>
  <c r="J236" i="2" s="1"/>
  <c r="J235" i="2"/>
  <c r="H235" i="2"/>
  <c r="H234" i="2"/>
  <c r="J234" i="2" s="1"/>
  <c r="J233" i="2"/>
  <c r="H233" i="2"/>
  <c r="H246" i="2" s="1"/>
  <c r="J246" i="2" s="1"/>
  <c r="E233" i="2"/>
  <c r="J231" i="2"/>
  <c r="H231" i="2"/>
  <c r="H230" i="2"/>
  <c r="J230" i="2" s="1"/>
  <c r="J229" i="2"/>
  <c r="H229" i="2"/>
  <c r="J226" i="2"/>
  <c r="H226" i="2"/>
  <c r="H225" i="2"/>
  <c r="J225" i="2" s="1"/>
  <c r="J222" i="2"/>
  <c r="H222" i="2"/>
  <c r="J221" i="2"/>
  <c r="H221" i="2"/>
  <c r="H220" i="2"/>
  <c r="J220" i="2" s="1"/>
  <c r="J219" i="2"/>
  <c r="H219" i="2"/>
  <c r="H223" i="2" s="1"/>
  <c r="J223" i="2" s="1"/>
  <c r="J218" i="2"/>
  <c r="H218" i="2"/>
  <c r="H215" i="2"/>
  <c r="J215" i="2" s="1"/>
  <c r="J214" i="2"/>
  <c r="H214" i="2"/>
  <c r="J213" i="2"/>
  <c r="H213" i="2"/>
  <c r="J212" i="2"/>
  <c r="H212" i="2"/>
  <c r="J203" i="2"/>
  <c r="H203" i="2"/>
  <c r="H202" i="2"/>
  <c r="J202" i="2" s="1"/>
  <c r="J201" i="2"/>
  <c r="H201" i="2"/>
  <c r="H200" i="2"/>
  <c r="J200" i="2" s="1"/>
  <c r="J199" i="2"/>
  <c r="H199" i="2"/>
  <c r="H198" i="2"/>
  <c r="J198" i="2" s="1"/>
  <c r="H195" i="2"/>
  <c r="J195" i="2" s="1"/>
  <c r="H194" i="2"/>
  <c r="J194" i="2" s="1"/>
  <c r="J193" i="2"/>
  <c r="H193" i="2"/>
  <c r="H190" i="2"/>
  <c r="E187" i="2"/>
  <c r="E185" i="2"/>
  <c r="E183" i="2"/>
  <c r="E184" i="2" s="1"/>
  <c r="J179" i="2"/>
  <c r="H179" i="2"/>
  <c r="J178" i="2"/>
  <c r="H178" i="2"/>
  <c r="E178" i="2"/>
  <c r="H177" i="2"/>
  <c r="J177" i="2" s="1"/>
  <c r="E177" i="2"/>
  <c r="J176" i="2"/>
  <c r="H176" i="2"/>
  <c r="J175" i="2"/>
  <c r="H175" i="2"/>
  <c r="H180" i="2" s="1"/>
  <c r="J180" i="2" s="1"/>
  <c r="J171" i="2"/>
  <c r="H171" i="2"/>
  <c r="J170" i="2"/>
  <c r="H170" i="2"/>
  <c r="J169" i="2"/>
  <c r="H169" i="2"/>
  <c r="H168" i="2"/>
  <c r="J168" i="2" s="1"/>
  <c r="J167" i="2"/>
  <c r="H167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E143" i="2"/>
  <c r="H143" i="2" s="1"/>
  <c r="J143" i="2" s="1"/>
  <c r="J142" i="2"/>
  <c r="H142" i="2"/>
  <c r="H141" i="2"/>
  <c r="J141" i="2" s="1"/>
  <c r="J140" i="2"/>
  <c r="H140" i="2"/>
  <c r="H139" i="2"/>
  <c r="J139" i="2" s="1"/>
  <c r="J138" i="2"/>
  <c r="H138" i="2"/>
  <c r="H137" i="2"/>
  <c r="J137" i="2" s="1"/>
  <c r="J136" i="2"/>
  <c r="H136" i="2"/>
  <c r="H133" i="2"/>
  <c r="J133" i="2" s="1"/>
  <c r="J132" i="2"/>
  <c r="H132" i="2"/>
  <c r="H131" i="2"/>
  <c r="J131" i="2" s="1"/>
  <c r="J130" i="2"/>
  <c r="H130" i="2"/>
  <c r="H129" i="2"/>
  <c r="H128" i="2"/>
  <c r="H126" i="2"/>
  <c r="J126" i="2" s="1"/>
  <c r="J125" i="2"/>
  <c r="H125" i="2"/>
  <c r="H124" i="2"/>
  <c r="H127" i="2" s="1"/>
  <c r="J127" i="2" s="1"/>
  <c r="H123" i="2"/>
  <c r="H122" i="2"/>
  <c r="J120" i="2"/>
  <c r="H120" i="2"/>
  <c r="H119" i="2"/>
  <c r="H121" i="2" s="1"/>
  <c r="J121" i="2" s="1"/>
  <c r="J118" i="2"/>
  <c r="H118" i="2"/>
  <c r="H117" i="2"/>
  <c r="H116" i="2"/>
  <c r="H114" i="2"/>
  <c r="J114" i="2" s="1"/>
  <c r="J113" i="2"/>
  <c r="H113" i="2"/>
  <c r="H112" i="2"/>
  <c r="J112" i="2" s="1"/>
  <c r="J111" i="2"/>
  <c r="H111" i="2"/>
  <c r="H110" i="2"/>
  <c r="H115" i="2" s="1"/>
  <c r="J115" i="2" s="1"/>
  <c r="H109" i="2"/>
  <c r="H108" i="2"/>
  <c r="H107" i="2"/>
  <c r="J105" i="2"/>
  <c r="H105" i="2"/>
  <c r="J104" i="2"/>
  <c r="H104" i="2"/>
  <c r="J103" i="2"/>
  <c r="H103" i="2"/>
  <c r="J102" i="2"/>
  <c r="H102" i="2"/>
  <c r="J101" i="2"/>
  <c r="H101" i="2"/>
  <c r="J100" i="2"/>
  <c r="H100" i="2"/>
  <c r="J99" i="2"/>
  <c r="H99" i="2"/>
  <c r="J98" i="2"/>
  <c r="H98" i="2"/>
  <c r="J97" i="2"/>
  <c r="H97" i="2"/>
  <c r="J96" i="2"/>
  <c r="H96" i="2"/>
  <c r="J95" i="2"/>
  <c r="H95" i="2"/>
  <c r="J94" i="2"/>
  <c r="H94" i="2"/>
  <c r="J93" i="2"/>
  <c r="H93" i="2"/>
  <c r="J92" i="2"/>
  <c r="H92" i="2"/>
  <c r="H106" i="2" s="1"/>
  <c r="J106" i="2" s="1"/>
  <c r="J91" i="2"/>
  <c r="H91" i="2"/>
  <c r="H89" i="2"/>
  <c r="H88" i="2"/>
  <c r="J86" i="2"/>
  <c r="H86" i="2"/>
  <c r="J85" i="2"/>
  <c r="H85" i="2"/>
  <c r="H87" i="2" s="1"/>
  <c r="J87" i="2" s="1"/>
  <c r="H84" i="2"/>
  <c r="H83" i="2"/>
  <c r="H80" i="2"/>
  <c r="J80" i="2" s="1"/>
  <c r="E80" i="2"/>
  <c r="H79" i="2"/>
  <c r="J79" i="2" s="1"/>
  <c r="J78" i="2"/>
  <c r="H78" i="2"/>
  <c r="E77" i="2"/>
  <c r="E81" i="2" s="1"/>
  <c r="H81" i="2" s="1"/>
  <c r="J81" i="2" s="1"/>
  <c r="H76" i="2"/>
  <c r="H75" i="2"/>
  <c r="H74" i="2"/>
  <c r="H73" i="2"/>
  <c r="H71" i="2"/>
  <c r="J71" i="2" s="1"/>
  <c r="J70" i="2"/>
  <c r="H70" i="2"/>
  <c r="H69" i="2"/>
  <c r="J69" i="2" s="1"/>
  <c r="J68" i="2"/>
  <c r="H68" i="2"/>
  <c r="H67" i="2"/>
  <c r="H72" i="2" s="1"/>
  <c r="J72" i="2" s="1"/>
  <c r="H63" i="2"/>
  <c r="J63" i="2" s="1"/>
  <c r="J62" i="2"/>
  <c r="H62" i="2"/>
  <c r="H64" i="2" s="1"/>
  <c r="J64" i="2" s="1"/>
  <c r="H61" i="2"/>
  <c r="H60" i="2"/>
  <c r="H58" i="2"/>
  <c r="J58" i="2" s="1"/>
  <c r="J57" i="2"/>
  <c r="H57" i="2"/>
  <c r="H56" i="2"/>
  <c r="J56" i="2" s="1"/>
  <c r="J55" i="2"/>
  <c r="H55" i="2"/>
  <c r="H54" i="2"/>
  <c r="J54" i="2" s="1"/>
  <c r="J53" i="2"/>
  <c r="H53" i="2"/>
  <c r="H59" i="2" s="1"/>
  <c r="J59" i="2" s="1"/>
  <c r="H52" i="2"/>
  <c r="H51" i="2"/>
  <c r="H49" i="2"/>
  <c r="J49" i="2" s="1"/>
  <c r="J48" i="2"/>
  <c r="H48" i="2"/>
  <c r="H47" i="2"/>
  <c r="J47" i="2" s="1"/>
  <c r="J46" i="2"/>
  <c r="H46" i="2"/>
  <c r="H45" i="2"/>
  <c r="H50" i="2" s="1"/>
  <c r="J50" i="2" s="1"/>
  <c r="H44" i="2"/>
  <c r="H43" i="2"/>
  <c r="J41" i="2"/>
  <c r="H41" i="2"/>
  <c r="H40" i="2"/>
  <c r="J40" i="2" s="1"/>
  <c r="J39" i="2"/>
  <c r="H39" i="2"/>
  <c r="H38" i="2"/>
  <c r="J38" i="2" s="1"/>
  <c r="J37" i="2"/>
  <c r="H37" i="2"/>
  <c r="H36" i="2"/>
  <c r="J36" i="2" s="1"/>
  <c r="J35" i="2"/>
  <c r="H35" i="2"/>
  <c r="H34" i="2"/>
  <c r="J34" i="2" s="1"/>
  <c r="J33" i="2"/>
  <c r="H33" i="2"/>
  <c r="H32" i="2"/>
  <c r="H42" i="2" s="1"/>
  <c r="J42" i="2" s="1"/>
  <c r="H31" i="2"/>
  <c r="H30" i="2"/>
  <c r="J28" i="2"/>
  <c r="H28" i="2"/>
  <c r="H27" i="2"/>
  <c r="J27" i="2" s="1"/>
  <c r="J26" i="2"/>
  <c r="H26" i="2"/>
  <c r="H25" i="2"/>
  <c r="J25" i="2" s="1"/>
  <c r="J24" i="2"/>
  <c r="H24" i="2"/>
  <c r="H23" i="2"/>
  <c r="J23" i="2" s="1"/>
  <c r="J22" i="2"/>
  <c r="H22" i="2"/>
  <c r="H21" i="2"/>
  <c r="J21" i="2" s="1"/>
  <c r="J20" i="2"/>
  <c r="H20" i="2"/>
  <c r="H19" i="2"/>
  <c r="J19" i="2" s="1"/>
  <c r="J18" i="2"/>
  <c r="H18" i="2"/>
  <c r="H17" i="2"/>
  <c r="J17" i="2" s="1"/>
  <c r="J16" i="2"/>
  <c r="H16" i="2"/>
  <c r="J13" i="2"/>
  <c r="H13" i="2"/>
  <c r="H12" i="2"/>
  <c r="J12" i="2" s="1"/>
  <c r="J11" i="2"/>
  <c r="H11" i="2"/>
  <c r="H10" i="2"/>
  <c r="H14" i="2" s="1"/>
  <c r="J14" i="2" s="1"/>
  <c r="J9" i="2"/>
  <c r="H9" i="2"/>
  <c r="B11" i="9"/>
  <c r="K123" i="7" l="1"/>
  <c r="L123" i="7"/>
  <c r="L107" i="7"/>
  <c r="L103" i="7"/>
  <c r="K103" i="7"/>
  <c r="L73" i="7"/>
  <c r="K73" i="7"/>
  <c r="L71" i="7"/>
  <c r="K71" i="7"/>
  <c r="L61" i="7"/>
  <c r="M45" i="7"/>
  <c r="L45" i="7"/>
  <c r="K34" i="7"/>
  <c r="K18" i="7"/>
  <c r="L17" i="7"/>
  <c r="K17" i="7"/>
  <c r="K16" i="7"/>
  <c r="K140" i="7"/>
  <c r="K138" i="7"/>
  <c r="K139" i="7"/>
  <c r="M139" i="7"/>
  <c r="K64" i="7"/>
  <c r="K63" i="7"/>
  <c r="L63" i="7"/>
  <c r="K62" i="7"/>
  <c r="K50" i="7"/>
  <c r="L50" i="7"/>
  <c r="L49" i="7"/>
  <c r="K49" i="7"/>
  <c r="M46" i="7"/>
  <c r="K44" i="7"/>
  <c r="M44" i="7"/>
  <c r="L34" i="7"/>
  <c r="M24" i="7"/>
  <c r="K24" i="7"/>
  <c r="K91" i="7"/>
  <c r="L74" i="7"/>
  <c r="K39" i="7"/>
  <c r="M39" i="7"/>
  <c r="K38" i="7"/>
  <c r="L38" i="7"/>
  <c r="K20" i="7"/>
  <c r="D75" i="5"/>
  <c r="K12" i="7"/>
  <c r="K148" i="7"/>
  <c r="K147" i="7"/>
  <c r="K146" i="7"/>
  <c r="K60" i="7"/>
  <c r="L53" i="7"/>
  <c r="K53" i="7"/>
  <c r="M52" i="7"/>
  <c r="K52" i="7"/>
  <c r="K135" i="7"/>
  <c r="K102" i="7"/>
  <c r="K97" i="7"/>
  <c r="K95" i="7"/>
  <c r="L94" i="7"/>
  <c r="K93" i="7"/>
  <c r="K92" i="7"/>
  <c r="L92" i="7"/>
  <c r="L90" i="7"/>
  <c r="K90" i="7"/>
  <c r="K89" i="7"/>
  <c r="L88" i="7"/>
  <c r="K88" i="7"/>
  <c r="K81" i="7"/>
  <c r="K57" i="7"/>
  <c r="L57" i="7"/>
  <c r="K46" i="7"/>
  <c r="L119" i="7"/>
  <c r="C77" i="5"/>
  <c r="D76" i="5"/>
  <c r="K100" i="7"/>
  <c r="L99" i="7"/>
  <c r="K99" i="7"/>
  <c r="K117" i="7"/>
  <c r="K128" i="7"/>
  <c r="K79" i="7"/>
  <c r="K4" i="7"/>
  <c r="K109" i="7"/>
  <c r="L109" i="7"/>
  <c r="K98" i="7"/>
  <c r="L80" i="7"/>
  <c r="K80" i="7"/>
  <c r="B589" i="8"/>
  <c r="B549" i="8"/>
  <c r="B587" i="8"/>
  <c r="W246" i="3"/>
  <c r="AC246" i="3"/>
  <c r="AG246" i="3"/>
  <c r="AO231" i="3"/>
  <c r="W231" i="3"/>
  <c r="AC231" i="3"/>
  <c r="AG231" i="3"/>
  <c r="AK231" i="3"/>
  <c r="W204" i="3"/>
  <c r="AC204" i="3"/>
  <c r="AG204" i="3"/>
  <c r="AK204" i="3"/>
  <c r="AO204" i="3"/>
  <c r="AN133" i="3"/>
  <c r="AF133" i="3"/>
  <c r="AG115" i="3"/>
  <c r="AK115" i="3"/>
  <c r="AL115" i="3"/>
  <c r="AC115" i="3"/>
  <c r="AO115" i="3"/>
  <c r="AD115" i="3"/>
  <c r="AP115" i="3"/>
  <c r="AE106" i="3"/>
  <c r="AM106" i="3"/>
  <c r="AG64" i="3"/>
  <c r="AK64" i="3"/>
  <c r="AN64" i="3"/>
  <c r="AO64" i="3"/>
  <c r="W64" i="3"/>
  <c r="AC64" i="3"/>
  <c r="AF64" i="3"/>
  <c r="AM50" i="3"/>
  <c r="AE50" i="3"/>
  <c r="AE42" i="3"/>
  <c r="AM42" i="3"/>
  <c r="AD29" i="3"/>
  <c r="AG29" i="3"/>
  <c r="AK29" i="3"/>
  <c r="AH29" i="3"/>
  <c r="AL29" i="3"/>
  <c r="AO29" i="3"/>
  <c r="W29" i="3"/>
  <c r="AP29" i="3"/>
  <c r="AC29" i="3"/>
  <c r="W14" i="3"/>
  <c r="AC14" i="3"/>
  <c r="AF14" i="3"/>
  <c r="AG14" i="3"/>
  <c r="AK14" i="3"/>
  <c r="AN14" i="3"/>
  <c r="AO14" i="3"/>
  <c r="AO246" i="3"/>
  <c r="B585" i="8"/>
  <c r="AK246" i="3"/>
  <c r="W216" i="3"/>
  <c r="AG216" i="3"/>
  <c r="AK216" i="3"/>
  <c r="AO216" i="3"/>
  <c r="L127" i="7"/>
  <c r="K107" i="7"/>
  <c r="K76" i="7"/>
  <c r="M76" i="7"/>
  <c r="K77" i="7"/>
  <c r="L77" i="7"/>
  <c r="K115" i="7"/>
  <c r="L115" i="7"/>
  <c r="L69" i="7"/>
  <c r="K69" i="7"/>
  <c r="K126" i="7"/>
  <c r="M125" i="7"/>
  <c r="K125" i="7"/>
  <c r="K124" i="7"/>
  <c r="K122" i="7"/>
  <c r="L122" i="7"/>
  <c r="K121" i="7"/>
  <c r="L121" i="7"/>
  <c r="L78" i="7"/>
  <c r="K78" i="7"/>
  <c r="K59" i="7"/>
  <c r="L59" i="7"/>
  <c r="K56" i="7"/>
  <c r="K11" i="7"/>
  <c r="K9" i="7"/>
  <c r="L9" i="7"/>
  <c r="Q17" i="8"/>
  <c r="E305" i="8"/>
  <c r="E238" i="8"/>
  <c r="E170" i="8"/>
  <c r="G170" i="8" s="1"/>
  <c r="E113" i="8"/>
  <c r="E79" i="8"/>
  <c r="H11" i="7"/>
  <c r="T17" i="8"/>
  <c r="M13" i="5"/>
  <c r="T18" i="8"/>
  <c r="O15" i="5"/>
  <c r="P15" i="5" s="1"/>
  <c r="Q15" i="5" s="1"/>
  <c r="E182" i="8"/>
  <c r="G182" i="8" s="1"/>
  <c r="E125" i="8"/>
  <c r="H24" i="7"/>
  <c r="J10" i="2"/>
  <c r="J32" i="2"/>
  <c r="J45" i="2"/>
  <c r="J110" i="2"/>
  <c r="J119" i="2"/>
  <c r="J124" i="2"/>
  <c r="H227" i="2"/>
  <c r="J227" i="2" s="1"/>
  <c r="AH14" i="3"/>
  <c r="AP14" i="3"/>
  <c r="E311" i="8"/>
  <c r="G311" i="8" s="1"/>
  <c r="E244" i="8"/>
  <c r="E176" i="8"/>
  <c r="G176" i="8" s="1"/>
  <c r="E119" i="8"/>
  <c r="H17" i="7"/>
  <c r="E253" i="8"/>
  <c r="G253" i="8" s="1"/>
  <c r="E128" i="8"/>
  <c r="G128" i="8" s="1"/>
  <c r="E186" i="8"/>
  <c r="G186" i="8" s="1"/>
  <c r="H28" i="7"/>
  <c r="T20" i="8"/>
  <c r="P19" i="5"/>
  <c r="Q19" i="5" s="1"/>
  <c r="R19" i="5" s="1"/>
  <c r="S19" i="5" s="1"/>
  <c r="T21" i="8"/>
  <c r="Y21" i="5"/>
  <c r="E321" i="8"/>
  <c r="G321" i="8" s="1"/>
  <c r="E264" i="8"/>
  <c r="G264" i="8" s="1"/>
  <c r="H49" i="7"/>
  <c r="T25" i="8"/>
  <c r="Y29" i="5"/>
  <c r="Z29" i="5" s="1"/>
  <c r="E405" i="8"/>
  <c r="E341" i="8"/>
  <c r="E283" i="8"/>
  <c r="E157" i="8"/>
  <c r="E103" i="8"/>
  <c r="E215" i="8"/>
  <c r="G215" i="8" s="1"/>
  <c r="E71" i="8"/>
  <c r="H72" i="7"/>
  <c r="E573" i="8"/>
  <c r="G573" i="8" s="1"/>
  <c r="E486" i="8"/>
  <c r="G486" i="8" s="1"/>
  <c r="E533" i="8"/>
  <c r="E445" i="8"/>
  <c r="H79" i="7"/>
  <c r="E353" i="8"/>
  <c r="G353" i="8" s="1"/>
  <c r="E416" i="8"/>
  <c r="E296" i="8"/>
  <c r="G296" i="8" s="1"/>
  <c r="E228" i="8"/>
  <c r="H92" i="7"/>
  <c r="T35" i="8"/>
  <c r="U51" i="5"/>
  <c r="T36" i="8"/>
  <c r="V53" i="5"/>
  <c r="W53" i="5" s="1"/>
  <c r="X53" i="5" s="1"/>
  <c r="T37" i="8"/>
  <c r="W55" i="5"/>
  <c r="X55" i="5" s="1"/>
  <c r="E78" i="8"/>
  <c r="G78" i="8" s="1"/>
  <c r="E51" i="8"/>
  <c r="G51" i="8" s="1"/>
  <c r="E111" i="8"/>
  <c r="E41" i="8"/>
  <c r="E31" i="8"/>
  <c r="G31" i="8" s="1"/>
  <c r="E21" i="8"/>
  <c r="H9" i="7"/>
  <c r="AI14" i="3"/>
  <c r="AQ14" i="3"/>
  <c r="E306" i="8"/>
  <c r="G306" i="8" s="1"/>
  <c r="E239" i="8"/>
  <c r="G239" i="8" s="1"/>
  <c r="E171" i="8"/>
  <c r="G171" i="8" s="1"/>
  <c r="E114" i="8"/>
  <c r="G114" i="8" s="1"/>
  <c r="H12" i="7"/>
  <c r="E313" i="8"/>
  <c r="E246" i="8"/>
  <c r="E178" i="8"/>
  <c r="G178" i="8" s="1"/>
  <c r="E121" i="8"/>
  <c r="H19" i="7"/>
  <c r="E133" i="8"/>
  <c r="E80" i="8"/>
  <c r="G80" i="8" s="1"/>
  <c r="E52" i="8"/>
  <c r="H33" i="7"/>
  <c r="E560" i="8"/>
  <c r="E520" i="8"/>
  <c r="G520" i="8" s="1"/>
  <c r="H38" i="7"/>
  <c r="E523" i="8"/>
  <c r="E563" i="8"/>
  <c r="H41" i="7"/>
  <c r="T30" i="8"/>
  <c r="S39" i="5"/>
  <c r="T39" i="5" s="1"/>
  <c r="E359" i="8"/>
  <c r="G359" i="8" s="1"/>
  <c r="H99" i="7"/>
  <c r="E301" i="8"/>
  <c r="E234" i="8"/>
  <c r="E167" i="8"/>
  <c r="H124" i="7"/>
  <c r="E553" i="8"/>
  <c r="G553" i="8" s="1"/>
  <c r="E516" i="8"/>
  <c r="G516" i="8" s="1"/>
  <c r="E475" i="8"/>
  <c r="G475" i="8" s="1"/>
  <c r="E593" i="8"/>
  <c r="H139" i="7"/>
  <c r="E436" i="8"/>
  <c r="G436" i="8" s="1"/>
  <c r="E382" i="8"/>
  <c r="G382" i="8" s="1"/>
  <c r="H145" i="7"/>
  <c r="W17" i="4"/>
  <c r="V17" i="4"/>
  <c r="H144" i="2"/>
  <c r="J144" i="2" s="1"/>
  <c r="E50" i="8"/>
  <c r="G50" i="8" s="1"/>
  <c r="E30" i="8"/>
  <c r="E40" i="8"/>
  <c r="G40" i="8" s="1"/>
  <c r="E20" i="8"/>
  <c r="G20" i="8" s="1"/>
  <c r="H8" i="7"/>
  <c r="AB14" i="3"/>
  <c r="AJ14" i="3"/>
  <c r="E241" i="8"/>
  <c r="G241" i="8" s="1"/>
  <c r="E308" i="8"/>
  <c r="E173" i="8"/>
  <c r="E116" i="8"/>
  <c r="H14" i="7"/>
  <c r="E256" i="8"/>
  <c r="E131" i="8"/>
  <c r="G131" i="8" s="1"/>
  <c r="E189" i="8"/>
  <c r="H31" i="7"/>
  <c r="E260" i="8"/>
  <c r="G260" i="8" s="1"/>
  <c r="E318" i="8"/>
  <c r="G318" i="8" s="1"/>
  <c r="E193" i="8"/>
  <c r="H36" i="7"/>
  <c r="E335" i="8"/>
  <c r="G335" i="8" s="1"/>
  <c r="E277" i="8"/>
  <c r="E399" i="8"/>
  <c r="E151" i="8"/>
  <c r="E209" i="8"/>
  <c r="G209" i="8" s="1"/>
  <c r="E63" i="8"/>
  <c r="E95" i="8"/>
  <c r="H64" i="7"/>
  <c r="E490" i="8"/>
  <c r="E449" i="8"/>
  <c r="E410" i="8"/>
  <c r="G410" i="8" s="1"/>
  <c r="H84" i="7"/>
  <c r="E588" i="8"/>
  <c r="E548" i="8"/>
  <c r="E511" i="8"/>
  <c r="E470" i="8"/>
  <c r="G470" i="8" s="1"/>
  <c r="H134" i="7"/>
  <c r="H29" i="2"/>
  <c r="J29" i="2" s="1"/>
  <c r="H204" i="2"/>
  <c r="J204" i="2" s="1"/>
  <c r="E19" i="8"/>
  <c r="E49" i="8"/>
  <c r="E29" i="8"/>
  <c r="E39" i="8"/>
  <c r="G39" i="8" s="1"/>
  <c r="H7" i="7"/>
  <c r="E304" i="8"/>
  <c r="G304" i="8" s="1"/>
  <c r="E237" i="8"/>
  <c r="G237" i="8" s="1"/>
  <c r="E112" i="8"/>
  <c r="G112" i="8" s="1"/>
  <c r="E169" i="8"/>
  <c r="H10" i="7"/>
  <c r="E252" i="8"/>
  <c r="E127" i="8"/>
  <c r="E185" i="8"/>
  <c r="H27" i="7"/>
  <c r="T34" i="8"/>
  <c r="W48" i="5"/>
  <c r="X48" i="5" s="1"/>
  <c r="Y48" i="5" s="1"/>
  <c r="Z48" i="5" s="1"/>
  <c r="U48" i="5"/>
  <c r="V48" i="5" s="1"/>
  <c r="E433" i="8"/>
  <c r="E379" i="8"/>
  <c r="H127" i="7"/>
  <c r="T40" i="8"/>
  <c r="U61" i="5"/>
  <c r="V61" i="5" s="1"/>
  <c r="T41" i="8"/>
  <c r="Y63" i="5"/>
  <c r="Z63" i="5" s="1"/>
  <c r="J67" i="2"/>
  <c r="H77" i="2"/>
  <c r="H172" i="2"/>
  <c r="J172" i="2" s="1"/>
  <c r="J10" i="3"/>
  <c r="AD14" i="3"/>
  <c r="AL14" i="3"/>
  <c r="E310" i="8"/>
  <c r="G310" i="8" s="1"/>
  <c r="E243" i="8"/>
  <c r="G243" i="8" s="1"/>
  <c r="E118" i="8"/>
  <c r="G118" i="8" s="1"/>
  <c r="E175" i="8"/>
  <c r="H16" i="7"/>
  <c r="E312" i="8"/>
  <c r="E245" i="8"/>
  <c r="G245" i="8" s="1"/>
  <c r="E120" i="8"/>
  <c r="G120" i="8" s="1"/>
  <c r="E177" i="8"/>
  <c r="H18" i="7"/>
  <c r="H42" i="3"/>
  <c r="J42" i="3" s="1"/>
  <c r="L17" i="5" s="1"/>
  <c r="J32" i="3"/>
  <c r="E250" i="8"/>
  <c r="E126" i="8"/>
  <c r="G126" i="8" s="1"/>
  <c r="E183" i="8"/>
  <c r="H25" i="7"/>
  <c r="T26" i="8"/>
  <c r="P31" i="5"/>
  <c r="Q31" i="5" s="1"/>
  <c r="R31" i="5" s="1"/>
  <c r="S31" i="5" s="1"/>
  <c r="T31" i="5" s="1"/>
  <c r="U31" i="5" s="1"/>
  <c r="T27" i="8"/>
  <c r="P33" i="5"/>
  <c r="Q33" i="5" s="1"/>
  <c r="R33" i="5" s="1"/>
  <c r="S33" i="5" s="1"/>
  <c r="T33" i="5" s="1"/>
  <c r="U33" i="5" s="1"/>
  <c r="E17" i="8"/>
  <c r="E47" i="8"/>
  <c r="E27" i="8"/>
  <c r="E37" i="8"/>
  <c r="H5" i="7"/>
  <c r="DV5" i="7" s="1"/>
  <c r="X14" i="3" a="1"/>
  <c r="X14" i="3" s="1"/>
  <c r="AE14" i="3"/>
  <c r="AM14" i="3"/>
  <c r="T22" i="8"/>
  <c r="S23" i="5"/>
  <c r="T23" i="5" s="1"/>
  <c r="E99" i="8"/>
  <c r="G99" i="8" s="1"/>
  <c r="E67" i="8"/>
  <c r="G67" i="8" s="1"/>
  <c r="H68" i="7"/>
  <c r="T31" i="8"/>
  <c r="S41" i="5"/>
  <c r="T41" i="5" s="1"/>
  <c r="U41" i="5" s="1"/>
  <c r="V41" i="5" s="1"/>
  <c r="T33" i="8"/>
  <c r="V46" i="5"/>
  <c r="W46" i="5" s="1"/>
  <c r="X46" i="5" s="1"/>
  <c r="U46" i="5"/>
  <c r="E375" i="8"/>
  <c r="H117" i="7"/>
  <c r="W19" i="4"/>
  <c r="V19" i="4"/>
  <c r="H216" i="2"/>
  <c r="J216" i="2" s="1"/>
  <c r="E437" i="8"/>
  <c r="E383" i="8"/>
  <c r="E314" i="8"/>
  <c r="G314" i="8" s="1"/>
  <c r="H20" i="7"/>
  <c r="T38" i="8"/>
  <c r="W57" i="5"/>
  <c r="X57" i="5" s="1"/>
  <c r="E309" i="8"/>
  <c r="G309" i="8" s="1"/>
  <c r="E242" i="8"/>
  <c r="E174" i="8"/>
  <c r="G174" i="8" s="1"/>
  <c r="E117" i="8"/>
  <c r="H15" i="7"/>
  <c r="E316" i="8"/>
  <c r="E248" i="8"/>
  <c r="E123" i="8"/>
  <c r="G123" i="8" s="1"/>
  <c r="E180" i="8"/>
  <c r="H22" i="7"/>
  <c r="E255" i="8"/>
  <c r="E130" i="8"/>
  <c r="G130" i="8" s="1"/>
  <c r="E188" i="8"/>
  <c r="H30" i="7"/>
  <c r="T23" i="8"/>
  <c r="P25" i="5"/>
  <c r="Q25" i="5" s="1"/>
  <c r="E395" i="8"/>
  <c r="E331" i="8"/>
  <c r="E273" i="8"/>
  <c r="E147" i="8"/>
  <c r="G147" i="8" s="1"/>
  <c r="E91" i="8"/>
  <c r="G91" i="8" s="1"/>
  <c r="E205" i="8"/>
  <c r="G205" i="8" s="1"/>
  <c r="H60" i="7"/>
  <c r="E408" i="8"/>
  <c r="E347" i="8"/>
  <c r="E289" i="8"/>
  <c r="E221" i="8"/>
  <c r="G221" i="8" s="1"/>
  <c r="E163" i="8"/>
  <c r="G163" i="8" s="1"/>
  <c r="E109" i="8"/>
  <c r="E77" i="8"/>
  <c r="H78" i="7"/>
  <c r="T39" i="8"/>
  <c r="W59" i="5"/>
  <c r="X59" i="5" s="1"/>
  <c r="Y59" i="5" s="1"/>
  <c r="Z59" i="5" s="1"/>
  <c r="AE29" i="3"/>
  <c r="AM29" i="3"/>
  <c r="AB42" i="3"/>
  <c r="AJ42" i="3"/>
  <c r="AB50" i="3"/>
  <c r="AJ50" i="3"/>
  <c r="W59" i="3"/>
  <c r="AC59" i="3"/>
  <c r="AK59" i="3"/>
  <c r="AH64" i="3"/>
  <c r="AP64" i="3"/>
  <c r="AB72" i="3"/>
  <c r="AJ72" i="3"/>
  <c r="J77" i="3"/>
  <c r="W82" i="3"/>
  <c r="AC82" i="3"/>
  <c r="AK82" i="3"/>
  <c r="AH87" i="3"/>
  <c r="AP87" i="3"/>
  <c r="AB106" i="3"/>
  <c r="AJ106" i="3"/>
  <c r="AI115" i="3"/>
  <c r="AQ115" i="3"/>
  <c r="H121" i="3"/>
  <c r="J121" i="3" s="1"/>
  <c r="L35" i="5" s="1"/>
  <c r="AG121" i="3"/>
  <c r="AO121" i="3"/>
  <c r="AE127" i="3"/>
  <c r="AM127" i="3"/>
  <c r="J130" i="3"/>
  <c r="W133" i="3"/>
  <c r="AC133" i="3"/>
  <c r="AK133" i="3"/>
  <c r="J136" i="3"/>
  <c r="AG144" i="3"/>
  <c r="AO144" i="3"/>
  <c r="W172" i="3"/>
  <c r="AC172" i="3"/>
  <c r="AK172" i="3"/>
  <c r="J175" i="3"/>
  <c r="W180" i="3"/>
  <c r="AC180" i="3"/>
  <c r="AK180" i="3"/>
  <c r="J193" i="3"/>
  <c r="AD204" i="3"/>
  <c r="AL204" i="3"/>
  <c r="AD216" i="3"/>
  <c r="AL216" i="3"/>
  <c r="AF223" i="3"/>
  <c r="AN223" i="3"/>
  <c r="AE227" i="3"/>
  <c r="AM227" i="3"/>
  <c r="AD231" i="3"/>
  <c r="AL231" i="3"/>
  <c r="J233" i="3"/>
  <c r="AD246" i="3"/>
  <c r="AL246" i="3"/>
  <c r="AD251" i="3"/>
  <c r="AL251" i="3"/>
  <c r="V28" i="4"/>
  <c r="AF29" i="3"/>
  <c r="AN29" i="3"/>
  <c r="W42" i="3"/>
  <c r="AC42" i="3"/>
  <c r="AK42" i="3"/>
  <c r="E259" i="8"/>
  <c r="G259" i="8" s="1"/>
  <c r="E317" i="8"/>
  <c r="E192" i="8"/>
  <c r="G192" i="8" s="1"/>
  <c r="H35" i="7"/>
  <c r="W50" i="3"/>
  <c r="AC50" i="3"/>
  <c r="AK50" i="3"/>
  <c r="E562" i="8"/>
  <c r="E522" i="8"/>
  <c r="H40" i="7"/>
  <c r="AD59" i="3"/>
  <c r="AL59" i="3"/>
  <c r="E136" i="8"/>
  <c r="G136" i="8" s="1"/>
  <c r="H45" i="7"/>
  <c r="AI64" i="3"/>
  <c r="AQ64" i="3"/>
  <c r="E82" i="8"/>
  <c r="G82" i="8" s="1"/>
  <c r="E54" i="8"/>
  <c r="H48" i="7"/>
  <c r="W72" i="3"/>
  <c r="AC72" i="3"/>
  <c r="AK72" i="3"/>
  <c r="AD82" i="3"/>
  <c r="AL82" i="3"/>
  <c r="E572" i="8"/>
  <c r="E532" i="8"/>
  <c r="G532" i="8" s="1"/>
  <c r="E485" i="8"/>
  <c r="E444" i="8"/>
  <c r="G444" i="8" s="1"/>
  <c r="E393" i="8"/>
  <c r="G393" i="8" s="1"/>
  <c r="E329" i="8"/>
  <c r="G329" i="8" s="1"/>
  <c r="E271" i="8"/>
  <c r="G271" i="8" s="1"/>
  <c r="E203" i="8"/>
  <c r="G203" i="8" s="1"/>
  <c r="E145" i="8"/>
  <c r="E89" i="8"/>
  <c r="G89" i="8" s="1"/>
  <c r="H57" i="7"/>
  <c r="AI87" i="3"/>
  <c r="AQ87" i="3"/>
  <c r="E398" i="8"/>
  <c r="G398" i="8" s="1"/>
  <c r="E276" i="8"/>
  <c r="E334" i="8"/>
  <c r="G334" i="8" s="1"/>
  <c r="E208" i="8"/>
  <c r="E150" i="8"/>
  <c r="G150" i="8" s="1"/>
  <c r="E94" i="8"/>
  <c r="G94" i="8" s="1"/>
  <c r="E62" i="8"/>
  <c r="H63" i="7"/>
  <c r="E404" i="8"/>
  <c r="E340" i="8"/>
  <c r="E282" i="8"/>
  <c r="G282" i="8" s="1"/>
  <c r="E214" i="8"/>
  <c r="E102" i="8"/>
  <c r="G102" i="8" s="1"/>
  <c r="E70" i="8"/>
  <c r="G70" i="8" s="1"/>
  <c r="E156" i="8"/>
  <c r="H71" i="7"/>
  <c r="W106" i="3"/>
  <c r="AC106" i="3"/>
  <c r="AK106" i="3"/>
  <c r="E407" i="8"/>
  <c r="E346" i="8"/>
  <c r="E288" i="8"/>
  <c r="G288" i="8" s="1"/>
  <c r="E220" i="8"/>
  <c r="E162" i="8"/>
  <c r="G162" i="8" s="1"/>
  <c r="E108" i="8"/>
  <c r="E76" i="8"/>
  <c r="H77" i="7"/>
  <c r="AB115" i="3"/>
  <c r="AJ115" i="3"/>
  <c r="AH121" i="3"/>
  <c r="AP121" i="3"/>
  <c r="AF127" i="3"/>
  <c r="AN127" i="3"/>
  <c r="AD133" i="3"/>
  <c r="AL133" i="3"/>
  <c r="AH144" i="3"/>
  <c r="AP144" i="3"/>
  <c r="E358" i="8"/>
  <c r="G358" i="8" s="1"/>
  <c r="H98" i="7"/>
  <c r="AD172" i="3"/>
  <c r="AL172" i="3"/>
  <c r="AD180" i="3"/>
  <c r="AL180" i="3"/>
  <c r="AE204" i="3"/>
  <c r="AM204" i="3"/>
  <c r="AE216" i="3"/>
  <c r="AM216" i="3"/>
  <c r="AG223" i="3"/>
  <c r="AO223" i="3"/>
  <c r="AE231" i="3"/>
  <c r="AM231" i="3"/>
  <c r="E592" i="8"/>
  <c r="E552" i="8"/>
  <c r="G552" i="8" s="1"/>
  <c r="E515" i="8"/>
  <c r="G515" i="8" s="1"/>
  <c r="E474" i="8"/>
  <c r="G474" i="8" s="1"/>
  <c r="H138" i="7"/>
  <c r="AE246" i="3"/>
  <c r="AM246" i="3"/>
  <c r="AE251" i="3"/>
  <c r="AM251" i="3"/>
  <c r="W34" i="4"/>
  <c r="X34" i="4" s="1"/>
  <c r="Y34" i="4" s="1"/>
  <c r="E254" i="8"/>
  <c r="E187" i="8"/>
  <c r="G187" i="8" s="1"/>
  <c r="E129" i="8"/>
  <c r="H29" i="7"/>
  <c r="AD42" i="3"/>
  <c r="AL42" i="3"/>
  <c r="E258" i="8"/>
  <c r="E134" i="8"/>
  <c r="G134" i="8" s="1"/>
  <c r="E191" i="8"/>
  <c r="G191" i="8" s="1"/>
  <c r="H34" i="7"/>
  <c r="AD50" i="3"/>
  <c r="AL50" i="3"/>
  <c r="E561" i="8"/>
  <c r="G561" i="8" s="1"/>
  <c r="E521" i="8"/>
  <c r="G521" i="8" s="1"/>
  <c r="H39" i="7"/>
  <c r="AE59" i="3"/>
  <c r="AM59" i="3"/>
  <c r="E135" i="8"/>
  <c r="H44" i="7"/>
  <c r="AB64" i="3"/>
  <c r="AJ64" i="3"/>
  <c r="E263" i="8"/>
  <c r="G263" i="8" s="1"/>
  <c r="E196" i="8"/>
  <c r="E138" i="8"/>
  <c r="G138" i="8" s="1"/>
  <c r="H47" i="7"/>
  <c r="AD72" i="3"/>
  <c r="AL72" i="3"/>
  <c r="X82" i="3" a="1"/>
  <c r="X82" i="3" s="1"/>
  <c r="AE82" i="3"/>
  <c r="AM82" i="3"/>
  <c r="E571" i="8"/>
  <c r="E531" i="8"/>
  <c r="E443" i="8"/>
  <c r="G443" i="8" s="1"/>
  <c r="E484" i="8"/>
  <c r="E392" i="8"/>
  <c r="G392" i="8" s="1"/>
  <c r="E328" i="8"/>
  <c r="G328" i="8" s="1"/>
  <c r="E270" i="8"/>
  <c r="E202" i="8"/>
  <c r="E144" i="8"/>
  <c r="G144" i="8" s="1"/>
  <c r="E88" i="8"/>
  <c r="G88" i="8" s="1"/>
  <c r="H56" i="7"/>
  <c r="AB87" i="3"/>
  <c r="AJ87" i="3"/>
  <c r="E397" i="8"/>
  <c r="E275" i="8"/>
  <c r="E333" i="8"/>
  <c r="E149" i="8"/>
  <c r="E93" i="8"/>
  <c r="E207" i="8"/>
  <c r="G207" i="8" s="1"/>
  <c r="E61" i="8"/>
  <c r="H62" i="7"/>
  <c r="E403" i="8"/>
  <c r="E339" i="8"/>
  <c r="E281" i="8"/>
  <c r="E213" i="8"/>
  <c r="G213" i="8" s="1"/>
  <c r="E155" i="8"/>
  <c r="G155" i="8" s="1"/>
  <c r="E101" i="8"/>
  <c r="E69" i="8"/>
  <c r="H70" i="7"/>
  <c r="AD106" i="3"/>
  <c r="AL106" i="3"/>
  <c r="E345" i="8"/>
  <c r="G345" i="8" s="1"/>
  <c r="E287" i="8"/>
  <c r="G287" i="8" s="1"/>
  <c r="E107" i="8"/>
  <c r="G107" i="8" s="1"/>
  <c r="E75" i="8"/>
  <c r="G75" i="8" s="1"/>
  <c r="E219" i="8"/>
  <c r="G219" i="8" s="1"/>
  <c r="E161" i="8"/>
  <c r="H76" i="7"/>
  <c r="E575" i="8"/>
  <c r="G575" i="8" s="1"/>
  <c r="E535" i="8"/>
  <c r="E488" i="8"/>
  <c r="E447" i="8"/>
  <c r="G447" i="8" s="1"/>
  <c r="H81" i="7"/>
  <c r="AI121" i="3"/>
  <c r="AQ121" i="3"/>
  <c r="H127" i="3"/>
  <c r="J127" i="3" s="1"/>
  <c r="L37" i="5" s="1"/>
  <c r="AE133" i="3"/>
  <c r="AM133" i="3"/>
  <c r="E418" i="8"/>
  <c r="E355" i="8"/>
  <c r="E298" i="8"/>
  <c r="G298" i="8" s="1"/>
  <c r="E230" i="8"/>
  <c r="H94" i="7"/>
  <c r="E419" i="8"/>
  <c r="G419" i="8" s="1"/>
  <c r="E356" i="8"/>
  <c r="E299" i="8"/>
  <c r="E231" i="8"/>
  <c r="G231" i="8" s="1"/>
  <c r="H95" i="7"/>
  <c r="AI144" i="3"/>
  <c r="AQ144" i="3"/>
  <c r="E357" i="8"/>
  <c r="G357" i="8" s="1"/>
  <c r="H97" i="7"/>
  <c r="AE172" i="3"/>
  <c r="AM172" i="3"/>
  <c r="AE180" i="3"/>
  <c r="AM180" i="3"/>
  <c r="AF204" i="3"/>
  <c r="AN204" i="3"/>
  <c r="AF216" i="3"/>
  <c r="AN216" i="3"/>
  <c r="AH223" i="3"/>
  <c r="AP223" i="3"/>
  <c r="AG227" i="3"/>
  <c r="AO227" i="3"/>
  <c r="AF231" i="3"/>
  <c r="AN231" i="3"/>
  <c r="E591" i="8"/>
  <c r="G591" i="8" s="1"/>
  <c r="E551" i="8"/>
  <c r="G551" i="8" s="1"/>
  <c r="E514" i="8"/>
  <c r="E473" i="8"/>
  <c r="H137" i="7"/>
  <c r="AF246" i="3"/>
  <c r="AN246" i="3"/>
  <c r="AF251" i="3"/>
  <c r="AN251" i="3"/>
  <c r="W41" i="8"/>
  <c r="AJ256" i="3"/>
  <c r="AB256" i="3"/>
  <c r="AN256" i="3"/>
  <c r="AF256" i="3"/>
  <c r="AC256" i="3"/>
  <c r="AM256" i="3"/>
  <c r="Q11" i="4"/>
  <c r="E385" i="8"/>
  <c r="G385" i="8" s="1"/>
  <c r="E320" i="8"/>
  <c r="G320" i="8" s="1"/>
  <c r="E262" i="8"/>
  <c r="E195" i="8"/>
  <c r="G195" i="8" s="1"/>
  <c r="E137" i="8"/>
  <c r="E81" i="8"/>
  <c r="G81" i="8" s="1"/>
  <c r="E53" i="8"/>
  <c r="H46" i="7"/>
  <c r="E396" i="8"/>
  <c r="E332" i="8"/>
  <c r="E274" i="8"/>
  <c r="G274" i="8" s="1"/>
  <c r="E206" i="8"/>
  <c r="G206" i="8" s="1"/>
  <c r="E148" i="8"/>
  <c r="E60" i="8"/>
  <c r="E92" i="8"/>
  <c r="H61" i="7"/>
  <c r="E402" i="8"/>
  <c r="G402" i="8" s="1"/>
  <c r="E338" i="8"/>
  <c r="E280" i="8"/>
  <c r="G280" i="8" s="1"/>
  <c r="E212" i="8"/>
  <c r="E154" i="8"/>
  <c r="G154" i="8" s="1"/>
  <c r="E68" i="8"/>
  <c r="E100" i="8"/>
  <c r="H69" i="7"/>
  <c r="E344" i="8"/>
  <c r="G344" i="8" s="1"/>
  <c r="E286" i="8"/>
  <c r="E218" i="8"/>
  <c r="E160" i="8"/>
  <c r="E106" i="8"/>
  <c r="G106" i="8" s="1"/>
  <c r="E74" i="8"/>
  <c r="G74" i="8" s="1"/>
  <c r="H75" i="7"/>
  <c r="E534" i="8"/>
  <c r="E574" i="8"/>
  <c r="E487" i="8"/>
  <c r="G487" i="8" s="1"/>
  <c r="E446" i="8"/>
  <c r="H80" i="7"/>
  <c r="AB121" i="3"/>
  <c r="AJ121" i="3"/>
  <c r="E417" i="8"/>
  <c r="G417" i="8" s="1"/>
  <c r="E354" i="8"/>
  <c r="G354" i="8" s="1"/>
  <c r="E297" i="8"/>
  <c r="E229" i="8"/>
  <c r="G229" i="8" s="1"/>
  <c r="H93" i="7"/>
  <c r="AB144" i="3"/>
  <c r="AJ144" i="3"/>
  <c r="E235" i="8"/>
  <c r="G235" i="8" s="1"/>
  <c r="E302" i="8"/>
  <c r="E168" i="8"/>
  <c r="H125" i="7"/>
  <c r="AI223" i="3"/>
  <c r="AQ223" i="3"/>
  <c r="E589" i="8"/>
  <c r="G589" i="8" s="1"/>
  <c r="E549" i="8"/>
  <c r="G549" i="8" s="1"/>
  <c r="E512" i="8"/>
  <c r="G512" i="8" s="1"/>
  <c r="E471" i="8"/>
  <c r="G471" i="8" s="1"/>
  <c r="H135" i="7"/>
  <c r="E590" i="8"/>
  <c r="E550" i="8"/>
  <c r="E472" i="8"/>
  <c r="E513" i="8"/>
  <c r="H136" i="7"/>
  <c r="E599" i="8"/>
  <c r="G599" i="8" s="1"/>
  <c r="E559" i="8"/>
  <c r="G559" i="8" s="1"/>
  <c r="H148" i="7"/>
  <c r="AI29" i="3"/>
  <c r="AQ29" i="3"/>
  <c r="AF42" i="3"/>
  <c r="AN42" i="3"/>
  <c r="AF50" i="3"/>
  <c r="AN50" i="3"/>
  <c r="AG59" i="3"/>
  <c r="AO59" i="3"/>
  <c r="AD64" i="3"/>
  <c r="AL64" i="3"/>
  <c r="AF72" i="3"/>
  <c r="AN72" i="3"/>
  <c r="E81" i="3"/>
  <c r="AG82" i="3"/>
  <c r="AO82" i="3"/>
  <c r="AD87" i="3"/>
  <c r="AL87" i="3"/>
  <c r="AF106" i="3"/>
  <c r="AN106" i="3"/>
  <c r="J110" i="3"/>
  <c r="AE115" i="3"/>
  <c r="AM115" i="3"/>
  <c r="W121" i="3"/>
  <c r="AC121" i="3"/>
  <c r="AK121" i="3"/>
  <c r="AI127" i="3"/>
  <c r="AQ127" i="3"/>
  <c r="AG133" i="3"/>
  <c r="AO133" i="3"/>
  <c r="W144" i="3"/>
  <c r="AC144" i="3"/>
  <c r="AK144" i="3"/>
  <c r="H172" i="3"/>
  <c r="J172" i="3" s="1"/>
  <c r="L44" i="5" s="1"/>
  <c r="AG172" i="3"/>
  <c r="AO172" i="3"/>
  <c r="AG180" i="3"/>
  <c r="AO180" i="3"/>
  <c r="AH204" i="3"/>
  <c r="AP204" i="3"/>
  <c r="AH216" i="3"/>
  <c r="AP216" i="3"/>
  <c r="AB223" i="3"/>
  <c r="AJ223" i="3"/>
  <c r="AI227" i="3"/>
  <c r="AQ227" i="3"/>
  <c r="AH231" i="3"/>
  <c r="AP231" i="3"/>
  <c r="AH246" i="3"/>
  <c r="AP246" i="3"/>
  <c r="AH251" i="3"/>
  <c r="AP251" i="3"/>
  <c r="E307" i="8"/>
  <c r="E240" i="8"/>
  <c r="E115" i="8"/>
  <c r="G115" i="8" s="1"/>
  <c r="E172" i="8"/>
  <c r="H13" i="7"/>
  <c r="E315" i="8"/>
  <c r="E247" i="8"/>
  <c r="G247" i="8" s="1"/>
  <c r="E179" i="8"/>
  <c r="G179" i="8" s="1"/>
  <c r="E122" i="8"/>
  <c r="G122" i="8" s="1"/>
  <c r="H21" i="7"/>
  <c r="AB29" i="3"/>
  <c r="AJ29" i="3"/>
  <c r="E251" i="8"/>
  <c r="G251" i="8" s="1"/>
  <c r="E184" i="8"/>
  <c r="G184" i="8" s="1"/>
  <c r="H26" i="7"/>
  <c r="AG42" i="3"/>
  <c r="AO42" i="3"/>
  <c r="AG50" i="3"/>
  <c r="AO50" i="3"/>
  <c r="AH59" i="3"/>
  <c r="AP59" i="3"/>
  <c r="AE64" i="3"/>
  <c r="AM64" i="3"/>
  <c r="AG72" i="3"/>
  <c r="AO72" i="3"/>
  <c r="AH82" i="3"/>
  <c r="AP82" i="3"/>
  <c r="AE87" i="3"/>
  <c r="AM87" i="3"/>
  <c r="E394" i="8"/>
  <c r="G394" i="8" s="1"/>
  <c r="E330" i="8"/>
  <c r="E272" i="8"/>
  <c r="G272" i="8" s="1"/>
  <c r="E204" i="8"/>
  <c r="E146" i="8"/>
  <c r="G146" i="8" s="1"/>
  <c r="E90" i="8"/>
  <c r="G90" i="8" s="1"/>
  <c r="H59" i="7"/>
  <c r="E98" i="8"/>
  <c r="G98" i="8" s="1"/>
  <c r="E66" i="8"/>
  <c r="G66" i="8" s="1"/>
  <c r="H67" i="7"/>
  <c r="AG106" i="3"/>
  <c r="AO106" i="3"/>
  <c r="AD121" i="3"/>
  <c r="AL121" i="3"/>
  <c r="E348" i="8"/>
  <c r="E290" i="8"/>
  <c r="G290" i="8" s="1"/>
  <c r="E222" i="8"/>
  <c r="H83" i="7"/>
  <c r="AB127" i="3"/>
  <c r="AJ127" i="3"/>
  <c r="AH133" i="3"/>
  <c r="AP133" i="3"/>
  <c r="E415" i="8"/>
  <c r="G415" i="8" s="1"/>
  <c r="E352" i="8"/>
  <c r="G352" i="8" s="1"/>
  <c r="E295" i="8"/>
  <c r="G295" i="8" s="1"/>
  <c r="E227" i="8"/>
  <c r="G227" i="8" s="1"/>
  <c r="H91" i="7"/>
  <c r="AD144" i="3"/>
  <c r="AL144" i="3"/>
  <c r="AH172" i="3"/>
  <c r="AP172" i="3"/>
  <c r="M105" i="7"/>
  <c r="L105" i="7"/>
  <c r="K105" i="7"/>
  <c r="AH180" i="3"/>
  <c r="AP180" i="3"/>
  <c r="E184" i="3"/>
  <c r="E583" i="8"/>
  <c r="G583" i="8" s="1"/>
  <c r="E543" i="8"/>
  <c r="G543" i="8" s="1"/>
  <c r="E504" i="8"/>
  <c r="E463" i="8"/>
  <c r="G463" i="8" s="1"/>
  <c r="E432" i="8"/>
  <c r="E374" i="8"/>
  <c r="G374" i="8" s="1"/>
  <c r="H116" i="7"/>
  <c r="AI204" i="3"/>
  <c r="AQ204" i="3"/>
  <c r="E378" i="8"/>
  <c r="G378" i="8" s="1"/>
  <c r="H120" i="7"/>
  <c r="AI216" i="3"/>
  <c r="AQ216" i="3"/>
  <c r="E300" i="8"/>
  <c r="E233" i="8"/>
  <c r="G233" i="8" s="1"/>
  <c r="H123" i="7"/>
  <c r="W223" i="3"/>
  <c r="AC223" i="3"/>
  <c r="AK223" i="3"/>
  <c r="E303" i="8"/>
  <c r="G303" i="8" s="1"/>
  <c r="E236" i="8"/>
  <c r="H126" i="7"/>
  <c r="AB227" i="3"/>
  <c r="AJ227" i="3"/>
  <c r="E465" i="8"/>
  <c r="E506" i="8"/>
  <c r="H129" i="7"/>
  <c r="DV129" i="7" s="1"/>
  <c r="AI231" i="3"/>
  <c r="AQ231" i="3"/>
  <c r="E547" i="8"/>
  <c r="G547" i="8" s="1"/>
  <c r="E587" i="8"/>
  <c r="E469" i="8"/>
  <c r="E510" i="8"/>
  <c r="G510" i="8" s="1"/>
  <c r="H133" i="7"/>
  <c r="E596" i="8"/>
  <c r="E556" i="8"/>
  <c r="E519" i="8"/>
  <c r="E478" i="8"/>
  <c r="G478" i="8" s="1"/>
  <c r="H142" i="7"/>
  <c r="AI246" i="3"/>
  <c r="AQ246" i="3"/>
  <c r="AI251" i="3"/>
  <c r="AQ251" i="3"/>
  <c r="E598" i="8"/>
  <c r="E558" i="8"/>
  <c r="H147" i="7"/>
  <c r="AG256" i="3"/>
  <c r="AQ256" i="3"/>
  <c r="N39" i="4"/>
  <c r="AH42" i="3"/>
  <c r="AP42" i="3"/>
  <c r="AH50" i="3"/>
  <c r="AP50" i="3"/>
  <c r="E565" i="8"/>
  <c r="G565" i="8" s="1"/>
  <c r="E525" i="8"/>
  <c r="G525" i="8" s="1"/>
  <c r="H43" i="7"/>
  <c r="AI59" i="3"/>
  <c r="AQ59" i="3"/>
  <c r="AH72" i="3"/>
  <c r="AP72" i="3"/>
  <c r="K51" i="7"/>
  <c r="M51" i="7"/>
  <c r="E568" i="8"/>
  <c r="E602" i="8"/>
  <c r="E607" i="8"/>
  <c r="G607" i="8" s="1"/>
  <c r="E528" i="8"/>
  <c r="G528" i="8" s="1"/>
  <c r="E481" i="8"/>
  <c r="E440" i="8"/>
  <c r="E389" i="8"/>
  <c r="E267" i="8"/>
  <c r="G267" i="8" s="1"/>
  <c r="E325" i="8"/>
  <c r="E199" i="8"/>
  <c r="G199" i="8" s="1"/>
  <c r="E141" i="8"/>
  <c r="E85" i="8"/>
  <c r="E34" i="8"/>
  <c r="G34" i="8" s="1"/>
  <c r="E57" i="8"/>
  <c r="E44" i="8"/>
  <c r="G44" i="8" s="1"/>
  <c r="E24" i="8"/>
  <c r="G24" i="8" s="1"/>
  <c r="H53" i="7"/>
  <c r="E608" i="8"/>
  <c r="E569" i="8"/>
  <c r="G569" i="8" s="1"/>
  <c r="E603" i="8"/>
  <c r="G603" i="8" s="1"/>
  <c r="E529" i="8"/>
  <c r="G529" i="8" s="1"/>
  <c r="E482" i="8"/>
  <c r="E441" i="8"/>
  <c r="E390" i="8"/>
  <c r="G390" i="8" s="1"/>
  <c r="E326" i="8"/>
  <c r="G326" i="8" s="1"/>
  <c r="E268" i="8"/>
  <c r="G268" i="8" s="1"/>
  <c r="E200" i="8"/>
  <c r="E142" i="8"/>
  <c r="G142" i="8" s="1"/>
  <c r="E86" i="8"/>
  <c r="G86" i="8" s="1"/>
  <c r="E58" i="8"/>
  <c r="E45" i="8"/>
  <c r="E25" i="8"/>
  <c r="E35" i="8"/>
  <c r="H54" i="7"/>
  <c r="AI82" i="3"/>
  <c r="AQ82" i="3"/>
  <c r="E401" i="8"/>
  <c r="G401" i="8" s="1"/>
  <c r="E337" i="8"/>
  <c r="G337" i="8" s="1"/>
  <c r="E279" i="8"/>
  <c r="G279" i="8" s="1"/>
  <c r="E211" i="8"/>
  <c r="G211" i="8" s="1"/>
  <c r="E153" i="8"/>
  <c r="E97" i="8"/>
  <c r="E65" i="8"/>
  <c r="H66" i="7"/>
  <c r="AH106" i="3"/>
  <c r="AP106" i="3"/>
  <c r="AE121" i="3"/>
  <c r="AM121" i="3"/>
  <c r="E489" i="8"/>
  <c r="E448" i="8"/>
  <c r="E409" i="8"/>
  <c r="H82" i="7"/>
  <c r="E291" i="8"/>
  <c r="E223" i="8"/>
  <c r="G223" i="8" s="1"/>
  <c r="H87" i="7"/>
  <c r="AI133" i="3"/>
  <c r="AQ133" i="3"/>
  <c r="E414" i="8"/>
  <c r="E351" i="8"/>
  <c r="G351" i="8" s="1"/>
  <c r="E294" i="8"/>
  <c r="E226" i="8"/>
  <c r="H90" i="7"/>
  <c r="AE144" i="3"/>
  <c r="AM144" i="3"/>
  <c r="E361" i="8"/>
  <c r="G361" i="8" s="1"/>
  <c r="H101" i="7"/>
  <c r="AI172" i="3"/>
  <c r="AQ172" i="3"/>
  <c r="E496" i="8"/>
  <c r="E455" i="8"/>
  <c r="G455" i="8" s="1"/>
  <c r="E424" i="8"/>
  <c r="E366" i="8"/>
  <c r="G366" i="8" s="1"/>
  <c r="H106" i="7"/>
  <c r="AI180" i="3"/>
  <c r="AQ180" i="3"/>
  <c r="E578" i="8"/>
  <c r="E538" i="8"/>
  <c r="E499" i="8"/>
  <c r="G499" i="8" s="1"/>
  <c r="E458" i="8"/>
  <c r="E427" i="8"/>
  <c r="G427" i="8" s="1"/>
  <c r="E369" i="8"/>
  <c r="G369" i="8" s="1"/>
  <c r="H109" i="7"/>
  <c r="E580" i="8"/>
  <c r="E540" i="8"/>
  <c r="E460" i="8"/>
  <c r="G460" i="8" s="1"/>
  <c r="E501" i="8"/>
  <c r="E429" i="8"/>
  <c r="E371" i="8"/>
  <c r="H113" i="7"/>
  <c r="E542" i="8"/>
  <c r="E582" i="8"/>
  <c r="E503" i="8"/>
  <c r="G503" i="8" s="1"/>
  <c r="E431" i="8"/>
  <c r="G431" i="8" s="1"/>
  <c r="E462" i="8"/>
  <c r="G462" i="8" s="1"/>
  <c r="E373" i="8"/>
  <c r="G373" i="8" s="1"/>
  <c r="H115" i="7"/>
  <c r="AB204" i="3"/>
  <c r="AJ204" i="3"/>
  <c r="E377" i="8"/>
  <c r="G377" i="8" s="1"/>
  <c r="H119" i="7"/>
  <c r="AB216" i="3"/>
  <c r="AJ216" i="3"/>
  <c r="E232" i="8"/>
  <c r="E166" i="8"/>
  <c r="G166" i="8" s="1"/>
  <c r="H122" i="7"/>
  <c r="AD223" i="3"/>
  <c r="AL223" i="3"/>
  <c r="E505" i="8"/>
  <c r="G505" i="8" s="1"/>
  <c r="E464" i="8"/>
  <c r="H128" i="7"/>
  <c r="AB231" i="3"/>
  <c r="AJ231" i="3"/>
  <c r="L130" i="7"/>
  <c r="K130" i="7"/>
  <c r="E586" i="8"/>
  <c r="E546" i="8"/>
  <c r="E509" i="8"/>
  <c r="G509" i="8" s="1"/>
  <c r="E468" i="8"/>
  <c r="H132" i="7"/>
  <c r="E595" i="8"/>
  <c r="G595" i="8" s="1"/>
  <c r="E518" i="8"/>
  <c r="E555" i="8"/>
  <c r="E477" i="8"/>
  <c r="H141" i="7"/>
  <c r="AB246" i="3"/>
  <c r="AJ246" i="3"/>
  <c r="E435" i="8"/>
  <c r="G435" i="8" s="1"/>
  <c r="E381" i="8"/>
  <c r="H144" i="7"/>
  <c r="AB251" i="3"/>
  <c r="AJ251" i="3"/>
  <c r="L37" i="4"/>
  <c r="O12" i="4"/>
  <c r="P12" i="4" s="1"/>
  <c r="P38" i="4" s="1"/>
  <c r="E257" i="8"/>
  <c r="E190" i="8"/>
  <c r="G190" i="8" s="1"/>
  <c r="E132" i="8"/>
  <c r="H32" i="7"/>
  <c r="AI42" i="3"/>
  <c r="AQ42" i="3"/>
  <c r="E384" i="8"/>
  <c r="G384" i="8" s="1"/>
  <c r="E319" i="8"/>
  <c r="G319" i="8" s="1"/>
  <c r="E261" i="8"/>
  <c r="E194" i="8"/>
  <c r="H37" i="7"/>
  <c r="AI50" i="3"/>
  <c r="AQ50" i="3"/>
  <c r="E564" i="8"/>
  <c r="E524" i="8"/>
  <c r="G524" i="8" s="1"/>
  <c r="H42" i="7"/>
  <c r="AB59" i="3"/>
  <c r="AJ59" i="3"/>
  <c r="E386" i="8"/>
  <c r="G386" i="8" s="1"/>
  <c r="E322" i="8"/>
  <c r="H50" i="7"/>
  <c r="AI72" i="3"/>
  <c r="AQ72" i="3"/>
  <c r="E567" i="8"/>
  <c r="G567" i="8" s="1"/>
  <c r="E606" i="8"/>
  <c r="E527" i="8"/>
  <c r="E601" i="8"/>
  <c r="G601" i="8" s="1"/>
  <c r="E439" i="8"/>
  <c r="G439" i="8" s="1"/>
  <c r="E480" i="8"/>
  <c r="E388" i="8"/>
  <c r="E324" i="8"/>
  <c r="E266" i="8"/>
  <c r="E198" i="8"/>
  <c r="G198" i="8" s="1"/>
  <c r="E140" i="8"/>
  <c r="E84" i="8"/>
  <c r="E33" i="8"/>
  <c r="E56" i="8"/>
  <c r="G56" i="8" s="1"/>
  <c r="E43" i="8"/>
  <c r="G43" i="8" s="1"/>
  <c r="E23" i="8"/>
  <c r="G23" i="8" s="1"/>
  <c r="H52" i="7"/>
  <c r="AB82" i="3"/>
  <c r="AJ82" i="3"/>
  <c r="E400" i="8"/>
  <c r="G400" i="8" s="1"/>
  <c r="E336" i="8"/>
  <c r="G336" i="8" s="1"/>
  <c r="E278" i="8"/>
  <c r="E210" i="8"/>
  <c r="E152" i="8"/>
  <c r="E96" i="8"/>
  <c r="G96" i="8" s="1"/>
  <c r="E64" i="8"/>
  <c r="G64" i="8" s="1"/>
  <c r="H65" i="7"/>
  <c r="E406" i="8"/>
  <c r="G406" i="8" s="1"/>
  <c r="E342" i="8"/>
  <c r="G342" i="8" s="1"/>
  <c r="E284" i="8"/>
  <c r="E216" i="8"/>
  <c r="E158" i="8"/>
  <c r="G158" i="8" s="1"/>
  <c r="E104" i="8"/>
  <c r="G104" i="8" s="1"/>
  <c r="E72" i="8"/>
  <c r="G72" i="8" s="1"/>
  <c r="H73" i="7"/>
  <c r="AI106" i="3"/>
  <c r="AQ106" i="3"/>
  <c r="AF121" i="3"/>
  <c r="AN121" i="3"/>
  <c r="E164" i="8"/>
  <c r="H86" i="7"/>
  <c r="AB133" i="3"/>
  <c r="AJ133" i="3"/>
  <c r="E413" i="8"/>
  <c r="E350" i="8"/>
  <c r="G350" i="8" s="1"/>
  <c r="E293" i="8"/>
  <c r="E225" i="8"/>
  <c r="G225" i="8" s="1"/>
  <c r="H89" i="7"/>
  <c r="AF144" i="3"/>
  <c r="AN144" i="3"/>
  <c r="E360" i="8"/>
  <c r="H100" i="7"/>
  <c r="AB172" i="3"/>
  <c r="AJ172" i="3"/>
  <c r="E452" i="8"/>
  <c r="G452" i="8" s="1"/>
  <c r="E421" i="8"/>
  <c r="E493" i="8"/>
  <c r="E363" i="8"/>
  <c r="H103" i="7"/>
  <c r="E494" i="8"/>
  <c r="G494" i="8" s="1"/>
  <c r="E422" i="8"/>
  <c r="E453" i="8"/>
  <c r="E364" i="8"/>
  <c r="H104" i="7"/>
  <c r="E495" i="8"/>
  <c r="G495" i="8" s="1"/>
  <c r="E423" i="8"/>
  <c r="G423" i="8" s="1"/>
  <c r="E454" i="8"/>
  <c r="E365" i="8"/>
  <c r="G365" i="8" s="1"/>
  <c r="H105" i="7"/>
  <c r="AB180" i="3"/>
  <c r="AJ180" i="3"/>
  <c r="E577" i="8"/>
  <c r="G577" i="8" s="1"/>
  <c r="E537" i="8"/>
  <c r="G537" i="8" s="1"/>
  <c r="E498" i="8"/>
  <c r="E457" i="8"/>
  <c r="E426" i="8"/>
  <c r="E368" i="8"/>
  <c r="G368" i="8" s="1"/>
  <c r="H108" i="7"/>
  <c r="E539" i="8"/>
  <c r="E579" i="8"/>
  <c r="E500" i="8"/>
  <c r="E428" i="8"/>
  <c r="G428" i="8" s="1"/>
  <c r="E459" i="8"/>
  <c r="G459" i="8" s="1"/>
  <c r="E370" i="8"/>
  <c r="G370" i="8" s="1"/>
  <c r="H112" i="7"/>
  <c r="E541" i="8"/>
  <c r="G541" i="8" s="1"/>
  <c r="E581" i="8"/>
  <c r="G581" i="8" s="1"/>
  <c r="E502" i="8"/>
  <c r="G502" i="8" s="1"/>
  <c r="E430" i="8"/>
  <c r="E461" i="8"/>
  <c r="E372" i="8"/>
  <c r="H114" i="7"/>
  <c r="H258" i="3"/>
  <c r="H264" i="3" s="1"/>
  <c r="E376" i="8"/>
  <c r="G376" i="8" s="1"/>
  <c r="H118" i="7"/>
  <c r="E110" i="8"/>
  <c r="G110" i="8" s="1"/>
  <c r="E165" i="8"/>
  <c r="H121" i="7"/>
  <c r="DV121" i="7" s="1"/>
  <c r="AE223" i="3"/>
  <c r="AM223" i="3"/>
  <c r="E585" i="8"/>
  <c r="G585" i="8" s="1"/>
  <c r="E508" i="8"/>
  <c r="G508" i="8" s="1"/>
  <c r="E545" i="8"/>
  <c r="G545" i="8" s="1"/>
  <c r="E467" i="8"/>
  <c r="G467" i="8" s="1"/>
  <c r="H131" i="7"/>
  <c r="E594" i="8"/>
  <c r="E554" i="8"/>
  <c r="E517" i="8"/>
  <c r="G517" i="8" s="1"/>
  <c r="E476" i="8"/>
  <c r="H140" i="7"/>
  <c r="E434" i="8"/>
  <c r="E380" i="8"/>
  <c r="H143" i="7"/>
  <c r="E597" i="8"/>
  <c r="G597" i="8" s="1"/>
  <c r="E557" i="8"/>
  <c r="G557" i="8" s="1"/>
  <c r="H146" i="7"/>
  <c r="M11" i="7"/>
  <c r="M15" i="7"/>
  <c r="M19" i="7"/>
  <c r="M27" i="7"/>
  <c r="DV28" i="7"/>
  <c r="DV38" i="7"/>
  <c r="J7" i="8"/>
  <c r="B20" i="8"/>
  <c r="B22" i="8"/>
  <c r="DV148" i="7"/>
  <c r="DV147" i="7"/>
  <c r="DV146" i="7"/>
  <c r="DV135" i="7"/>
  <c r="DV132" i="7"/>
  <c r="DV124" i="7"/>
  <c r="DV118" i="7"/>
  <c r="DV110" i="7"/>
  <c r="DV106" i="7"/>
  <c r="DV98" i="7"/>
  <c r="DV144" i="7"/>
  <c r="DV138" i="7"/>
  <c r="B19" i="8"/>
  <c r="DV122" i="7"/>
  <c r="B24" i="8"/>
  <c r="B18" i="8"/>
  <c r="DV140" i="7"/>
  <c r="DV137" i="7"/>
  <c r="DV134" i="7"/>
  <c r="DV143" i="7"/>
  <c r="DV120" i="7"/>
  <c r="DV116" i="7"/>
  <c r="DV112" i="7"/>
  <c r="DV108" i="7"/>
  <c r="DV104" i="7"/>
  <c r="DV100" i="7"/>
  <c r="DV136" i="7"/>
  <c r="DV131" i="7"/>
  <c r="DV123" i="7"/>
  <c r="DV139" i="7"/>
  <c r="DV126" i="7"/>
  <c r="DV75" i="7"/>
  <c r="DV72" i="7"/>
  <c r="DV68" i="7"/>
  <c r="DV60" i="7"/>
  <c r="DV56" i="7"/>
  <c r="DV71" i="7"/>
  <c r="DV67" i="7"/>
  <c r="DV63" i="7"/>
  <c r="DV59" i="7"/>
  <c r="DV91" i="7"/>
  <c r="DV89" i="7"/>
  <c r="DV87" i="7"/>
  <c r="DV83" i="7"/>
  <c r="DV81" i="7"/>
  <c r="DV79" i="7"/>
  <c r="DV66" i="7"/>
  <c r="DV62" i="7"/>
  <c r="DV58" i="7"/>
  <c r="DV95" i="7"/>
  <c r="DV77" i="7"/>
  <c r="DV73" i="7"/>
  <c r="DV65" i="7"/>
  <c r="DV61" i="7"/>
  <c r="DV57" i="7"/>
  <c r="L4" i="7"/>
  <c r="DV7" i="7"/>
  <c r="L8" i="7"/>
  <c r="L12" i="7"/>
  <c r="DV15" i="7"/>
  <c r="L16" i="7"/>
  <c r="DV19" i="7"/>
  <c r="L20" i="7"/>
  <c r="C6" i="6"/>
  <c r="DV142" i="7" s="1"/>
  <c r="DV26" i="7"/>
  <c r="DV37" i="7"/>
  <c r="M54" i="7"/>
  <c r="L54" i="7"/>
  <c r="B7" i="6"/>
  <c r="DV4" i="7"/>
  <c r="DV8" i="7"/>
  <c r="DV12" i="7"/>
  <c r="DV16" i="7"/>
  <c r="DV20" i="7"/>
  <c r="DV25" i="7"/>
  <c r="DV30" i="7"/>
  <c r="DV36" i="7"/>
  <c r="L51" i="7"/>
  <c r="L6" i="7"/>
  <c r="DV9" i="7"/>
  <c r="L10" i="7"/>
  <c r="DV13" i="7"/>
  <c r="L14" i="7"/>
  <c r="DV17" i="7"/>
  <c r="L18" i="7"/>
  <c r="DV21" i="7"/>
  <c r="L22" i="7"/>
  <c r="K23" i="7"/>
  <c r="DV27" i="7"/>
  <c r="M23" i="7"/>
  <c r="DV24" i="7"/>
  <c r="DV29" i="7"/>
  <c r="DV10" i="7"/>
  <c r="DV14" i="7"/>
  <c r="DV18" i="7"/>
  <c r="DV22" i="7"/>
  <c r="DV31" i="7"/>
  <c r="DV32" i="7"/>
  <c r="DV33" i="7"/>
  <c r="DV34" i="7"/>
  <c r="DV42" i="7"/>
  <c r="DV46" i="7"/>
  <c r="DV50" i="7"/>
  <c r="DV94" i="7"/>
  <c r="DV103" i="7"/>
  <c r="Q603" i="8"/>
  <c r="Q587" i="8"/>
  <c r="Q571" i="8"/>
  <c r="Q541" i="8"/>
  <c r="Q609" i="8"/>
  <c r="Q608" i="8"/>
  <c r="Q601" i="8"/>
  <c r="Q600" i="8"/>
  <c r="Q593" i="8"/>
  <c r="Q592" i="8"/>
  <c r="Q585" i="8"/>
  <c r="Q584" i="8"/>
  <c r="Q577" i="8"/>
  <c r="Q576" i="8"/>
  <c r="Q569" i="8"/>
  <c r="Q568" i="8"/>
  <c r="Q561" i="8"/>
  <c r="Q560" i="8"/>
  <c r="Q553" i="8"/>
  <c r="Q552" i="8"/>
  <c r="Q537" i="8"/>
  <c r="Q533" i="8"/>
  <c r="Q545" i="8"/>
  <c r="Q544" i="8"/>
  <c r="Q604" i="8"/>
  <c r="Q550" i="8"/>
  <c r="Q500" i="8"/>
  <c r="Q492" i="8"/>
  <c r="Q484" i="8"/>
  <c r="Q476" i="8"/>
  <c r="Q510" i="8"/>
  <c r="Q525" i="8"/>
  <c r="Q522" i="8"/>
  <c r="Q521" i="8"/>
  <c r="Q517" i="8"/>
  <c r="Q505" i="8"/>
  <c r="Q499" i="8"/>
  <c r="Q491" i="8"/>
  <c r="Q483" i="8"/>
  <c r="Q596" i="8"/>
  <c r="Q529" i="8"/>
  <c r="Q514" i="8"/>
  <c r="Q508" i="8"/>
  <c r="Q524" i="8"/>
  <c r="Q471" i="8"/>
  <c r="Q495" i="8"/>
  <c r="Q472" i="8"/>
  <c r="Q455" i="8"/>
  <c r="Q447" i="8"/>
  <c r="Q439" i="8"/>
  <c r="Q518" i="8"/>
  <c r="Q496" i="8"/>
  <c r="Q487" i="8"/>
  <c r="Q528" i="8"/>
  <c r="Q513" i="8"/>
  <c r="Q467" i="8"/>
  <c r="Q463" i="8"/>
  <c r="Q526" i="8"/>
  <c r="Q488" i="8"/>
  <c r="Q468" i="8"/>
  <c r="Q464" i="8"/>
  <c r="Q503" i="8"/>
  <c r="Q480" i="8"/>
  <c r="Q453" i="8"/>
  <c r="Q445" i="8"/>
  <c r="Q437" i="8"/>
  <c r="Q429" i="8"/>
  <c r="Q440" i="8"/>
  <c r="Q420" i="8"/>
  <c r="Q406" i="8"/>
  <c r="Q398" i="8"/>
  <c r="Q390" i="8"/>
  <c r="Q382" i="8"/>
  <c r="Q479" i="8"/>
  <c r="Q475" i="8"/>
  <c r="Q462" i="8"/>
  <c r="Q432" i="8"/>
  <c r="Q424" i="8"/>
  <c r="Q422" i="8"/>
  <c r="Q421" i="8"/>
  <c r="Q416" i="8"/>
  <c r="Q403" i="8"/>
  <c r="Q395" i="8"/>
  <c r="Q387" i="8"/>
  <c r="Q456" i="8"/>
  <c r="Q427" i="8"/>
  <c r="Q413" i="8"/>
  <c r="Q405" i="8"/>
  <c r="Q397" i="8"/>
  <c r="Q389" i="8"/>
  <c r="Q516" i="8"/>
  <c r="Q448" i="8"/>
  <c r="Q402" i="8"/>
  <c r="Q379" i="8"/>
  <c r="Q371" i="8"/>
  <c r="Q354" i="8"/>
  <c r="Q345" i="8"/>
  <c r="Q337" i="8"/>
  <c r="Q394" i="8"/>
  <c r="Q374" i="8"/>
  <c r="Q366" i="8"/>
  <c r="Q363" i="8"/>
  <c r="Q362" i="8"/>
  <c r="Q361" i="8"/>
  <c r="Q347" i="8"/>
  <c r="Q339" i="8"/>
  <c r="Q331" i="8"/>
  <c r="Q323" i="8"/>
  <c r="Q385" i="8"/>
  <c r="Q360" i="8"/>
  <c r="Q408" i="8"/>
  <c r="Q386" i="8"/>
  <c r="Q338" i="8"/>
  <c r="Q322" i="8"/>
  <c r="Q312" i="8"/>
  <c r="Q299" i="8"/>
  <c r="Q291" i="8"/>
  <c r="Q283" i="8"/>
  <c r="Q275" i="8"/>
  <c r="Q355" i="8"/>
  <c r="Q304" i="8"/>
  <c r="Q296" i="8"/>
  <c r="Q288" i="8"/>
  <c r="Q280" i="8"/>
  <c r="Q272" i="8"/>
  <c r="Q307" i="8"/>
  <c r="Q346" i="8"/>
  <c r="Q329" i="8"/>
  <c r="Q315" i="8"/>
  <c r="Q378" i="8"/>
  <c r="Q370" i="8"/>
  <c r="Q314" i="8"/>
  <c r="Q330" i="8"/>
  <c r="Q300" i="8"/>
  <c r="Q292" i="8"/>
  <c r="Q284" i="8"/>
  <c r="Q276" i="8"/>
  <c r="Q309" i="8"/>
  <c r="Q247" i="8"/>
  <c r="Q239" i="8"/>
  <c r="Q231" i="8"/>
  <c r="Q223" i="8"/>
  <c r="Q215" i="8"/>
  <c r="Q305" i="8"/>
  <c r="Q273" i="8"/>
  <c r="Q256" i="8"/>
  <c r="Q320" i="8"/>
  <c r="Q297" i="8"/>
  <c r="Q264" i="8"/>
  <c r="Q246" i="8"/>
  <c r="Q238" i="8"/>
  <c r="Q230" i="8"/>
  <c r="Q289" i="8"/>
  <c r="Q321" i="8"/>
  <c r="Q313" i="8"/>
  <c r="Q281" i="8"/>
  <c r="Q268" i="8"/>
  <c r="Q267" i="8"/>
  <c r="Q260" i="8"/>
  <c r="Q259" i="8"/>
  <c r="Q257" i="8"/>
  <c r="Q207" i="8"/>
  <c r="Q206" i="8"/>
  <c r="Q218" i="8"/>
  <c r="Q214" i="8"/>
  <c r="Q187" i="8"/>
  <c r="Q179" i="8"/>
  <c r="Q171" i="8"/>
  <c r="Q163" i="8"/>
  <c r="Q155" i="8"/>
  <c r="Q147" i="8"/>
  <c r="Q139" i="8"/>
  <c r="Q131" i="8"/>
  <c r="Q123" i="8"/>
  <c r="Q115" i="8"/>
  <c r="Q107" i="8"/>
  <c r="Q99" i="8"/>
  <c r="Q222" i="8"/>
  <c r="Q186" i="8"/>
  <c r="Q178" i="8"/>
  <c r="Q170" i="8"/>
  <c r="Q162" i="8"/>
  <c r="Q154" i="8"/>
  <c r="Q146" i="8"/>
  <c r="Q138" i="8"/>
  <c r="Q130" i="8"/>
  <c r="Q122" i="8"/>
  <c r="Q114" i="8"/>
  <c r="Q106" i="8"/>
  <c r="Q98" i="8"/>
  <c r="Q199" i="8"/>
  <c r="Q183" i="8"/>
  <c r="Q175" i="8"/>
  <c r="Q167" i="8"/>
  <c r="Q159" i="8"/>
  <c r="Q151" i="8"/>
  <c r="Q143" i="8"/>
  <c r="Q135" i="8"/>
  <c r="Q127" i="8"/>
  <c r="Q119" i="8"/>
  <c r="Q111" i="8"/>
  <c r="Q188" i="8"/>
  <c r="Q180" i="8"/>
  <c r="Q172" i="8"/>
  <c r="Q164" i="8"/>
  <c r="Q156" i="8"/>
  <c r="Q148" i="8"/>
  <c r="Q140" i="8"/>
  <c r="Q132" i="8"/>
  <c r="Q124" i="8"/>
  <c r="Q116" i="8"/>
  <c r="Q108" i="8"/>
  <c r="Q100" i="8"/>
  <c r="Q92" i="8"/>
  <c r="Q84" i="8"/>
  <c r="Q76" i="8"/>
  <c r="Q68" i="8"/>
  <c r="Q90" i="8"/>
  <c r="Q60" i="8"/>
  <c r="Q48" i="8"/>
  <c r="Q40" i="8"/>
  <c r="Q32" i="8"/>
  <c r="Q24" i="8"/>
  <c r="Q95" i="8"/>
  <c r="Q82" i="8"/>
  <c r="Q45" i="8"/>
  <c r="Q41" i="8"/>
  <c r="Q33" i="8"/>
  <c r="Q91" i="8"/>
  <c r="Q87" i="8"/>
  <c r="Q74" i="8"/>
  <c r="Q83" i="8"/>
  <c r="Q79" i="8"/>
  <c r="Q66" i="8"/>
  <c r="Q47" i="8"/>
  <c r="Q35" i="8"/>
  <c r="Q27" i="8"/>
  <c r="Q75" i="8"/>
  <c r="Q71" i="8"/>
  <c r="Q53" i="8"/>
  <c r="Q44" i="8"/>
  <c r="Q36" i="8"/>
  <c r="Q28" i="8"/>
  <c r="Q67" i="8"/>
  <c r="Q56" i="8"/>
  <c r="Q49" i="8"/>
  <c r="Q37" i="8"/>
  <c r="Q29" i="8"/>
  <c r="Q21" i="8"/>
  <c r="Q103" i="8"/>
  <c r="Q52" i="8"/>
  <c r="Q63" i="8"/>
  <c r="B12" i="8"/>
  <c r="B15" i="9" s="1"/>
  <c r="Q25" i="8"/>
  <c r="Q20" i="8"/>
  <c r="Q19" i="8"/>
  <c r="L58" i="7"/>
  <c r="L62" i="7"/>
  <c r="L66" i="7"/>
  <c r="L70" i="7"/>
  <c r="DV78" i="7"/>
  <c r="DV80" i="7"/>
  <c r="DV82" i="7"/>
  <c r="M38" i="5" s="1"/>
  <c r="DV84" i="7"/>
  <c r="DV86" i="7"/>
  <c r="DV90" i="7"/>
  <c r="DV92" i="7"/>
  <c r="DV101" i="7"/>
  <c r="L136" i="7"/>
  <c r="DV35" i="7"/>
  <c r="DV39" i="7"/>
  <c r="DV43" i="7"/>
  <c r="DV47" i="7"/>
  <c r="K74" i="7"/>
  <c r="M79" i="7"/>
  <c r="L79" i="7"/>
  <c r="M81" i="7"/>
  <c r="L81" i="7"/>
  <c r="M83" i="7"/>
  <c r="L83" i="7"/>
  <c r="M85" i="7"/>
  <c r="L85" i="7"/>
  <c r="M87" i="7"/>
  <c r="L87" i="7"/>
  <c r="M89" i="7"/>
  <c r="L89" i="7"/>
  <c r="M91" i="7"/>
  <c r="L91" i="7"/>
  <c r="M93" i="7"/>
  <c r="L93" i="7"/>
  <c r="DV99" i="7"/>
  <c r="DV54" i="7"/>
  <c r="DV97" i="7"/>
  <c r="DV105" i="7"/>
  <c r="DV40" i="7"/>
  <c r="DV44" i="7"/>
  <c r="DV48" i="7"/>
  <c r="DV52" i="7"/>
  <c r="M75" i="7"/>
  <c r="DV76" i="7"/>
  <c r="M104" i="7"/>
  <c r="L56" i="7"/>
  <c r="L60" i="7"/>
  <c r="L64" i="7"/>
  <c r="L68" i="7"/>
  <c r="L72" i="7"/>
  <c r="DV41" i="7"/>
  <c r="DV45" i="7"/>
  <c r="DV49" i="7"/>
  <c r="DV53" i="7"/>
  <c r="L75" i="7"/>
  <c r="M95" i="7"/>
  <c r="L95" i="7"/>
  <c r="L100" i="7"/>
  <c r="L104" i="7"/>
  <c r="L108" i="7"/>
  <c r="DV111" i="7"/>
  <c r="L112" i="7"/>
  <c r="DV115" i="7"/>
  <c r="L116" i="7"/>
  <c r="DV119" i="7"/>
  <c r="L120" i="7"/>
  <c r="L133" i="7"/>
  <c r="M140" i="7"/>
  <c r="L143" i="7"/>
  <c r="G29" i="8"/>
  <c r="G35" i="8"/>
  <c r="Q50" i="8"/>
  <c r="G52" i="8"/>
  <c r="L128" i="7"/>
  <c r="M130" i="7"/>
  <c r="G45" i="8"/>
  <c r="B17" i="8"/>
  <c r="Q18" i="8"/>
  <c r="H18" i="8"/>
  <c r="B23" i="8"/>
  <c r="Q23" i="8"/>
  <c r="B25" i="8"/>
  <c r="G33" i="8"/>
  <c r="G57" i="8"/>
  <c r="M124" i="7"/>
  <c r="DV125" i="7"/>
  <c r="M132" i="7"/>
  <c r="K133" i="7"/>
  <c r="M138" i="7"/>
  <c r="M141" i="7"/>
  <c r="K143" i="7"/>
  <c r="Q34" i="8"/>
  <c r="Q51" i="8"/>
  <c r="G62" i="8"/>
  <c r="L98" i="7"/>
  <c r="L102" i="7"/>
  <c r="L106" i="7"/>
  <c r="DV109" i="7"/>
  <c r="L110" i="7"/>
  <c r="DV113" i="7"/>
  <c r="L114" i="7"/>
  <c r="DV117" i="7"/>
  <c r="L118" i="7"/>
  <c r="L135" i="7"/>
  <c r="L138" i="7"/>
  <c r="L141" i="7"/>
  <c r="L144" i="7"/>
  <c r="DV145" i="7"/>
  <c r="G17" i="8"/>
  <c r="G25" i="8"/>
  <c r="G60" i="8"/>
  <c r="L124" i="7"/>
  <c r="M126" i="7"/>
  <c r="DV127" i="7"/>
  <c r="L132" i="7"/>
  <c r="K134" i="7"/>
  <c r="K137" i="7"/>
  <c r="DV141" i="7"/>
  <c r="M142" i="7"/>
  <c r="M146" i="7"/>
  <c r="L146" i="7"/>
  <c r="L147" i="7"/>
  <c r="H17" i="8"/>
  <c r="G30" i="8"/>
  <c r="G41" i="8"/>
  <c r="G58" i="8"/>
  <c r="K127" i="7"/>
  <c r="M136" i="7"/>
  <c r="L142" i="7"/>
  <c r="M147" i="7"/>
  <c r="L148" i="7"/>
  <c r="G19" i="8"/>
  <c r="G21" i="8"/>
  <c r="H23" i="8"/>
  <c r="G27" i="8"/>
  <c r="Q42" i="8"/>
  <c r="G49" i="8"/>
  <c r="Q59" i="8"/>
  <c r="G65" i="8"/>
  <c r="Q26" i="8"/>
  <c r="H31" i="8"/>
  <c r="Q31" i="8"/>
  <c r="G37" i="8"/>
  <c r="G47" i="8"/>
  <c r="G54" i="8"/>
  <c r="H19" i="8"/>
  <c r="H27" i="8"/>
  <c r="H35" i="8"/>
  <c r="Q39" i="8"/>
  <c r="Q43" i="8"/>
  <c r="H47" i="8"/>
  <c r="H57" i="8"/>
  <c r="Q61" i="8"/>
  <c r="Q65" i="8"/>
  <c r="H65" i="8"/>
  <c r="Q78" i="8"/>
  <c r="G84" i="8"/>
  <c r="Q102" i="8"/>
  <c r="G109" i="8"/>
  <c r="G116" i="8"/>
  <c r="Q121" i="8"/>
  <c r="G125" i="8"/>
  <c r="G132" i="8"/>
  <c r="Q137" i="8"/>
  <c r="G141" i="8"/>
  <c r="G148" i="8"/>
  <c r="Q153" i="8"/>
  <c r="G157" i="8"/>
  <c r="G164" i="8"/>
  <c r="Q169" i="8"/>
  <c r="G173" i="8"/>
  <c r="G180" i="8"/>
  <c r="Q185" i="8"/>
  <c r="G189" i="8"/>
  <c r="Q204" i="8"/>
  <c r="B21" i="8"/>
  <c r="Q22" i="8"/>
  <c r="H26" i="8"/>
  <c r="Q30" i="8"/>
  <c r="H34" i="8"/>
  <c r="Q38" i="8"/>
  <c r="H42" i="8"/>
  <c r="Q46" i="8"/>
  <c r="H50" i="8"/>
  <c r="Q62" i="8"/>
  <c r="Q64" i="8"/>
  <c r="H69" i="8"/>
  <c r="Q69" i="8"/>
  <c r="G71" i="8"/>
  <c r="Q86" i="8"/>
  <c r="G92" i="8"/>
  <c r="Q110" i="8"/>
  <c r="Q112" i="8"/>
  <c r="Q126" i="8"/>
  <c r="Q128" i="8"/>
  <c r="Q142" i="8"/>
  <c r="Q144" i="8"/>
  <c r="Q158" i="8"/>
  <c r="Q160" i="8"/>
  <c r="Q174" i="8"/>
  <c r="Q176" i="8"/>
  <c r="Q202" i="8"/>
  <c r="H25" i="8"/>
  <c r="H33" i="8"/>
  <c r="H41" i="8"/>
  <c r="H45" i="8"/>
  <c r="H54" i="8"/>
  <c r="Q73" i="8"/>
  <c r="H73" i="8"/>
  <c r="H77" i="8"/>
  <c r="Q77" i="8"/>
  <c r="G79" i="8"/>
  <c r="Q94" i="8"/>
  <c r="G100" i="8"/>
  <c r="Q104" i="8"/>
  <c r="G121" i="8"/>
  <c r="G137" i="8"/>
  <c r="G153" i="8"/>
  <c r="G169" i="8"/>
  <c r="G185" i="8"/>
  <c r="Q200" i="8"/>
  <c r="H51" i="8"/>
  <c r="Q57" i="8"/>
  <c r="Q81" i="8"/>
  <c r="H81" i="8"/>
  <c r="H85" i="8"/>
  <c r="Q85" i="8"/>
  <c r="Q97" i="8"/>
  <c r="G119" i="8"/>
  <c r="G135" i="8"/>
  <c r="G151" i="8"/>
  <c r="G160" i="8"/>
  <c r="G167" i="8"/>
  <c r="G183" i="8"/>
  <c r="Q212" i="8"/>
  <c r="B26" i="8"/>
  <c r="H39" i="8"/>
  <c r="H43" i="8"/>
  <c r="Q54" i="8"/>
  <c r="G61" i="8"/>
  <c r="G69" i="8"/>
  <c r="Q72" i="8"/>
  <c r="H72" i="8"/>
  <c r="Q89" i="8"/>
  <c r="H89" i="8"/>
  <c r="H93" i="8"/>
  <c r="Q93" i="8"/>
  <c r="G95" i="8"/>
  <c r="H101" i="8"/>
  <c r="Q101" i="8"/>
  <c r="G108" i="8"/>
  <c r="Q113" i="8"/>
  <c r="G117" i="8"/>
  <c r="Q129" i="8"/>
  <c r="G133" i="8"/>
  <c r="G140" i="8"/>
  <c r="Q145" i="8"/>
  <c r="G149" i="8"/>
  <c r="G156" i="8"/>
  <c r="Q161" i="8"/>
  <c r="G165" i="8"/>
  <c r="G172" i="8"/>
  <c r="Q177" i="8"/>
  <c r="G188" i="8"/>
  <c r="Q198" i="8"/>
  <c r="Q210" i="8"/>
  <c r="Q58" i="8"/>
  <c r="G63" i="8"/>
  <c r="H64" i="8"/>
  <c r="G77" i="8"/>
  <c r="Q80" i="8"/>
  <c r="H80" i="8"/>
  <c r="G97" i="8"/>
  <c r="Q118" i="8"/>
  <c r="Q120" i="8"/>
  <c r="Q134" i="8"/>
  <c r="Q136" i="8"/>
  <c r="Q150" i="8"/>
  <c r="Q152" i="8"/>
  <c r="Q166" i="8"/>
  <c r="Q168" i="8"/>
  <c r="Q182" i="8"/>
  <c r="Q184" i="8"/>
  <c r="Q191" i="8"/>
  <c r="G53" i="8"/>
  <c r="G68" i="8"/>
  <c r="G85" i="8"/>
  <c r="Q88" i="8"/>
  <c r="H88" i="8"/>
  <c r="G101" i="8"/>
  <c r="Q105" i="8"/>
  <c r="G113" i="8"/>
  <c r="G129" i="8"/>
  <c r="G145" i="8"/>
  <c r="G161" i="8"/>
  <c r="G177" i="8"/>
  <c r="G193" i="8"/>
  <c r="Q196" i="8"/>
  <c r="Q55" i="8"/>
  <c r="Q70" i="8"/>
  <c r="G76" i="8"/>
  <c r="G93" i="8"/>
  <c r="Q96" i="8"/>
  <c r="G103" i="8"/>
  <c r="G111" i="8"/>
  <c r="G127" i="8"/>
  <c r="G152" i="8"/>
  <c r="G168" i="8"/>
  <c r="G175" i="8"/>
  <c r="Q194" i="8"/>
  <c r="H96" i="8"/>
  <c r="H104" i="8"/>
  <c r="H112" i="8"/>
  <c r="H120" i="8"/>
  <c r="H128" i="8"/>
  <c r="H136" i="8"/>
  <c r="H144" i="8"/>
  <c r="H152" i="8"/>
  <c r="H160" i="8"/>
  <c r="H168" i="8"/>
  <c r="H176" i="8"/>
  <c r="H184" i="8"/>
  <c r="Q192" i="8"/>
  <c r="Q208" i="8"/>
  <c r="G210" i="8"/>
  <c r="G222" i="8"/>
  <c r="G232" i="8"/>
  <c r="Q235" i="8"/>
  <c r="G256" i="8"/>
  <c r="G258" i="8"/>
  <c r="Q189" i="8"/>
  <c r="Q193" i="8"/>
  <c r="Q195" i="8"/>
  <c r="H197" i="8"/>
  <c r="Q197" i="8"/>
  <c r="Q201" i="8"/>
  <c r="Q203" i="8"/>
  <c r="H205" i="8"/>
  <c r="Q205" i="8"/>
  <c r="H210" i="8"/>
  <c r="Q228" i="8"/>
  <c r="G230" i="8"/>
  <c r="Q233" i="8"/>
  <c r="G242" i="8"/>
  <c r="G244" i="8"/>
  <c r="G208" i="8"/>
  <c r="Q217" i="8"/>
  <c r="G226" i="8"/>
  <c r="Q252" i="8"/>
  <c r="H97" i="8"/>
  <c r="H105" i="8"/>
  <c r="Q109" i="8"/>
  <c r="H113" i="8"/>
  <c r="Q117" i="8"/>
  <c r="H121" i="8"/>
  <c r="Q125" i="8"/>
  <c r="H129" i="8"/>
  <c r="Q133" i="8"/>
  <c r="H137" i="8"/>
  <c r="Q141" i="8"/>
  <c r="H145" i="8"/>
  <c r="Q149" i="8"/>
  <c r="H153" i="8"/>
  <c r="Q157" i="8"/>
  <c r="H161" i="8"/>
  <c r="Q165" i="8"/>
  <c r="H169" i="8"/>
  <c r="Q173" i="8"/>
  <c r="H177" i="8"/>
  <c r="Q181" i="8"/>
  <c r="H185" i="8"/>
  <c r="H191" i="8"/>
  <c r="G214" i="8"/>
  <c r="G218" i="8"/>
  <c r="Q225" i="8"/>
  <c r="G228" i="8"/>
  <c r="G240" i="8"/>
  <c r="Q243" i="8"/>
  <c r="Q190" i="8"/>
  <c r="G194" i="8"/>
  <c r="G200" i="8"/>
  <c r="G202" i="8"/>
  <c r="H212" i="8"/>
  <c r="Q220" i="8"/>
  <c r="H220" i="8"/>
  <c r="Q227" i="8"/>
  <c r="Q236" i="8"/>
  <c r="G238" i="8"/>
  <c r="Q241" i="8"/>
  <c r="G250" i="8"/>
  <c r="G252" i="8"/>
  <c r="G266" i="8"/>
  <c r="H194" i="8"/>
  <c r="G196" i="8"/>
  <c r="H202" i="8"/>
  <c r="G204" i="8"/>
  <c r="Q211" i="8"/>
  <c r="Q216" i="8"/>
  <c r="G255" i="8"/>
  <c r="Q319" i="8"/>
  <c r="H66" i="8"/>
  <c r="H74" i="8"/>
  <c r="H82" i="8"/>
  <c r="H90" i="8"/>
  <c r="H98" i="8"/>
  <c r="H106" i="8"/>
  <c r="H114" i="8"/>
  <c r="H122" i="8"/>
  <c r="H130" i="8"/>
  <c r="H138" i="8"/>
  <c r="H146" i="8"/>
  <c r="H154" i="8"/>
  <c r="H162" i="8"/>
  <c r="H170" i="8"/>
  <c r="H178" i="8"/>
  <c r="H186" i="8"/>
  <c r="H196" i="8"/>
  <c r="H198" i="8"/>
  <c r="H204" i="8"/>
  <c r="Q209" i="8"/>
  <c r="Q219" i="8"/>
  <c r="G220" i="8"/>
  <c r="G234" i="8"/>
  <c r="G236" i="8"/>
  <c r="G248" i="8"/>
  <c r="Q251" i="8"/>
  <c r="H189" i="8"/>
  <c r="G212" i="8"/>
  <c r="G216" i="8"/>
  <c r="Q244" i="8"/>
  <c r="G246" i="8"/>
  <c r="Q249" i="8"/>
  <c r="Q265" i="8"/>
  <c r="Q226" i="8"/>
  <c r="Q234" i="8"/>
  <c r="Q242" i="8"/>
  <c r="Q250" i="8"/>
  <c r="Q278" i="8"/>
  <c r="Q293" i="8"/>
  <c r="H295" i="8"/>
  <c r="Q295" i="8"/>
  <c r="G313" i="8"/>
  <c r="H193" i="8"/>
  <c r="H201" i="8"/>
  <c r="H209" i="8"/>
  <c r="Q213" i="8"/>
  <c r="H217" i="8"/>
  <c r="Q221" i="8"/>
  <c r="H225" i="8"/>
  <c r="Q229" i="8"/>
  <c r="H233" i="8"/>
  <c r="Q237" i="8"/>
  <c r="H241" i="8"/>
  <c r="Q245" i="8"/>
  <c r="H249" i="8"/>
  <c r="Q253" i="8"/>
  <c r="Q258" i="8"/>
  <c r="Q261" i="8"/>
  <c r="Q269" i="8"/>
  <c r="G276" i="8"/>
  <c r="G289" i="8"/>
  <c r="G291" i="8"/>
  <c r="G302" i="8"/>
  <c r="G356" i="8"/>
  <c r="Q224" i="8"/>
  <c r="H228" i="8"/>
  <c r="Q232" i="8"/>
  <c r="H236" i="8"/>
  <c r="Q240" i="8"/>
  <c r="H244" i="8"/>
  <c r="Q248" i="8"/>
  <c r="H252" i="8"/>
  <c r="H255" i="8"/>
  <c r="Q286" i="8"/>
  <c r="G293" i="8"/>
  <c r="Q301" i="8"/>
  <c r="H303" i="8"/>
  <c r="Q303" i="8"/>
  <c r="G308" i="8"/>
  <c r="G317" i="8"/>
  <c r="Q254" i="8"/>
  <c r="G257" i="8"/>
  <c r="G262" i="8"/>
  <c r="G270" i="8"/>
  <c r="G278" i="8"/>
  <c r="G284" i="8"/>
  <c r="G297" i="8"/>
  <c r="G299" i="8"/>
  <c r="Q255" i="8"/>
  <c r="G261" i="8"/>
  <c r="H266" i="8"/>
  <c r="Q266" i="8"/>
  <c r="Q277" i="8"/>
  <c r="H279" i="8"/>
  <c r="Q279" i="8"/>
  <c r="Q294" i="8"/>
  <c r="G301" i="8"/>
  <c r="G312" i="8"/>
  <c r="H328" i="8"/>
  <c r="Q328" i="8"/>
  <c r="G364" i="8"/>
  <c r="H237" i="8"/>
  <c r="H245" i="8"/>
  <c r="H253" i="8"/>
  <c r="H265" i="8"/>
  <c r="Q271" i="8"/>
  <c r="G273" i="8"/>
  <c r="G275" i="8"/>
  <c r="G286" i="8"/>
  <c r="G305" i="8"/>
  <c r="G316" i="8"/>
  <c r="H224" i="8"/>
  <c r="H232" i="8"/>
  <c r="H240" i="8"/>
  <c r="H248" i="8"/>
  <c r="G254" i="8"/>
  <c r="Q263" i="8"/>
  <c r="G277" i="8"/>
  <c r="Q285" i="8"/>
  <c r="H287" i="8"/>
  <c r="Q287" i="8"/>
  <c r="Q302" i="8"/>
  <c r="H319" i="8"/>
  <c r="G360" i="8"/>
  <c r="Q262" i="8"/>
  <c r="H262" i="8"/>
  <c r="Q270" i="8"/>
  <c r="G281" i="8"/>
  <c r="G283" i="8"/>
  <c r="G294" i="8"/>
  <c r="G300" i="8"/>
  <c r="H320" i="8"/>
  <c r="G325" i="8"/>
  <c r="Q332" i="8"/>
  <c r="H336" i="8"/>
  <c r="G346" i="8"/>
  <c r="Q348" i="8"/>
  <c r="H392" i="8"/>
  <c r="Q392" i="8"/>
  <c r="H259" i="8"/>
  <c r="H267" i="8"/>
  <c r="H275" i="8"/>
  <c r="H283" i="8"/>
  <c r="H291" i="8"/>
  <c r="H299" i="8"/>
  <c r="Q306" i="8"/>
  <c r="G324" i="8"/>
  <c r="Q327" i="8"/>
  <c r="H327" i="8"/>
  <c r="G339" i="8"/>
  <c r="H359" i="8"/>
  <c r="Q369" i="8"/>
  <c r="Q377" i="8"/>
  <c r="H270" i="8"/>
  <c r="Q274" i="8"/>
  <c r="H278" i="8"/>
  <c r="Q282" i="8"/>
  <c r="H286" i="8"/>
  <c r="Q290" i="8"/>
  <c r="H294" i="8"/>
  <c r="Q298" i="8"/>
  <c r="H302" i="8"/>
  <c r="H308" i="8"/>
  <c r="Q310" i="8"/>
  <c r="G322" i="8"/>
  <c r="G333" i="8"/>
  <c r="Q343" i="8"/>
  <c r="G348" i="8"/>
  <c r="Q350" i="8"/>
  <c r="H352" i="8"/>
  <c r="Q352" i="8"/>
  <c r="H273" i="8"/>
  <c r="H281" i="8"/>
  <c r="H289" i="8"/>
  <c r="H297" i="8"/>
  <c r="H305" i="8"/>
  <c r="Q311" i="8"/>
  <c r="H313" i="8"/>
  <c r="Q316" i="8"/>
  <c r="Q326" i="8"/>
  <c r="G332" i="8"/>
  <c r="Q335" i="8"/>
  <c r="G341" i="8"/>
  <c r="G381" i="8"/>
  <c r="G418" i="8"/>
  <c r="Q308" i="8"/>
  <c r="Q317" i="8"/>
  <c r="G331" i="8"/>
  <c r="Q336" i="8"/>
  <c r="G338" i="8"/>
  <c r="Q340" i="8"/>
  <c r="Q359" i="8"/>
  <c r="G375" i="8"/>
  <c r="H384" i="8"/>
  <c r="Q384" i="8"/>
  <c r="G388" i="8"/>
  <c r="G330" i="8"/>
  <c r="Q334" i="8"/>
  <c r="G347" i="8"/>
  <c r="Q358" i="8"/>
  <c r="Q407" i="8"/>
  <c r="Q412" i="8"/>
  <c r="H438" i="8"/>
  <c r="Q438" i="8"/>
  <c r="G307" i="8"/>
  <c r="G315" i="8"/>
  <c r="Q318" i="8"/>
  <c r="Q324" i="8"/>
  <c r="G340" i="8"/>
  <c r="Q342" i="8"/>
  <c r="H344" i="8"/>
  <c r="Q344" i="8"/>
  <c r="Q351" i="8"/>
  <c r="Q353" i="8"/>
  <c r="Q325" i="8"/>
  <c r="H329" i="8"/>
  <c r="Q333" i="8"/>
  <c r="H337" i="8"/>
  <c r="Q341" i="8"/>
  <c r="H345" i="8"/>
  <c r="Q349" i="8"/>
  <c r="Q356" i="8"/>
  <c r="G363" i="8"/>
  <c r="Q396" i="8"/>
  <c r="G399" i="8"/>
  <c r="G403" i="8"/>
  <c r="G405" i="8"/>
  <c r="G416" i="8"/>
  <c r="Q436" i="8"/>
  <c r="H369" i="8"/>
  <c r="G372" i="8"/>
  <c r="H377" i="8"/>
  <c r="G380" i="8"/>
  <c r="Q383" i="8"/>
  <c r="H400" i="8"/>
  <c r="Q400" i="8"/>
  <c r="G421" i="8"/>
  <c r="Q481" i="8"/>
  <c r="H335" i="8"/>
  <c r="H343" i="8"/>
  <c r="H351" i="8"/>
  <c r="G355" i="8"/>
  <c r="H358" i="8"/>
  <c r="G396" i="8"/>
  <c r="Q404" i="8"/>
  <c r="G407" i="8"/>
  <c r="Q434" i="8"/>
  <c r="Q357" i="8"/>
  <c r="H368" i="8"/>
  <c r="Q368" i="8"/>
  <c r="G371" i="8"/>
  <c r="H376" i="8"/>
  <c r="Q376" i="8"/>
  <c r="G379" i="8"/>
  <c r="Q393" i="8"/>
  <c r="G409" i="8"/>
  <c r="G413" i="8"/>
  <c r="Q364" i="8"/>
  <c r="Q367" i="8"/>
  <c r="Q375" i="8"/>
  <c r="G383" i="8"/>
  <c r="Q388" i="8"/>
  <c r="G389" i="8"/>
  <c r="G404" i="8"/>
  <c r="G441" i="8"/>
  <c r="H383" i="8"/>
  <c r="Q401" i="8"/>
  <c r="H412" i="8"/>
  <c r="G424" i="8"/>
  <c r="G426" i="8"/>
  <c r="Q498" i="8"/>
  <c r="H356" i="8"/>
  <c r="Q372" i="8"/>
  <c r="H372" i="8"/>
  <c r="Q380" i="8"/>
  <c r="G395" i="8"/>
  <c r="G397" i="8"/>
  <c r="Q449" i="8"/>
  <c r="H371" i="8"/>
  <c r="H379" i="8"/>
  <c r="H387" i="8"/>
  <c r="Q391" i="8"/>
  <c r="H395" i="8"/>
  <c r="Q399" i="8"/>
  <c r="H403" i="8"/>
  <c r="Q411" i="8"/>
  <c r="G422" i="8"/>
  <c r="G437" i="8"/>
  <c r="G454" i="8"/>
  <c r="Q458" i="8"/>
  <c r="Q460" i="8"/>
  <c r="G523" i="8"/>
  <c r="Q365" i="8"/>
  <c r="Q373" i="8"/>
  <c r="Q381" i="8"/>
  <c r="H385" i="8"/>
  <c r="H393" i="8"/>
  <c r="H401" i="8"/>
  <c r="Q409" i="8"/>
  <c r="H417" i="8"/>
  <c r="H420" i="8"/>
  <c r="Q431" i="8"/>
  <c r="G432" i="8"/>
  <c r="G445" i="8"/>
  <c r="G458" i="8"/>
  <c r="Q515" i="8"/>
  <c r="H515" i="8"/>
  <c r="H380" i="8"/>
  <c r="H388" i="8"/>
  <c r="H396" i="8"/>
  <c r="H404" i="8"/>
  <c r="Q414" i="8"/>
  <c r="Q428" i="8"/>
  <c r="G429" i="8"/>
  <c r="G434" i="8"/>
  <c r="Q442" i="8"/>
  <c r="Q444" i="8"/>
  <c r="H446" i="8"/>
  <c r="Q446" i="8"/>
  <c r="G449" i="8"/>
  <c r="Q536" i="8"/>
  <c r="H391" i="8"/>
  <c r="H399" i="8"/>
  <c r="H407" i="8"/>
  <c r="G408" i="8"/>
  <c r="H411" i="8"/>
  <c r="Q415" i="8"/>
  <c r="H430" i="8"/>
  <c r="Q430" i="8"/>
  <c r="G440" i="8"/>
  <c r="Q457" i="8"/>
  <c r="H470" i="8"/>
  <c r="Q470" i="8"/>
  <c r="G496" i="8"/>
  <c r="H501" i="8"/>
  <c r="Q501" i="8"/>
  <c r="G513" i="8"/>
  <c r="Q410" i="8"/>
  <c r="Q417" i="8"/>
  <c r="H419" i="8"/>
  <c r="Q419" i="8"/>
  <c r="Q423" i="8"/>
  <c r="Q425" i="8"/>
  <c r="Q433" i="8"/>
  <c r="G446" i="8"/>
  <c r="Q450" i="8"/>
  <c r="G453" i="8"/>
  <c r="G414" i="8"/>
  <c r="Q418" i="8"/>
  <c r="Q426" i="8"/>
  <c r="G448" i="8"/>
  <c r="Q452" i="8"/>
  <c r="H454" i="8"/>
  <c r="Q454" i="8"/>
  <c r="G457" i="8"/>
  <c r="G430" i="8"/>
  <c r="G433" i="8"/>
  <c r="Q441" i="8"/>
  <c r="G461" i="8"/>
  <c r="H433" i="8"/>
  <c r="H441" i="8"/>
  <c r="H449" i="8"/>
  <c r="H457" i="8"/>
  <c r="H477" i="8"/>
  <c r="Q477" i="8"/>
  <c r="G482" i="8"/>
  <c r="G485" i="8"/>
  <c r="H530" i="8"/>
  <c r="Q534" i="8"/>
  <c r="Q556" i="8"/>
  <c r="G560" i="8"/>
  <c r="Q572" i="8"/>
  <c r="Q435" i="8"/>
  <c r="Q443" i="8"/>
  <c r="Q451" i="8"/>
  <c r="Q459" i="8"/>
  <c r="G473" i="8"/>
  <c r="H486" i="8"/>
  <c r="Q486" i="8"/>
  <c r="G490" i="8"/>
  <c r="G493" i="8"/>
  <c r="H509" i="8"/>
  <c r="Q509" i="8"/>
  <c r="G518" i="8"/>
  <c r="Q538" i="8"/>
  <c r="H538" i="8"/>
  <c r="Q588" i="8"/>
  <c r="H434" i="8"/>
  <c r="H442" i="8"/>
  <c r="H458" i="8"/>
  <c r="Q465" i="8"/>
  <c r="H465" i="8"/>
  <c r="Q466" i="8"/>
  <c r="H469" i="8"/>
  <c r="Q469" i="8"/>
  <c r="G472" i="8"/>
  <c r="G477" i="8"/>
  <c r="G481" i="8"/>
  <c r="G484" i="8"/>
  <c r="Q489" i="8"/>
  <c r="G504" i="8"/>
  <c r="Q506" i="8"/>
  <c r="Q530" i="8"/>
  <c r="H429" i="8"/>
  <c r="H437" i="8"/>
  <c r="H445" i="8"/>
  <c r="H453" i="8"/>
  <c r="H494" i="8"/>
  <c r="Q494" i="8"/>
  <c r="G498" i="8"/>
  <c r="G501" i="8"/>
  <c r="Q564" i="8"/>
  <c r="G568" i="8"/>
  <c r="Q580" i="8"/>
  <c r="Q474" i="8"/>
  <c r="G476" i="8"/>
  <c r="H478" i="8"/>
  <c r="Q478" i="8"/>
  <c r="G480" i="8"/>
  <c r="Q482" i="8"/>
  <c r="H485" i="8"/>
  <c r="Q485" i="8"/>
  <c r="G489" i="8"/>
  <c r="Q497" i="8"/>
  <c r="H516" i="8"/>
  <c r="G522" i="8"/>
  <c r="G527" i="8"/>
  <c r="H427" i="8"/>
  <c r="H435" i="8"/>
  <c r="H443" i="8"/>
  <c r="H451" i="8"/>
  <c r="H459" i="8"/>
  <c r="Q461" i="8"/>
  <c r="H462" i="8"/>
  <c r="G469" i="8"/>
  <c r="H502" i="8"/>
  <c r="Q502" i="8"/>
  <c r="G464" i="8"/>
  <c r="G465" i="8"/>
  <c r="G468" i="8"/>
  <c r="Q473" i="8"/>
  <c r="H473" i="8"/>
  <c r="G488" i="8"/>
  <c r="Q490" i="8"/>
  <c r="H493" i="8"/>
  <c r="Q493" i="8"/>
  <c r="G500" i="8"/>
  <c r="G519" i="8"/>
  <c r="G539" i="8"/>
  <c r="H481" i="8"/>
  <c r="H489" i="8"/>
  <c r="H497" i="8"/>
  <c r="Q504" i="8"/>
  <c r="H506" i="8"/>
  <c r="G511" i="8"/>
  <c r="G534" i="8"/>
  <c r="H582" i="8"/>
  <c r="Q542" i="8"/>
  <c r="H558" i="8"/>
  <c r="H566" i="8"/>
  <c r="H574" i="8"/>
  <c r="H590" i="8"/>
  <c r="Q590" i="8"/>
  <c r="G593" i="8"/>
  <c r="G608" i="8"/>
  <c r="Q519" i="8"/>
  <c r="H519" i="8"/>
  <c r="Q520" i="8"/>
  <c r="H524" i="8"/>
  <c r="Q527" i="8"/>
  <c r="H527" i="8"/>
  <c r="G531" i="8"/>
  <c r="G533" i="8"/>
  <c r="Q547" i="8"/>
  <c r="H550" i="8"/>
  <c r="H474" i="8"/>
  <c r="H482" i="8"/>
  <c r="H490" i="8"/>
  <c r="H498" i="8"/>
  <c r="H507" i="8"/>
  <c r="G514" i="8"/>
  <c r="H523" i="8"/>
  <c r="Q523" i="8"/>
  <c r="H532" i="8"/>
  <c r="G542" i="8"/>
  <c r="Q581" i="8"/>
  <c r="Q582" i="8"/>
  <c r="Q589" i="8"/>
  <c r="Q511" i="8"/>
  <c r="Q535" i="8"/>
  <c r="Q540" i="8"/>
  <c r="H542" i="8"/>
  <c r="Q549" i="8"/>
  <c r="G555" i="8"/>
  <c r="Q557" i="8"/>
  <c r="Q558" i="8"/>
  <c r="G563" i="8"/>
  <c r="Q565" i="8"/>
  <c r="Q566" i="8"/>
  <c r="G571" i="8"/>
  <c r="Q573" i="8"/>
  <c r="Q574" i="8"/>
  <c r="G579" i="8"/>
  <c r="G587" i="8"/>
  <c r="G592" i="8"/>
  <c r="Q507" i="8"/>
  <c r="Q512" i="8"/>
  <c r="H559" i="8"/>
  <c r="Q559" i="8"/>
  <c r="G562" i="8"/>
  <c r="H567" i="8"/>
  <c r="Q567" i="8"/>
  <c r="Q532" i="8"/>
  <c r="Q548" i="8"/>
  <c r="H548" i="8"/>
  <c r="H551" i="8"/>
  <c r="Q551" i="8"/>
  <c r="G554" i="8"/>
  <c r="B588" i="8"/>
  <c r="G506" i="8"/>
  <c r="H520" i="8"/>
  <c r="H522" i="8"/>
  <c r="H528" i="8"/>
  <c r="H531" i="8"/>
  <c r="Q531" i="8"/>
  <c r="G535" i="8"/>
  <c r="Q539" i="8"/>
  <c r="G546" i="8"/>
  <c r="H598" i="8"/>
  <c r="H606" i="8"/>
  <c r="Q555" i="8"/>
  <c r="Q563" i="8"/>
  <c r="Q579" i="8"/>
  <c r="Q597" i="8"/>
  <c r="Q605" i="8"/>
  <c r="Q546" i="8"/>
  <c r="G548" i="8"/>
  <c r="G550" i="8"/>
  <c r="G558" i="8"/>
  <c r="G574" i="8"/>
  <c r="G582" i="8"/>
  <c r="Q595" i="8"/>
  <c r="H543" i="8"/>
  <c r="Q543" i="8"/>
  <c r="Q554" i="8"/>
  <c r="G556" i="8"/>
  <c r="Q562" i="8"/>
  <c r="G564" i="8"/>
  <c r="Q570" i="8"/>
  <c r="G572" i="8"/>
  <c r="Q578" i="8"/>
  <c r="G580" i="8"/>
  <c r="Q586" i="8"/>
  <c r="B586" i="8"/>
  <c r="G588" i="8"/>
  <c r="G590" i="8"/>
  <c r="G598" i="8"/>
  <c r="G606" i="8"/>
  <c r="Q594" i="8"/>
  <c r="G596" i="8"/>
  <c r="Q602" i="8"/>
  <c r="H575" i="8"/>
  <c r="Q575" i="8"/>
  <c r="G578" i="8"/>
  <c r="H583" i="8"/>
  <c r="Q583" i="8"/>
  <c r="G586" i="8"/>
  <c r="Q598" i="8"/>
  <c r="Q606" i="8"/>
  <c r="G538" i="8"/>
  <c r="G540" i="8"/>
  <c r="H554" i="8"/>
  <c r="H591" i="8"/>
  <c r="Q591" i="8"/>
  <c r="G594" i="8"/>
  <c r="H599" i="8"/>
  <c r="Q599" i="8"/>
  <c r="G602" i="8"/>
  <c r="H607" i="8"/>
  <c r="Q607" i="8"/>
  <c r="H539" i="8"/>
  <c r="H547" i="8"/>
  <c r="H555" i="8"/>
  <c r="H563" i="8"/>
  <c r="H579" i="8"/>
  <c r="H595" i="8"/>
  <c r="M24" i="5" l="1"/>
  <c r="M64" i="5"/>
  <c r="C78" i="5"/>
  <c r="D77" i="5"/>
  <c r="M54" i="5"/>
  <c r="M52" i="5"/>
  <c r="S115" i="9"/>
  <c r="S107" i="9"/>
  <c r="S99" i="9"/>
  <c r="S91" i="9"/>
  <c r="S83" i="9"/>
  <c r="S75" i="9"/>
  <c r="S67" i="9"/>
  <c r="S59" i="9"/>
  <c r="S51" i="9"/>
  <c r="S43" i="9"/>
  <c r="S35" i="9"/>
  <c r="S27" i="9"/>
  <c r="S110" i="9"/>
  <c r="S102" i="9"/>
  <c r="S94" i="9"/>
  <c r="S86" i="9"/>
  <c r="S78" i="9"/>
  <c r="S70" i="9"/>
  <c r="S62" i="9"/>
  <c r="S54" i="9"/>
  <c r="S46" i="9"/>
  <c r="S38" i="9"/>
  <c r="S30" i="9"/>
  <c r="S22" i="9"/>
  <c r="S113" i="9"/>
  <c r="S105" i="9"/>
  <c r="S97" i="9"/>
  <c r="S89" i="9"/>
  <c r="S81" i="9"/>
  <c r="S73" i="9"/>
  <c r="S65" i="9"/>
  <c r="S57" i="9"/>
  <c r="S49" i="9"/>
  <c r="S41" i="9"/>
  <c r="S33" i="9"/>
  <c r="S25" i="9"/>
  <c r="S17" i="9"/>
  <c r="S116" i="9"/>
  <c r="S108" i="9"/>
  <c r="S100" i="9"/>
  <c r="S92" i="9"/>
  <c r="S84" i="9"/>
  <c r="S76" i="9"/>
  <c r="S68" i="9"/>
  <c r="S60" i="9"/>
  <c r="S52" i="9"/>
  <c r="S44" i="9"/>
  <c r="S36" i="9"/>
  <c r="S28" i="9"/>
  <c r="S20" i="9"/>
  <c r="S111" i="9"/>
  <c r="S103" i="9"/>
  <c r="S95" i="9"/>
  <c r="S87" i="9"/>
  <c r="S79" i="9"/>
  <c r="S71" i="9"/>
  <c r="S63" i="9"/>
  <c r="S55" i="9"/>
  <c r="S47" i="9"/>
  <c r="S39" i="9"/>
  <c r="S31" i="9"/>
  <c r="S114" i="9"/>
  <c r="S106" i="9"/>
  <c r="S98" i="9"/>
  <c r="S90" i="9"/>
  <c r="S82" i="9"/>
  <c r="S74" i="9"/>
  <c r="S66" i="9"/>
  <c r="S58" i="9"/>
  <c r="S50" i="9"/>
  <c r="S42" i="9"/>
  <c r="S34" i="9"/>
  <c r="S26" i="9"/>
  <c r="S18" i="9"/>
  <c r="S109" i="9"/>
  <c r="S101" i="9"/>
  <c r="S93" i="9"/>
  <c r="S85" i="9"/>
  <c r="S77" i="9"/>
  <c r="S69" i="9"/>
  <c r="S61" i="9"/>
  <c r="S53" i="9"/>
  <c r="S45" i="9"/>
  <c r="S37" i="9"/>
  <c r="S29" i="9"/>
  <c r="S21" i="9"/>
  <c r="S112" i="9"/>
  <c r="S104" i="9"/>
  <c r="S96" i="9"/>
  <c r="S88" i="9"/>
  <c r="S80" i="9"/>
  <c r="S72" i="9"/>
  <c r="S64" i="9"/>
  <c r="S56" i="9"/>
  <c r="S48" i="9"/>
  <c r="S40" i="9"/>
  <c r="S32" i="9"/>
  <c r="S24" i="9"/>
  <c r="S23" i="9"/>
  <c r="S19" i="9"/>
  <c r="M56" i="5"/>
  <c r="T32" i="8"/>
  <c r="U44" i="5"/>
  <c r="T19" i="8"/>
  <c r="O17" i="5"/>
  <c r="P17" i="5" s="1"/>
  <c r="Q17" i="5" s="1"/>
  <c r="R17" i="5" s="1"/>
  <c r="J77" i="2"/>
  <c r="H82" i="2"/>
  <c r="J82" i="2" s="1"/>
  <c r="H258" i="2"/>
  <c r="H264" i="2" s="1"/>
  <c r="M20" i="5"/>
  <c r="B8" i="6"/>
  <c r="C7" i="6"/>
  <c r="DW136" i="7" s="1"/>
  <c r="DW22" i="7"/>
  <c r="F12" i="10"/>
  <c r="F11" i="10"/>
  <c r="P3" i="9"/>
  <c r="M22" i="5"/>
  <c r="E412" i="8"/>
  <c r="G412" i="8" s="1"/>
  <c r="E349" i="8"/>
  <c r="G349" i="8" s="1"/>
  <c r="E292" i="8"/>
  <c r="G292" i="8" s="1"/>
  <c r="E224" i="8"/>
  <c r="G224" i="8" s="1"/>
  <c r="H88" i="7"/>
  <c r="DV88" i="7" s="1"/>
  <c r="W31" i="5"/>
  <c r="V31" i="5"/>
  <c r="Z21" i="5"/>
  <c r="M45" i="5"/>
  <c r="DW33" i="7"/>
  <c r="DW30" i="7"/>
  <c r="M30" i="5"/>
  <c r="E420" i="8"/>
  <c r="G420" i="8" s="1"/>
  <c r="E492" i="8"/>
  <c r="G492" i="8" s="1"/>
  <c r="E451" i="8"/>
  <c r="G451" i="8" s="1"/>
  <c r="E362" i="8"/>
  <c r="G362" i="8" s="1"/>
  <c r="H102" i="7"/>
  <c r="DV102" i="7" s="1"/>
  <c r="M47" i="5" s="1"/>
  <c r="R15" i="5"/>
  <c r="M26" i="5"/>
  <c r="DW32" i="7"/>
  <c r="R11" i="4"/>
  <c r="Q38" i="4"/>
  <c r="E584" i="8"/>
  <c r="G584" i="8" s="1"/>
  <c r="E544" i="8"/>
  <c r="G544" i="8" s="1"/>
  <c r="E507" i="8"/>
  <c r="G507" i="8" s="1"/>
  <c r="E466" i="8"/>
  <c r="G466" i="8" s="1"/>
  <c r="H130" i="7"/>
  <c r="T28" i="8"/>
  <c r="Y35" i="5"/>
  <c r="Z35" i="5" s="1"/>
  <c r="DW125" i="7"/>
  <c r="DW123" i="7"/>
  <c r="DW115" i="7"/>
  <c r="DW41" i="7"/>
  <c r="DW61" i="7"/>
  <c r="DW50" i="7"/>
  <c r="DW46" i="7"/>
  <c r="DW42" i="7"/>
  <c r="DW103" i="7"/>
  <c r="DW31" i="7"/>
  <c r="DW24" i="7"/>
  <c r="DV11" i="7"/>
  <c r="M16" i="5" s="1"/>
  <c r="DV69" i="7"/>
  <c r="DV70" i="7"/>
  <c r="DV93" i="7"/>
  <c r="DV64" i="7"/>
  <c r="DV133" i="7"/>
  <c r="DV128" i="7"/>
  <c r="M58" i="5" s="1"/>
  <c r="DV130" i="7"/>
  <c r="M60" i="5" s="1"/>
  <c r="DV114" i="7"/>
  <c r="H205" i="2"/>
  <c r="H263" i="2" s="1"/>
  <c r="DW19" i="7"/>
  <c r="DW15" i="7"/>
  <c r="DW11" i="7"/>
  <c r="DW7" i="7"/>
  <c r="M36" i="5"/>
  <c r="M62" i="5"/>
  <c r="E491" i="8"/>
  <c r="G491" i="8" s="1"/>
  <c r="E450" i="8"/>
  <c r="G450" i="8" s="1"/>
  <c r="E411" i="8"/>
  <c r="G411" i="8" s="1"/>
  <c r="H85" i="7"/>
  <c r="DV85" i="7" s="1"/>
  <c r="M40" i="5" s="1"/>
  <c r="E600" i="8"/>
  <c r="G600" i="8" s="1"/>
  <c r="E605" i="8"/>
  <c r="G605" i="8" s="1"/>
  <c r="E566" i="8"/>
  <c r="G566" i="8" s="1"/>
  <c r="E479" i="8"/>
  <c r="G479" i="8" s="1"/>
  <c r="E526" i="8"/>
  <c r="G526" i="8" s="1"/>
  <c r="E438" i="8"/>
  <c r="G438" i="8" s="1"/>
  <c r="E387" i="8"/>
  <c r="G387" i="8" s="1"/>
  <c r="E323" i="8"/>
  <c r="G323" i="8" s="1"/>
  <c r="E265" i="8"/>
  <c r="G265" i="8" s="1"/>
  <c r="E139" i="8"/>
  <c r="G139" i="8" s="1"/>
  <c r="E83" i="8"/>
  <c r="G83" i="8" s="1"/>
  <c r="E197" i="8"/>
  <c r="G197" i="8" s="1"/>
  <c r="E42" i="8"/>
  <c r="G42" i="8" s="1"/>
  <c r="E22" i="8"/>
  <c r="G22" i="8" s="1"/>
  <c r="E55" i="8"/>
  <c r="G55" i="8" s="1"/>
  <c r="E32" i="8"/>
  <c r="G32" i="8" s="1"/>
  <c r="H51" i="7"/>
  <c r="DV51" i="7" s="1"/>
  <c r="E28" i="8"/>
  <c r="G28" i="8" s="1"/>
  <c r="E38" i="8"/>
  <c r="G38" i="8" s="1"/>
  <c r="E48" i="8"/>
  <c r="G48" i="8" s="1"/>
  <c r="E18" i="8"/>
  <c r="G18" i="8" s="1"/>
  <c r="H6" i="7"/>
  <c r="DV6" i="7" s="1"/>
  <c r="H205" i="3"/>
  <c r="H263" i="3" s="1"/>
  <c r="J258" i="2"/>
  <c r="T29" i="8"/>
  <c r="W37" i="5"/>
  <c r="X37" i="5" s="1"/>
  <c r="E576" i="8"/>
  <c r="G576" i="8" s="1"/>
  <c r="E536" i="8"/>
  <c r="G536" i="8" s="1"/>
  <c r="E497" i="8"/>
  <c r="G497" i="8" s="1"/>
  <c r="E456" i="8"/>
  <c r="G456" i="8" s="1"/>
  <c r="E425" i="8"/>
  <c r="G425" i="8" s="1"/>
  <c r="E367" i="8"/>
  <c r="G367" i="8" s="1"/>
  <c r="H107" i="7"/>
  <c r="DV107" i="7" s="1"/>
  <c r="M49" i="5" s="1"/>
  <c r="X17" i="4"/>
  <c r="W38" i="4"/>
  <c r="N13" i="5"/>
  <c r="DW37" i="7"/>
  <c r="DW36" i="7"/>
  <c r="O39" i="4"/>
  <c r="P39" i="4" s="1"/>
  <c r="Q39" i="4" s="1"/>
  <c r="E343" i="8"/>
  <c r="G343" i="8" s="1"/>
  <c r="E285" i="8"/>
  <c r="G285" i="8" s="1"/>
  <c r="E217" i="8"/>
  <c r="G217" i="8" s="1"/>
  <c r="E159" i="8"/>
  <c r="G159" i="8" s="1"/>
  <c r="E105" i="8"/>
  <c r="G105" i="8" s="1"/>
  <c r="E73" i="8"/>
  <c r="G73" i="8" s="1"/>
  <c r="H74" i="7"/>
  <c r="DV74" i="7" s="1"/>
  <c r="M34" i="5" s="1"/>
  <c r="F55" i="7"/>
  <c r="H81" i="3"/>
  <c r="O38" i="4"/>
  <c r="E249" i="8"/>
  <c r="G249" i="8" s="1"/>
  <c r="E181" i="8"/>
  <c r="G181" i="8" s="1"/>
  <c r="E124" i="8"/>
  <c r="G124" i="8" s="1"/>
  <c r="H23" i="7"/>
  <c r="DV23" i="7" s="1"/>
  <c r="M18" i="5" s="1"/>
  <c r="H159" i="2"/>
  <c r="H262" i="2" s="1"/>
  <c r="D78" i="5" l="1"/>
  <c r="C79" i="5"/>
  <c r="H265" i="2"/>
  <c r="M32" i="5"/>
  <c r="DW39" i="7"/>
  <c r="DW28" i="7"/>
  <c r="DW26" i="7"/>
  <c r="DW102" i="7"/>
  <c r="DW79" i="7"/>
  <c r="DW53" i="7"/>
  <c r="DW128" i="7"/>
  <c r="DW118" i="7"/>
  <c r="B35" i="8"/>
  <c r="D64" i="9"/>
  <c r="N64" i="9"/>
  <c r="C64" i="9"/>
  <c r="B64" i="9"/>
  <c r="A64" i="9"/>
  <c r="H64" i="9"/>
  <c r="G64" i="9"/>
  <c r="F64" i="9"/>
  <c r="E64" i="9"/>
  <c r="C29" i="9"/>
  <c r="N29" i="9"/>
  <c r="A29" i="9"/>
  <c r="M29" i="9" a="1"/>
  <c r="M29" i="9" s="1"/>
  <c r="H29" i="9"/>
  <c r="G29" i="9"/>
  <c r="L29" i="9" a="1"/>
  <c r="L29" i="9" s="1"/>
  <c r="F29" i="9"/>
  <c r="E29" i="9"/>
  <c r="P29" i="9" a="1"/>
  <c r="P29" i="9" s="1"/>
  <c r="K29" i="9" a="1"/>
  <c r="K29" i="9" s="1"/>
  <c r="D29" i="9"/>
  <c r="N93" i="9"/>
  <c r="C93" i="9"/>
  <c r="J93" i="9"/>
  <c r="B93" i="9"/>
  <c r="I93" i="9"/>
  <c r="A93" i="9"/>
  <c r="H93" i="9"/>
  <c r="G93" i="9"/>
  <c r="F93" i="9"/>
  <c r="E93" i="9"/>
  <c r="O93" i="9"/>
  <c r="D93" i="9"/>
  <c r="A58" i="9"/>
  <c r="H58" i="9"/>
  <c r="G58" i="9"/>
  <c r="F58" i="9"/>
  <c r="E58" i="9"/>
  <c r="D58" i="9"/>
  <c r="N58" i="9"/>
  <c r="C58" i="9"/>
  <c r="N31" i="9"/>
  <c r="A31" i="9"/>
  <c r="M31" i="9" a="1"/>
  <c r="M31" i="9" s="1"/>
  <c r="H31" i="9"/>
  <c r="G31" i="9"/>
  <c r="L31" i="9" a="1"/>
  <c r="L31" i="9" s="1"/>
  <c r="F31" i="9"/>
  <c r="E31" i="9"/>
  <c r="P31" i="9" a="1"/>
  <c r="P31" i="9" s="1"/>
  <c r="K31" i="9" a="1"/>
  <c r="K31" i="9" s="1"/>
  <c r="D31" i="9"/>
  <c r="C31" i="9"/>
  <c r="I95" i="9"/>
  <c r="A95" i="9"/>
  <c r="H95" i="9"/>
  <c r="G95" i="9"/>
  <c r="F95" i="9"/>
  <c r="E95" i="9"/>
  <c r="O95" i="9"/>
  <c r="D95" i="9"/>
  <c r="N95" i="9"/>
  <c r="C95" i="9"/>
  <c r="J95" i="9"/>
  <c r="B95" i="9"/>
  <c r="H60" i="9"/>
  <c r="G60" i="9"/>
  <c r="F60" i="9"/>
  <c r="E60" i="9"/>
  <c r="D60" i="9"/>
  <c r="N60" i="9"/>
  <c r="C60" i="9"/>
  <c r="B60" i="9"/>
  <c r="A60" i="9"/>
  <c r="L17" i="9" a="1"/>
  <c r="L17" i="9" s="1"/>
  <c r="F17" i="9"/>
  <c r="E17" i="9"/>
  <c r="P17" i="9" a="1"/>
  <c r="P17" i="9" s="1"/>
  <c r="K17" i="9" a="1"/>
  <c r="K17" i="9" s="1"/>
  <c r="D17" i="9"/>
  <c r="N17" i="9"/>
  <c r="A17" i="9"/>
  <c r="M17" i="9" a="1"/>
  <c r="M17" i="9" s="1"/>
  <c r="H17" i="9"/>
  <c r="C11" i="9"/>
  <c r="G17" i="9"/>
  <c r="C17" i="9"/>
  <c r="G81" i="9"/>
  <c r="F81" i="9"/>
  <c r="E81" i="9"/>
  <c r="D81" i="9"/>
  <c r="N81" i="9"/>
  <c r="C81" i="9"/>
  <c r="J81" i="9"/>
  <c r="B81" i="9"/>
  <c r="I81" i="9"/>
  <c r="A81" i="9"/>
  <c r="H81" i="9"/>
  <c r="F46" i="9"/>
  <c r="E46" i="9"/>
  <c r="D46" i="9"/>
  <c r="N46" i="9"/>
  <c r="C46" i="9"/>
  <c r="A46" i="9"/>
  <c r="H46" i="9"/>
  <c r="G46" i="9"/>
  <c r="F110" i="9"/>
  <c r="E110" i="9"/>
  <c r="O110" i="9"/>
  <c r="D110" i="9"/>
  <c r="N110" i="9"/>
  <c r="C110" i="9"/>
  <c r="J110" i="9"/>
  <c r="B110" i="9"/>
  <c r="I110" i="9"/>
  <c r="A110" i="9"/>
  <c r="H110" i="9"/>
  <c r="G110" i="9"/>
  <c r="E83" i="9"/>
  <c r="D83" i="9"/>
  <c r="N83" i="9"/>
  <c r="C83" i="9"/>
  <c r="J83" i="9"/>
  <c r="B83" i="9"/>
  <c r="I83" i="9"/>
  <c r="A83" i="9"/>
  <c r="H83" i="9"/>
  <c r="G83" i="9"/>
  <c r="F83" i="9"/>
  <c r="J81" i="3"/>
  <c r="H82" i="3"/>
  <c r="J82" i="3" s="1"/>
  <c r="L27" i="5" s="1"/>
  <c r="H159" i="3"/>
  <c r="H262" i="3" s="1"/>
  <c r="H265" i="3" s="1"/>
  <c r="G97" i="5" s="1"/>
  <c r="L55" i="7"/>
  <c r="K55" i="7"/>
  <c r="M55" i="7"/>
  <c r="M42" i="5"/>
  <c r="DW35" i="7"/>
  <c r="B46" i="8"/>
  <c r="DX135" i="7"/>
  <c r="DX122" i="7"/>
  <c r="DX95" i="7"/>
  <c r="DX83" i="7"/>
  <c r="DX131" i="7"/>
  <c r="DX142" i="7"/>
  <c r="DX124" i="7"/>
  <c r="DX89" i="7"/>
  <c r="DX63" i="7"/>
  <c r="DX76" i="7"/>
  <c r="DX94" i="7"/>
  <c r="DX73" i="7"/>
  <c r="DX75" i="7"/>
  <c r="DX64" i="7"/>
  <c r="DX13" i="7"/>
  <c r="B9" i="6"/>
  <c r="C8" i="6"/>
  <c r="B38" i="8" s="1"/>
  <c r="DX11" i="7"/>
  <c r="DX18" i="7"/>
  <c r="DX14" i="7"/>
  <c r="DX48" i="7"/>
  <c r="DX103" i="7"/>
  <c r="DX97" i="7"/>
  <c r="DX41" i="7"/>
  <c r="DX53" i="7"/>
  <c r="DX101" i="7"/>
  <c r="DX29" i="7"/>
  <c r="DX88" i="7"/>
  <c r="DX40" i="7"/>
  <c r="DX104" i="7"/>
  <c r="DX141" i="7"/>
  <c r="DX99" i="7"/>
  <c r="DX38" i="7"/>
  <c r="DX106" i="7"/>
  <c r="B45" i="8"/>
  <c r="DX27" i="7"/>
  <c r="DX35" i="7"/>
  <c r="DX92" i="7"/>
  <c r="DX110" i="7"/>
  <c r="DX127" i="7"/>
  <c r="DX105" i="7"/>
  <c r="DX78" i="7"/>
  <c r="DX52" i="7"/>
  <c r="DX42" i="7"/>
  <c r="DX39" i="7"/>
  <c r="DX43" i="7"/>
  <c r="DX47" i="7"/>
  <c r="DX118" i="7"/>
  <c r="DX54" i="7"/>
  <c r="DX102" i="7"/>
  <c r="B43" i="8"/>
  <c r="DX117" i="7"/>
  <c r="DX84" i="7"/>
  <c r="B37" i="8"/>
  <c r="DW29" i="7"/>
  <c r="DW100" i="7"/>
  <c r="DW81" i="7"/>
  <c r="DW59" i="7"/>
  <c r="DW142" i="7"/>
  <c r="DW134" i="7"/>
  <c r="DW124" i="7"/>
  <c r="P19" i="9" a="1"/>
  <c r="P19" i="9" s="1"/>
  <c r="K19" i="9" a="1"/>
  <c r="K19" i="9" s="1"/>
  <c r="D19" i="9"/>
  <c r="C19" i="9"/>
  <c r="M19" i="9" a="1"/>
  <c r="M19" i="9" s="1"/>
  <c r="H19" i="9"/>
  <c r="G19" i="9"/>
  <c r="L19" i="9" a="1"/>
  <c r="L19" i="9" s="1"/>
  <c r="F19" i="9"/>
  <c r="E19" i="9"/>
  <c r="A19" i="9"/>
  <c r="N19" i="9"/>
  <c r="D72" i="9"/>
  <c r="N72" i="9"/>
  <c r="C72" i="9"/>
  <c r="B72" i="9"/>
  <c r="A72" i="9"/>
  <c r="H72" i="9"/>
  <c r="G72" i="9"/>
  <c r="F72" i="9"/>
  <c r="E72" i="9"/>
  <c r="N37" i="9"/>
  <c r="C37" i="9"/>
  <c r="A37" i="9"/>
  <c r="H37" i="9"/>
  <c r="G37" i="9"/>
  <c r="F37" i="9"/>
  <c r="E37" i="9"/>
  <c r="D37" i="9"/>
  <c r="N101" i="9"/>
  <c r="C101" i="9"/>
  <c r="J101" i="9"/>
  <c r="B101" i="9"/>
  <c r="I101" i="9"/>
  <c r="A101" i="9"/>
  <c r="H101" i="9"/>
  <c r="G101" i="9"/>
  <c r="F101" i="9"/>
  <c r="E101" i="9"/>
  <c r="O101" i="9"/>
  <c r="D101" i="9"/>
  <c r="B66" i="9"/>
  <c r="A66" i="9"/>
  <c r="H66" i="9"/>
  <c r="G66" i="9"/>
  <c r="F66" i="9"/>
  <c r="E66" i="9"/>
  <c r="D66" i="9"/>
  <c r="N66" i="9"/>
  <c r="C66" i="9"/>
  <c r="A39" i="9"/>
  <c r="H39" i="9"/>
  <c r="G39" i="9"/>
  <c r="F39" i="9"/>
  <c r="E39" i="9"/>
  <c r="D39" i="9"/>
  <c r="N39" i="9"/>
  <c r="C39" i="9"/>
  <c r="I103" i="9"/>
  <c r="A103" i="9"/>
  <c r="H103" i="9"/>
  <c r="G103" i="9"/>
  <c r="F103" i="9"/>
  <c r="E103" i="9"/>
  <c r="O103" i="9"/>
  <c r="D103" i="9"/>
  <c r="N103" i="9"/>
  <c r="C103" i="9"/>
  <c r="J103" i="9"/>
  <c r="B103" i="9"/>
  <c r="H68" i="9"/>
  <c r="G68" i="9"/>
  <c r="F68" i="9"/>
  <c r="E68" i="9"/>
  <c r="D68" i="9"/>
  <c r="N68" i="9"/>
  <c r="C68" i="9"/>
  <c r="B68" i="9"/>
  <c r="A68" i="9"/>
  <c r="L25" i="9" a="1"/>
  <c r="L25" i="9" s="1"/>
  <c r="F25" i="9"/>
  <c r="E25" i="9"/>
  <c r="P25" i="9" a="1"/>
  <c r="P25" i="9" s="1"/>
  <c r="K25" i="9" a="1"/>
  <c r="K25" i="9" s="1"/>
  <c r="D25" i="9"/>
  <c r="N25" i="9"/>
  <c r="A25" i="9"/>
  <c r="M25" i="9" a="1"/>
  <c r="M25" i="9" s="1"/>
  <c r="H25" i="9"/>
  <c r="G25" i="9"/>
  <c r="C25" i="9"/>
  <c r="G89" i="9"/>
  <c r="F89" i="9"/>
  <c r="E89" i="9"/>
  <c r="O89" i="9"/>
  <c r="D89" i="9"/>
  <c r="N89" i="9"/>
  <c r="C89" i="9"/>
  <c r="J89" i="9"/>
  <c r="B89" i="9"/>
  <c r="I89" i="9"/>
  <c r="A89" i="9"/>
  <c r="H89" i="9"/>
  <c r="F54" i="9"/>
  <c r="E54" i="9"/>
  <c r="D54" i="9"/>
  <c r="N54" i="9"/>
  <c r="C54" i="9"/>
  <c r="A54" i="9"/>
  <c r="H54" i="9"/>
  <c r="G54" i="9"/>
  <c r="P27" i="9" a="1"/>
  <c r="P27" i="9" s="1"/>
  <c r="K27" i="9" a="1"/>
  <c r="K27" i="9" s="1"/>
  <c r="D27" i="9"/>
  <c r="C27" i="9"/>
  <c r="N27" i="9"/>
  <c r="A27" i="9"/>
  <c r="M27" i="9" a="1"/>
  <c r="M27" i="9" s="1"/>
  <c r="H27" i="9"/>
  <c r="G27" i="9"/>
  <c r="L27" i="9" a="1"/>
  <c r="L27" i="9" s="1"/>
  <c r="F27" i="9"/>
  <c r="E27" i="9"/>
  <c r="E91" i="9"/>
  <c r="O91" i="9"/>
  <c r="D91" i="9"/>
  <c r="N91" i="9"/>
  <c r="C91" i="9"/>
  <c r="J91" i="9"/>
  <c r="B91" i="9"/>
  <c r="I91" i="9"/>
  <c r="A91" i="9"/>
  <c r="H91" i="9"/>
  <c r="G91" i="9"/>
  <c r="F91" i="9"/>
  <c r="S11" i="4"/>
  <c r="R38" i="4"/>
  <c r="R39" i="4" s="1"/>
  <c r="DW6" i="7"/>
  <c r="DW84" i="7"/>
  <c r="DW92" i="7"/>
  <c r="DW73" i="7"/>
  <c r="DW105" i="7"/>
  <c r="DW25" i="7"/>
  <c r="DW69" i="7"/>
  <c r="DW76" i="7"/>
  <c r="DW82" i="7"/>
  <c r="DW90" i="7"/>
  <c r="DW65" i="7"/>
  <c r="DW74" i="7"/>
  <c r="DW121" i="7"/>
  <c r="DW129" i="7"/>
  <c r="DW145" i="7"/>
  <c r="DW80" i="7"/>
  <c r="DW101" i="7"/>
  <c r="DW57" i="7"/>
  <c r="B29" i="8"/>
  <c r="DW88" i="7"/>
  <c r="DW135" i="7"/>
  <c r="DW143" i="7"/>
  <c r="DW54" i="7"/>
  <c r="DW62" i="7"/>
  <c r="DW70" i="7"/>
  <c r="DW40" i="7"/>
  <c r="DW44" i="7"/>
  <c r="DW48" i="7"/>
  <c r="DW52" i="7"/>
  <c r="DW111" i="7"/>
  <c r="DW141" i="7"/>
  <c r="DW78" i="7"/>
  <c r="DW86" i="7"/>
  <c r="DW99" i="7"/>
  <c r="B33" i="8"/>
  <c r="DW137" i="7"/>
  <c r="DW107" i="7"/>
  <c r="DW127" i="7"/>
  <c r="DW117" i="7"/>
  <c r="B31" i="8"/>
  <c r="DW139" i="7"/>
  <c r="DW131" i="7"/>
  <c r="B34" i="8"/>
  <c r="DW119" i="7"/>
  <c r="DW109" i="7"/>
  <c r="DW58" i="7"/>
  <c r="DW66" i="7"/>
  <c r="DW113" i="7"/>
  <c r="DW147" i="7"/>
  <c r="DW133" i="7"/>
  <c r="DW5" i="7"/>
  <c r="DW56" i="7"/>
  <c r="DW77" i="7"/>
  <c r="DW83" i="7"/>
  <c r="DW63" i="7"/>
  <c r="DW126" i="7"/>
  <c r="B32" i="8"/>
  <c r="DW132" i="7"/>
  <c r="DW140" i="7"/>
  <c r="M23" i="9" a="1"/>
  <c r="M23" i="9" s="1"/>
  <c r="H23" i="9"/>
  <c r="G23" i="9"/>
  <c r="L23" i="9" a="1"/>
  <c r="L23" i="9" s="1"/>
  <c r="F23" i="9"/>
  <c r="P23" i="9" a="1"/>
  <c r="P23" i="9" s="1"/>
  <c r="K23" i="9" a="1"/>
  <c r="K23" i="9" s="1"/>
  <c r="D23" i="9"/>
  <c r="C23" i="9"/>
  <c r="N23" i="9"/>
  <c r="E23" i="9"/>
  <c r="A23" i="9"/>
  <c r="D80" i="9"/>
  <c r="N80" i="9"/>
  <c r="C80" i="9"/>
  <c r="J80" i="9"/>
  <c r="B80" i="9"/>
  <c r="I80" i="9"/>
  <c r="A80" i="9"/>
  <c r="H80" i="9"/>
  <c r="G80" i="9"/>
  <c r="F80" i="9"/>
  <c r="E80" i="9"/>
  <c r="N45" i="9"/>
  <c r="C45" i="9"/>
  <c r="A45" i="9"/>
  <c r="H45" i="9"/>
  <c r="G45" i="9"/>
  <c r="F45" i="9"/>
  <c r="E45" i="9"/>
  <c r="D45" i="9"/>
  <c r="N109" i="9"/>
  <c r="C109" i="9"/>
  <c r="J109" i="9"/>
  <c r="B109" i="9"/>
  <c r="I109" i="9"/>
  <c r="A109" i="9"/>
  <c r="H109" i="9"/>
  <c r="G109" i="9"/>
  <c r="F109" i="9"/>
  <c r="E109" i="9"/>
  <c r="O109" i="9"/>
  <c r="D109" i="9"/>
  <c r="B74" i="9"/>
  <c r="A74" i="9"/>
  <c r="H74" i="9"/>
  <c r="G74" i="9"/>
  <c r="F74" i="9"/>
  <c r="E74" i="9"/>
  <c r="D74" i="9"/>
  <c r="N74" i="9"/>
  <c r="C74" i="9"/>
  <c r="A47" i="9"/>
  <c r="H47" i="9"/>
  <c r="G47" i="9"/>
  <c r="F47" i="9"/>
  <c r="E47" i="9"/>
  <c r="D47" i="9"/>
  <c r="N47" i="9"/>
  <c r="C47" i="9"/>
  <c r="I111" i="9"/>
  <c r="A111" i="9"/>
  <c r="H111" i="9"/>
  <c r="G111" i="9"/>
  <c r="F111" i="9"/>
  <c r="E111" i="9"/>
  <c r="O111" i="9"/>
  <c r="D111" i="9"/>
  <c r="N111" i="9"/>
  <c r="C111" i="9"/>
  <c r="J111" i="9"/>
  <c r="B111" i="9"/>
  <c r="H76" i="9"/>
  <c r="G76" i="9"/>
  <c r="F76" i="9"/>
  <c r="E76" i="9"/>
  <c r="D76" i="9"/>
  <c r="N76" i="9"/>
  <c r="C76" i="9"/>
  <c r="B76" i="9"/>
  <c r="A76" i="9"/>
  <c r="G33" i="9"/>
  <c r="F33" i="9"/>
  <c r="E33" i="9"/>
  <c r="D33" i="9"/>
  <c r="N33" i="9"/>
  <c r="C33" i="9"/>
  <c r="A33" i="9"/>
  <c r="H33" i="9"/>
  <c r="G97" i="9"/>
  <c r="F97" i="9"/>
  <c r="E97" i="9"/>
  <c r="O97" i="9"/>
  <c r="D97" i="9"/>
  <c r="N97" i="9"/>
  <c r="C97" i="9"/>
  <c r="J97" i="9"/>
  <c r="B97" i="9"/>
  <c r="I97" i="9"/>
  <c r="A97" i="9"/>
  <c r="H97" i="9"/>
  <c r="F62" i="9"/>
  <c r="E62" i="9"/>
  <c r="D62" i="9"/>
  <c r="N62" i="9"/>
  <c r="C62" i="9"/>
  <c r="B62" i="9"/>
  <c r="A62" i="9"/>
  <c r="H62" i="9"/>
  <c r="G62" i="9"/>
  <c r="E35" i="9"/>
  <c r="D35" i="9"/>
  <c r="N35" i="9"/>
  <c r="C35" i="9"/>
  <c r="A35" i="9"/>
  <c r="H35" i="9"/>
  <c r="G35" i="9"/>
  <c r="F35" i="9"/>
  <c r="E99" i="9"/>
  <c r="O99" i="9"/>
  <c r="D99" i="9"/>
  <c r="N99" i="9"/>
  <c r="C99" i="9"/>
  <c r="J99" i="9"/>
  <c r="B99" i="9"/>
  <c r="I99" i="9"/>
  <c r="A99" i="9"/>
  <c r="H99" i="9"/>
  <c r="G99" i="9"/>
  <c r="F99" i="9"/>
  <c r="DW94" i="7"/>
  <c r="DW10" i="7"/>
  <c r="DW4" i="7"/>
  <c r="DW9" i="7"/>
  <c r="DW60" i="7"/>
  <c r="DW95" i="7"/>
  <c r="DW85" i="7"/>
  <c r="DW67" i="7"/>
  <c r="DW104" i="7"/>
  <c r="DW122" i="7"/>
  <c r="DW146" i="7"/>
  <c r="DW144" i="7"/>
  <c r="C24" i="9"/>
  <c r="N24" i="9"/>
  <c r="A24" i="9"/>
  <c r="G24" i="9"/>
  <c r="L24" i="9" a="1"/>
  <c r="L24" i="9" s="1"/>
  <c r="F24" i="9"/>
  <c r="E24" i="9"/>
  <c r="D24" i="9"/>
  <c r="P24" i="9" a="1"/>
  <c r="P24" i="9" s="1"/>
  <c r="M24" i="9" a="1"/>
  <c r="M24" i="9" s="1"/>
  <c r="K24" i="9" a="1"/>
  <c r="K24" i="9" s="1"/>
  <c r="H24" i="9"/>
  <c r="O88" i="9"/>
  <c r="D88" i="9"/>
  <c r="N88" i="9"/>
  <c r="C88" i="9"/>
  <c r="J88" i="9"/>
  <c r="B88" i="9"/>
  <c r="I88" i="9"/>
  <c r="A88" i="9"/>
  <c r="H88" i="9"/>
  <c r="G88" i="9"/>
  <c r="F88" i="9"/>
  <c r="E88" i="9"/>
  <c r="N53" i="9"/>
  <c r="C53" i="9"/>
  <c r="A53" i="9"/>
  <c r="H53" i="9"/>
  <c r="G53" i="9"/>
  <c r="F53" i="9"/>
  <c r="E53" i="9"/>
  <c r="D53" i="9"/>
  <c r="N18" i="9"/>
  <c r="A18" i="9"/>
  <c r="M18" i="9" a="1"/>
  <c r="M18" i="9" s="1"/>
  <c r="H18" i="9"/>
  <c r="G18" i="9"/>
  <c r="E18" i="9"/>
  <c r="P18" i="9" a="1"/>
  <c r="P18" i="9" s="1"/>
  <c r="K18" i="9" a="1"/>
  <c r="K18" i="9" s="1"/>
  <c r="D18" i="9"/>
  <c r="C18" i="9"/>
  <c r="L18" i="9" a="1"/>
  <c r="L18" i="9" s="1"/>
  <c r="F18" i="9"/>
  <c r="J82" i="9"/>
  <c r="B82" i="9"/>
  <c r="I82" i="9"/>
  <c r="A82" i="9"/>
  <c r="H82" i="9"/>
  <c r="G82" i="9"/>
  <c r="F82" i="9"/>
  <c r="E82" i="9"/>
  <c r="D82" i="9"/>
  <c r="N82" i="9"/>
  <c r="C82" i="9"/>
  <c r="A55" i="9"/>
  <c r="H55" i="9"/>
  <c r="G55" i="9"/>
  <c r="F55" i="9"/>
  <c r="E55" i="9"/>
  <c r="D55" i="9"/>
  <c r="N55" i="9"/>
  <c r="C55" i="9"/>
  <c r="G20" i="9"/>
  <c r="L20" i="9" a="1"/>
  <c r="L20" i="9" s="1"/>
  <c r="F20" i="9"/>
  <c r="E20" i="9"/>
  <c r="C20" i="9"/>
  <c r="N20" i="9"/>
  <c r="A20" i="9"/>
  <c r="P20" i="9" a="1"/>
  <c r="P20" i="9" s="1"/>
  <c r="M20" i="9" a="1"/>
  <c r="M20" i="9" s="1"/>
  <c r="K20" i="9" a="1"/>
  <c r="K20" i="9" s="1"/>
  <c r="H20" i="9"/>
  <c r="D20" i="9"/>
  <c r="H84" i="9"/>
  <c r="G84" i="9"/>
  <c r="F84" i="9"/>
  <c r="E84" i="9"/>
  <c r="D84" i="9"/>
  <c r="N84" i="9"/>
  <c r="C84" i="9"/>
  <c r="J84" i="9"/>
  <c r="B84" i="9"/>
  <c r="I84" i="9"/>
  <c r="A84" i="9"/>
  <c r="G41" i="9"/>
  <c r="F41" i="9"/>
  <c r="E41" i="9"/>
  <c r="D41" i="9"/>
  <c r="N41" i="9"/>
  <c r="C41" i="9"/>
  <c r="A41" i="9"/>
  <c r="H41" i="9"/>
  <c r="G105" i="9"/>
  <c r="F105" i="9"/>
  <c r="E105" i="9"/>
  <c r="O105" i="9"/>
  <c r="D105" i="9"/>
  <c r="N105" i="9"/>
  <c r="C105" i="9"/>
  <c r="J105" i="9"/>
  <c r="B105" i="9"/>
  <c r="I105" i="9"/>
  <c r="A105" i="9"/>
  <c r="H105" i="9"/>
  <c r="F70" i="9"/>
  <c r="E70" i="9"/>
  <c r="D70" i="9"/>
  <c r="N70" i="9"/>
  <c r="C70" i="9"/>
  <c r="B70" i="9"/>
  <c r="A70" i="9"/>
  <c r="H70" i="9"/>
  <c r="G70" i="9"/>
  <c r="E43" i="9"/>
  <c r="D43" i="9"/>
  <c r="N43" i="9"/>
  <c r="C43" i="9"/>
  <c r="A43" i="9"/>
  <c r="H43" i="9"/>
  <c r="G43" i="9"/>
  <c r="F43" i="9"/>
  <c r="E107" i="9"/>
  <c r="O107" i="9"/>
  <c r="D107" i="9"/>
  <c r="N107" i="9"/>
  <c r="C107" i="9"/>
  <c r="J107" i="9"/>
  <c r="B107" i="9"/>
  <c r="I107" i="9"/>
  <c r="A107" i="9"/>
  <c r="H107" i="9"/>
  <c r="G107" i="9"/>
  <c r="F107" i="9"/>
  <c r="O13" i="5"/>
  <c r="DW97" i="7"/>
  <c r="DW34" i="7"/>
  <c r="N20" i="5" s="1"/>
  <c r="DW14" i="7"/>
  <c r="DW8" i="7"/>
  <c r="DW13" i="7"/>
  <c r="DW64" i="7"/>
  <c r="DW98" i="7"/>
  <c r="DW87" i="7"/>
  <c r="DW71" i="7"/>
  <c r="DW108" i="7"/>
  <c r="DW130" i="7"/>
  <c r="B30" i="8"/>
  <c r="DW148" i="7"/>
  <c r="P32" i="9" a="1"/>
  <c r="P32" i="9" s="1"/>
  <c r="K32" i="9" a="1"/>
  <c r="K32" i="9" s="1"/>
  <c r="D32" i="9"/>
  <c r="C32" i="9"/>
  <c r="N32" i="9"/>
  <c r="A32" i="9"/>
  <c r="M32" i="9" a="1"/>
  <c r="M32" i="9" s="1"/>
  <c r="H32" i="9"/>
  <c r="G32" i="9"/>
  <c r="L32" i="9" a="1"/>
  <c r="L32" i="9" s="1"/>
  <c r="F32" i="9"/>
  <c r="E32" i="9"/>
  <c r="O96" i="9"/>
  <c r="D96" i="9"/>
  <c r="N96" i="9"/>
  <c r="C96" i="9"/>
  <c r="J96" i="9"/>
  <c r="B96" i="9"/>
  <c r="I96" i="9"/>
  <c r="A96" i="9"/>
  <c r="H96" i="9"/>
  <c r="G96" i="9"/>
  <c r="F96" i="9"/>
  <c r="E96" i="9"/>
  <c r="N61" i="9"/>
  <c r="C61" i="9"/>
  <c r="B61" i="9"/>
  <c r="A61" i="9"/>
  <c r="H61" i="9"/>
  <c r="G61" i="9"/>
  <c r="F61" i="9"/>
  <c r="E61" i="9"/>
  <c r="D61" i="9"/>
  <c r="N26" i="9"/>
  <c r="A26" i="9"/>
  <c r="M26" i="9" a="1"/>
  <c r="M26" i="9" s="1"/>
  <c r="H26" i="9"/>
  <c r="P26" i="9" a="1"/>
  <c r="P26" i="9" s="1"/>
  <c r="K26" i="9" a="1"/>
  <c r="K26" i="9" s="1"/>
  <c r="D26" i="9"/>
  <c r="C26" i="9"/>
  <c r="L26" i="9" a="1"/>
  <c r="L26" i="9" s="1"/>
  <c r="F26" i="9"/>
  <c r="J90" i="9"/>
  <c r="B90" i="9"/>
  <c r="I90" i="9"/>
  <c r="A90" i="9"/>
  <c r="H90" i="9"/>
  <c r="G90" i="9"/>
  <c r="F90" i="9"/>
  <c r="E90" i="9"/>
  <c r="O90" i="9"/>
  <c r="D90" i="9"/>
  <c r="N90" i="9"/>
  <c r="C90" i="9"/>
  <c r="A63" i="9"/>
  <c r="H63" i="9"/>
  <c r="G63" i="9"/>
  <c r="F63" i="9"/>
  <c r="E63" i="9"/>
  <c r="D63" i="9"/>
  <c r="N63" i="9"/>
  <c r="C63" i="9"/>
  <c r="B63" i="9"/>
  <c r="M28" i="9" a="1"/>
  <c r="M28" i="9" s="1"/>
  <c r="H28" i="9"/>
  <c r="G28" i="9"/>
  <c r="L28" i="9" a="1"/>
  <c r="L28" i="9" s="1"/>
  <c r="F28" i="9"/>
  <c r="E28" i="9"/>
  <c r="P28" i="9" a="1"/>
  <c r="P28" i="9" s="1"/>
  <c r="K28" i="9" a="1"/>
  <c r="K28" i="9" s="1"/>
  <c r="D28" i="9"/>
  <c r="C28" i="9"/>
  <c r="N28" i="9"/>
  <c r="A28" i="9"/>
  <c r="H92" i="9"/>
  <c r="G92" i="9"/>
  <c r="F92" i="9"/>
  <c r="E92" i="9"/>
  <c r="O92" i="9"/>
  <c r="D92" i="9"/>
  <c r="N92" i="9"/>
  <c r="C92" i="9"/>
  <c r="J92" i="9"/>
  <c r="B92" i="9"/>
  <c r="I92" i="9"/>
  <c r="A92" i="9"/>
  <c r="G49" i="9"/>
  <c r="F49" i="9"/>
  <c r="E49" i="9"/>
  <c r="D49" i="9"/>
  <c r="N49" i="9"/>
  <c r="C49" i="9"/>
  <c r="A49" i="9"/>
  <c r="H49" i="9"/>
  <c r="G113" i="9"/>
  <c r="F113" i="9"/>
  <c r="E113" i="9"/>
  <c r="O113" i="9"/>
  <c r="D113" i="9"/>
  <c r="N113" i="9"/>
  <c r="C113" i="9"/>
  <c r="J113" i="9"/>
  <c r="B113" i="9"/>
  <c r="I113" i="9"/>
  <c r="A113" i="9"/>
  <c r="H113" i="9"/>
  <c r="F78" i="9"/>
  <c r="E78" i="9"/>
  <c r="D78" i="9"/>
  <c r="N78" i="9"/>
  <c r="C78" i="9"/>
  <c r="B78" i="9"/>
  <c r="A78" i="9"/>
  <c r="H78" i="9"/>
  <c r="G78" i="9"/>
  <c r="E51" i="9"/>
  <c r="D51" i="9"/>
  <c r="N51" i="9"/>
  <c r="C51" i="9"/>
  <c r="A51" i="9"/>
  <c r="H51" i="9"/>
  <c r="G51" i="9"/>
  <c r="F51" i="9"/>
  <c r="E115" i="9"/>
  <c r="O115" i="9"/>
  <c r="D115" i="9"/>
  <c r="N115" i="9"/>
  <c r="C115" i="9"/>
  <c r="J115" i="9"/>
  <c r="B115" i="9"/>
  <c r="I115" i="9"/>
  <c r="A115" i="9"/>
  <c r="H115" i="9"/>
  <c r="G115" i="9"/>
  <c r="F115" i="9"/>
  <c r="DW38" i="7"/>
  <c r="DW18" i="7"/>
  <c r="DW12" i="7"/>
  <c r="DW17" i="7"/>
  <c r="DW68" i="7"/>
  <c r="DW43" i="7"/>
  <c r="DW89" i="7"/>
  <c r="DW106" i="7"/>
  <c r="DW112" i="7"/>
  <c r="DW138" i="7"/>
  <c r="B28" i="8"/>
  <c r="M14" i="5"/>
  <c r="D40" i="9"/>
  <c r="N40" i="9"/>
  <c r="C40" i="9"/>
  <c r="A40" i="9"/>
  <c r="H40" i="9"/>
  <c r="G40" i="9"/>
  <c r="F40" i="9"/>
  <c r="E40" i="9"/>
  <c r="O104" i="9"/>
  <c r="D104" i="9"/>
  <c r="N104" i="9"/>
  <c r="C104" i="9"/>
  <c r="J104" i="9"/>
  <c r="B104" i="9"/>
  <c r="I104" i="9"/>
  <c r="A104" i="9"/>
  <c r="H104" i="9"/>
  <c r="G104" i="9"/>
  <c r="F104" i="9"/>
  <c r="E104" i="9"/>
  <c r="N69" i="9"/>
  <c r="C69" i="9"/>
  <c r="B69" i="9"/>
  <c r="A69" i="9"/>
  <c r="H69" i="9"/>
  <c r="G69" i="9"/>
  <c r="F69" i="9"/>
  <c r="E69" i="9"/>
  <c r="D69" i="9"/>
  <c r="A34" i="9"/>
  <c r="H34" i="9"/>
  <c r="G34" i="9"/>
  <c r="F34" i="9"/>
  <c r="E34" i="9"/>
  <c r="D34" i="9"/>
  <c r="N34" i="9"/>
  <c r="C34" i="9"/>
  <c r="J98" i="9"/>
  <c r="B98" i="9"/>
  <c r="I98" i="9"/>
  <c r="A98" i="9"/>
  <c r="H98" i="9"/>
  <c r="G98" i="9"/>
  <c r="F98" i="9"/>
  <c r="E98" i="9"/>
  <c r="O98" i="9"/>
  <c r="D98" i="9"/>
  <c r="N98" i="9"/>
  <c r="C98" i="9"/>
  <c r="A71" i="9"/>
  <c r="H71" i="9"/>
  <c r="G71" i="9"/>
  <c r="F71" i="9"/>
  <c r="E71" i="9"/>
  <c r="D71" i="9"/>
  <c r="N71" i="9"/>
  <c r="C71" i="9"/>
  <c r="B71" i="9"/>
  <c r="H36" i="9"/>
  <c r="G36" i="9"/>
  <c r="F36" i="9"/>
  <c r="E36" i="9"/>
  <c r="D36" i="9"/>
  <c r="N36" i="9"/>
  <c r="C36" i="9"/>
  <c r="A36" i="9"/>
  <c r="H100" i="9"/>
  <c r="G100" i="9"/>
  <c r="F100" i="9"/>
  <c r="E100" i="9"/>
  <c r="O100" i="9"/>
  <c r="D100" i="9"/>
  <c r="N100" i="9"/>
  <c r="C100" i="9"/>
  <c r="J100" i="9"/>
  <c r="B100" i="9"/>
  <c r="I100" i="9"/>
  <c r="A100" i="9"/>
  <c r="G57" i="9"/>
  <c r="F57" i="9"/>
  <c r="E57" i="9"/>
  <c r="D57" i="9"/>
  <c r="N57" i="9"/>
  <c r="C57" i="9"/>
  <c r="A57" i="9"/>
  <c r="H57" i="9"/>
  <c r="E22" i="9"/>
  <c r="P22" i="9" a="1"/>
  <c r="P22" i="9" s="1"/>
  <c r="K22" i="9" a="1"/>
  <c r="K22" i="9" s="1"/>
  <c r="D22" i="9"/>
  <c r="C22" i="9"/>
  <c r="N22" i="9"/>
  <c r="A22" i="9"/>
  <c r="M22" i="9" a="1"/>
  <c r="M22" i="9" s="1"/>
  <c r="H22" i="9"/>
  <c r="G22" i="9"/>
  <c r="L22" i="9" a="1"/>
  <c r="L22" i="9" s="1"/>
  <c r="F22" i="9"/>
  <c r="F86" i="9"/>
  <c r="E86" i="9"/>
  <c r="O86" i="9"/>
  <c r="D86" i="9"/>
  <c r="N86" i="9"/>
  <c r="C86" i="9"/>
  <c r="J86" i="9"/>
  <c r="B86" i="9"/>
  <c r="I86" i="9"/>
  <c r="A86" i="9"/>
  <c r="H86" i="9"/>
  <c r="G86" i="9"/>
  <c r="E59" i="9"/>
  <c r="D59" i="9"/>
  <c r="N59" i="9"/>
  <c r="C59" i="9"/>
  <c r="A59" i="9"/>
  <c r="H59" i="9"/>
  <c r="G59" i="9"/>
  <c r="F59" i="9"/>
  <c r="DW16" i="7"/>
  <c r="DW21" i="7"/>
  <c r="DW72" i="7"/>
  <c r="DW47" i="7"/>
  <c r="DW91" i="7"/>
  <c r="DW45" i="7"/>
  <c r="DW116" i="7"/>
  <c r="DW110" i="7"/>
  <c r="B36" i="8"/>
  <c r="D48" i="9"/>
  <c r="N48" i="9"/>
  <c r="C48" i="9"/>
  <c r="A48" i="9"/>
  <c r="H48" i="9"/>
  <c r="G48" i="9"/>
  <c r="F48" i="9"/>
  <c r="E48" i="9"/>
  <c r="O112" i="9"/>
  <c r="D112" i="9"/>
  <c r="N112" i="9"/>
  <c r="C112" i="9"/>
  <c r="J112" i="9"/>
  <c r="B112" i="9"/>
  <c r="I112" i="9"/>
  <c r="A112" i="9"/>
  <c r="H112" i="9"/>
  <c r="G112" i="9"/>
  <c r="F112" i="9"/>
  <c r="E112" i="9"/>
  <c r="N77" i="9"/>
  <c r="C77" i="9"/>
  <c r="B77" i="9"/>
  <c r="A77" i="9"/>
  <c r="H77" i="9"/>
  <c r="G77" i="9"/>
  <c r="F77" i="9"/>
  <c r="E77" i="9"/>
  <c r="D77" i="9"/>
  <c r="A42" i="9"/>
  <c r="H42" i="9"/>
  <c r="G42" i="9"/>
  <c r="F42" i="9"/>
  <c r="E42" i="9"/>
  <c r="D42" i="9"/>
  <c r="N42" i="9"/>
  <c r="C42" i="9"/>
  <c r="J106" i="9"/>
  <c r="B106" i="9"/>
  <c r="I106" i="9"/>
  <c r="A106" i="9"/>
  <c r="H106" i="9"/>
  <c r="G106" i="9"/>
  <c r="F106" i="9"/>
  <c r="E106" i="9"/>
  <c r="O106" i="9"/>
  <c r="D106" i="9"/>
  <c r="N106" i="9"/>
  <c r="C106" i="9"/>
  <c r="I79" i="9"/>
  <c r="A79" i="9"/>
  <c r="H79" i="9"/>
  <c r="G79" i="9"/>
  <c r="F79" i="9"/>
  <c r="E79" i="9"/>
  <c r="D79" i="9"/>
  <c r="N79" i="9"/>
  <c r="C79" i="9"/>
  <c r="J79" i="9"/>
  <c r="B79" i="9"/>
  <c r="H44" i="9"/>
  <c r="G44" i="9"/>
  <c r="F44" i="9"/>
  <c r="E44" i="9"/>
  <c r="D44" i="9"/>
  <c r="N44" i="9"/>
  <c r="C44" i="9"/>
  <c r="A44" i="9"/>
  <c r="H108" i="9"/>
  <c r="G108" i="9"/>
  <c r="F108" i="9"/>
  <c r="E108" i="9"/>
  <c r="O108" i="9"/>
  <c r="D108" i="9"/>
  <c r="N108" i="9"/>
  <c r="C108" i="9"/>
  <c r="J108" i="9"/>
  <c r="B108" i="9"/>
  <c r="I108" i="9"/>
  <c r="A108" i="9"/>
  <c r="G65" i="9"/>
  <c r="F65" i="9"/>
  <c r="E65" i="9"/>
  <c r="D65" i="9"/>
  <c r="N65" i="9"/>
  <c r="C65" i="9"/>
  <c r="B65" i="9"/>
  <c r="A65" i="9"/>
  <c r="H65" i="9"/>
  <c r="L30" i="9" a="1"/>
  <c r="L30" i="9" s="1"/>
  <c r="F30" i="9"/>
  <c r="E30" i="9"/>
  <c r="P30" i="9" a="1"/>
  <c r="P30" i="9" s="1"/>
  <c r="K30" i="9" a="1"/>
  <c r="K30" i="9" s="1"/>
  <c r="D30" i="9"/>
  <c r="C30" i="9"/>
  <c r="N30" i="9"/>
  <c r="A30" i="9"/>
  <c r="M30" i="9" a="1"/>
  <c r="M30" i="9" s="1"/>
  <c r="H30" i="9"/>
  <c r="G30" i="9"/>
  <c r="F94" i="9"/>
  <c r="E94" i="9"/>
  <c r="O94" i="9"/>
  <c r="D94" i="9"/>
  <c r="N94" i="9"/>
  <c r="C94" i="9"/>
  <c r="J94" i="9"/>
  <c r="B94" i="9"/>
  <c r="I94" i="9"/>
  <c r="A94" i="9"/>
  <c r="H94" i="9"/>
  <c r="G94" i="9"/>
  <c r="E67" i="9"/>
  <c r="D67" i="9"/>
  <c r="N67" i="9"/>
  <c r="C67" i="9"/>
  <c r="B67" i="9"/>
  <c r="A67" i="9"/>
  <c r="H67" i="9"/>
  <c r="G67" i="9"/>
  <c r="F67" i="9"/>
  <c r="Y17" i="4"/>
  <c r="X38" i="4"/>
  <c r="S15" i="5"/>
  <c r="DW27" i="7"/>
  <c r="DW20" i="7"/>
  <c r="DW23" i="7"/>
  <c r="DW75" i="7"/>
  <c r="DW51" i="7"/>
  <c r="DW93" i="7"/>
  <c r="DW49" i="7"/>
  <c r="DW120" i="7"/>
  <c r="DW114" i="7"/>
  <c r="B27" i="8"/>
  <c r="D56" i="9"/>
  <c r="N56" i="9"/>
  <c r="C56" i="9"/>
  <c r="A56" i="9"/>
  <c r="H56" i="9"/>
  <c r="G56" i="9"/>
  <c r="F56" i="9"/>
  <c r="E56" i="9"/>
  <c r="N21" i="9"/>
  <c r="A21" i="9"/>
  <c r="M21" i="9" a="1"/>
  <c r="M21" i="9" s="1"/>
  <c r="H21" i="9"/>
  <c r="L21" i="9" a="1"/>
  <c r="L21" i="9" s="1"/>
  <c r="F21" i="9"/>
  <c r="E21" i="9"/>
  <c r="P21" i="9" a="1"/>
  <c r="P21" i="9" s="1"/>
  <c r="K21" i="9" a="1"/>
  <c r="K21" i="9" s="1"/>
  <c r="D21" i="9"/>
  <c r="C21" i="9"/>
  <c r="G21" i="9"/>
  <c r="N85" i="9"/>
  <c r="C85" i="9"/>
  <c r="J85" i="9"/>
  <c r="B85" i="9"/>
  <c r="I85" i="9"/>
  <c r="A85" i="9"/>
  <c r="H85" i="9"/>
  <c r="G85" i="9"/>
  <c r="F85" i="9"/>
  <c r="E85" i="9"/>
  <c r="D85" i="9"/>
  <c r="A50" i="9"/>
  <c r="H50" i="9"/>
  <c r="G50" i="9"/>
  <c r="F50" i="9"/>
  <c r="E50" i="9"/>
  <c r="D50" i="9"/>
  <c r="N50" i="9"/>
  <c r="C50" i="9"/>
  <c r="J114" i="9"/>
  <c r="B114" i="9"/>
  <c r="I114" i="9"/>
  <c r="A114" i="9"/>
  <c r="H114" i="9"/>
  <c r="G114" i="9"/>
  <c r="F114" i="9"/>
  <c r="E114" i="9"/>
  <c r="O114" i="9"/>
  <c r="D114" i="9"/>
  <c r="N114" i="9"/>
  <c r="C114" i="9"/>
  <c r="I87" i="9"/>
  <c r="A87" i="9"/>
  <c r="H87" i="9"/>
  <c r="G87" i="9"/>
  <c r="F87" i="9"/>
  <c r="E87" i="9"/>
  <c r="O87" i="9"/>
  <c r="D87" i="9"/>
  <c r="N87" i="9"/>
  <c r="C87" i="9"/>
  <c r="J87" i="9"/>
  <c r="B87" i="9"/>
  <c r="H52" i="9"/>
  <c r="G52" i="9"/>
  <c r="F52" i="9"/>
  <c r="E52" i="9"/>
  <c r="D52" i="9"/>
  <c r="N52" i="9"/>
  <c r="C52" i="9"/>
  <c r="A52" i="9"/>
  <c r="H116" i="9"/>
  <c r="G116" i="9"/>
  <c r="F116" i="9"/>
  <c r="E116" i="9"/>
  <c r="O116" i="9"/>
  <c r="D116" i="9"/>
  <c r="N116" i="9"/>
  <c r="C116" i="9"/>
  <c r="J116" i="9"/>
  <c r="B116" i="9"/>
  <c r="I116" i="9"/>
  <c r="A116" i="9"/>
  <c r="G73" i="9"/>
  <c r="F73" i="9"/>
  <c r="E73" i="9"/>
  <c r="D73" i="9"/>
  <c r="N73" i="9"/>
  <c r="C73" i="9"/>
  <c r="B73" i="9"/>
  <c r="A73" i="9"/>
  <c r="H73" i="9"/>
  <c r="F38" i="9"/>
  <c r="E38" i="9"/>
  <c r="D38" i="9"/>
  <c r="N38" i="9"/>
  <c r="C38" i="9"/>
  <c r="A38" i="9"/>
  <c r="H38" i="9"/>
  <c r="G38" i="9"/>
  <c r="F102" i="9"/>
  <c r="E102" i="9"/>
  <c r="O102" i="9"/>
  <c r="D102" i="9"/>
  <c r="N102" i="9"/>
  <c r="C102" i="9"/>
  <c r="J102" i="9"/>
  <c r="B102" i="9"/>
  <c r="I102" i="9"/>
  <c r="A102" i="9"/>
  <c r="H102" i="9"/>
  <c r="G102" i="9"/>
  <c r="E75" i="9"/>
  <c r="D75" i="9"/>
  <c r="N75" i="9"/>
  <c r="C75" i="9"/>
  <c r="B75" i="9"/>
  <c r="A75" i="9"/>
  <c r="H75" i="9"/>
  <c r="G75" i="9"/>
  <c r="F75" i="9"/>
  <c r="N26" i="5" l="1"/>
  <c r="N30" i="5"/>
  <c r="D79" i="5"/>
  <c r="C80" i="5"/>
  <c r="N52" i="5"/>
  <c r="N56" i="5"/>
  <c r="S39" i="4"/>
  <c r="N18" i="5"/>
  <c r="N22" i="5"/>
  <c r="N64" i="5"/>
  <c r="N14" i="5"/>
  <c r="N32" i="5"/>
  <c r="N62" i="5"/>
  <c r="S38" i="4"/>
  <c r="T11" i="4"/>
  <c r="B39" i="8"/>
  <c r="DX119" i="7"/>
  <c r="DX50" i="7"/>
  <c r="DX31" i="7"/>
  <c r="DX34" i="7"/>
  <c r="DX33" i="7"/>
  <c r="DX113" i="7"/>
  <c r="DX28" i="7"/>
  <c r="DX49" i="7"/>
  <c r="DX20" i="7"/>
  <c r="DX22" i="7"/>
  <c r="DX5" i="7"/>
  <c r="DX68" i="7"/>
  <c r="DX74" i="7"/>
  <c r="DX93" i="7"/>
  <c r="DX123" i="7"/>
  <c r="DX87" i="7"/>
  <c r="DX130" i="7"/>
  <c r="B44" i="8"/>
  <c r="B68" i="8"/>
  <c r="B60" i="8"/>
  <c r="B71" i="8"/>
  <c r="B66" i="8"/>
  <c r="B69" i="8"/>
  <c r="B63" i="8"/>
  <c r="B62" i="8"/>
  <c r="B52" i="8"/>
  <c r="B74" i="8"/>
  <c r="B70" i="8"/>
  <c r="DY137" i="7"/>
  <c r="DY133" i="7"/>
  <c r="DY131" i="7"/>
  <c r="DY123" i="7"/>
  <c r="DY97" i="7"/>
  <c r="DY99" i="7"/>
  <c r="DY37" i="7"/>
  <c r="DY25" i="7"/>
  <c r="DY24" i="7"/>
  <c r="DY27" i="7"/>
  <c r="B10" i="6"/>
  <c r="DY29" i="7"/>
  <c r="C9" i="6"/>
  <c r="X110" i="3" a="1"/>
  <c r="X110" i="3" s="1"/>
  <c r="X100" i="3" a="1"/>
  <c r="X100" i="3" s="1"/>
  <c r="X111" i="3" a="1"/>
  <c r="X111" i="3" s="1"/>
  <c r="X101" i="3" a="1"/>
  <c r="X101" i="3" s="1"/>
  <c r="X93" i="3" a="1"/>
  <c r="X93" i="3" s="1"/>
  <c r="X67" i="3" a="1"/>
  <c r="X67" i="3" s="1"/>
  <c r="X45" i="3" a="1"/>
  <c r="X45" i="3" s="1"/>
  <c r="X112" i="3" a="1"/>
  <c r="X112" i="3" s="1"/>
  <c r="X102" i="3" a="1"/>
  <c r="X102" i="3" s="1"/>
  <c r="X94" i="3" a="1"/>
  <c r="X94" i="3" s="1"/>
  <c r="X113" i="3" a="1"/>
  <c r="X113" i="3" s="1"/>
  <c r="X103" i="3" a="1"/>
  <c r="X103" i="3" s="1"/>
  <c r="X95" i="3" a="1"/>
  <c r="X95" i="3" s="1"/>
  <c r="X69" i="3" a="1"/>
  <c r="X69" i="3" s="1"/>
  <c r="X114" i="3" a="1"/>
  <c r="X114" i="3" s="1"/>
  <c r="X106" i="3" a="1"/>
  <c r="X106" i="3" s="1"/>
  <c r="X104" i="3" a="1"/>
  <c r="X104" i="3" s="1"/>
  <c r="X96" i="3" a="1"/>
  <c r="X96" i="3" s="1"/>
  <c r="X72" i="3" a="1"/>
  <c r="X72" i="3" s="1"/>
  <c r="X105" i="3" a="1"/>
  <c r="X105" i="3" s="1"/>
  <c r="X97" i="3" a="1"/>
  <c r="X97" i="3" s="1"/>
  <c r="X98" i="3" a="1"/>
  <c r="X98" i="3" s="1"/>
  <c r="X99" i="3" a="1"/>
  <c r="X99" i="3" s="1"/>
  <c r="X50" i="3" a="1"/>
  <c r="X50" i="3" s="1"/>
  <c r="DY21" i="7"/>
  <c r="DY6" i="7"/>
  <c r="DY10" i="7"/>
  <c r="DY14" i="7"/>
  <c r="DY18" i="7"/>
  <c r="DY7" i="7"/>
  <c r="DY67" i="7"/>
  <c r="DY68" i="7"/>
  <c r="DY57" i="7"/>
  <c r="DY65" i="7"/>
  <c r="DY105" i="7"/>
  <c r="DY88" i="7"/>
  <c r="X115" i="3" a="1"/>
  <c r="X115" i="3" s="1"/>
  <c r="DY36" i="7"/>
  <c r="DY22" i="7"/>
  <c r="DY31" i="7"/>
  <c r="DY38" i="7"/>
  <c r="DY41" i="7"/>
  <c r="DY45" i="7"/>
  <c r="DY49" i="7"/>
  <c r="DY64" i="7"/>
  <c r="DY50" i="7"/>
  <c r="DY13" i="7"/>
  <c r="DY23" i="7"/>
  <c r="DY11" i="7"/>
  <c r="DY32" i="7"/>
  <c r="DY34" i="7"/>
  <c r="DY20" i="7"/>
  <c r="DY63" i="7"/>
  <c r="DY60" i="7"/>
  <c r="DY92" i="7"/>
  <c r="DY40" i="7"/>
  <c r="DY9" i="7"/>
  <c r="DY33" i="7"/>
  <c r="DY74" i="7"/>
  <c r="DY39" i="7"/>
  <c r="DY43" i="7"/>
  <c r="DY47" i="7"/>
  <c r="DY51" i="7"/>
  <c r="DY58" i="7"/>
  <c r="DY78" i="7"/>
  <c r="DY110" i="7"/>
  <c r="DY121" i="7"/>
  <c r="DY83" i="7"/>
  <c r="DY100" i="7"/>
  <c r="DY128" i="7"/>
  <c r="P58" i="5" s="1"/>
  <c r="DY140" i="7"/>
  <c r="B49" i="8"/>
  <c r="DY142" i="7"/>
  <c r="B67" i="8"/>
  <c r="B51" i="8"/>
  <c r="DY61" i="7"/>
  <c r="DY69" i="7"/>
  <c r="B55" i="8"/>
  <c r="DY5" i="7"/>
  <c r="DY8" i="7"/>
  <c r="DY28" i="7"/>
  <c r="DY59" i="7"/>
  <c r="DY62" i="7"/>
  <c r="DY80" i="7"/>
  <c r="DY145" i="7"/>
  <c r="DY129" i="7"/>
  <c r="DY30" i="7"/>
  <c r="DY42" i="7"/>
  <c r="DY66" i="7"/>
  <c r="DY82" i="7"/>
  <c r="DY44" i="7"/>
  <c r="DY77" i="7"/>
  <c r="DY85" i="7"/>
  <c r="DY106" i="7"/>
  <c r="DY111" i="7"/>
  <c r="DY119" i="7"/>
  <c r="DY87" i="7"/>
  <c r="DY104" i="7"/>
  <c r="DY116" i="7"/>
  <c r="DY109" i="7"/>
  <c r="B56" i="8"/>
  <c r="DY122" i="7"/>
  <c r="B54" i="8"/>
  <c r="DY19" i="7"/>
  <c r="DY12" i="7"/>
  <c r="DY71" i="7"/>
  <c r="DY70" i="7"/>
  <c r="DY84" i="7"/>
  <c r="DY72" i="7"/>
  <c r="DY46" i="7"/>
  <c r="DY86" i="7"/>
  <c r="DY48" i="7"/>
  <c r="DY118" i="7"/>
  <c r="DY148" i="7"/>
  <c r="B64" i="8"/>
  <c r="DY138" i="7"/>
  <c r="DY135" i="7"/>
  <c r="DY76" i="7"/>
  <c r="DY81" i="7"/>
  <c r="DY114" i="7"/>
  <c r="B65" i="8"/>
  <c r="DY132" i="7"/>
  <c r="B58" i="8"/>
  <c r="DY139" i="7"/>
  <c r="DY90" i="7"/>
  <c r="DY108" i="7"/>
  <c r="DY143" i="7"/>
  <c r="DY115" i="7"/>
  <c r="DY91" i="7"/>
  <c r="DY113" i="7"/>
  <c r="DY126" i="7"/>
  <c r="DY147" i="7"/>
  <c r="DY35" i="7"/>
  <c r="DY52" i="7"/>
  <c r="DY124" i="7"/>
  <c r="B61" i="8"/>
  <c r="DY98" i="7"/>
  <c r="DY95" i="7"/>
  <c r="DY112" i="7"/>
  <c r="DY125" i="7"/>
  <c r="DY144" i="7"/>
  <c r="B50" i="8"/>
  <c r="DY130" i="7"/>
  <c r="DY146" i="7"/>
  <c r="B59" i="8"/>
  <c r="DY73" i="7"/>
  <c r="DY75" i="7"/>
  <c r="DY120" i="7"/>
  <c r="DY54" i="7"/>
  <c r="B73" i="8"/>
  <c r="I20" i="8"/>
  <c r="N16" i="5"/>
  <c r="N49" i="5"/>
  <c r="N54" i="5"/>
  <c r="DX125" i="7"/>
  <c r="DX111" i="7"/>
  <c r="DX46" i="7"/>
  <c r="DX36" i="7"/>
  <c r="DX32" i="7"/>
  <c r="DX8" i="7"/>
  <c r="DX112" i="7"/>
  <c r="DX12" i="7"/>
  <c r="DX45" i="7"/>
  <c r="DX26" i="7"/>
  <c r="DX7" i="7"/>
  <c r="DX9" i="7"/>
  <c r="DX72" i="7"/>
  <c r="DX77" i="7"/>
  <c r="DX59" i="7"/>
  <c r="DX98" i="7"/>
  <c r="DX126" i="7"/>
  <c r="O56" i="5" s="1"/>
  <c r="DX91" i="7"/>
  <c r="DX144" i="7"/>
  <c r="B40" i="8"/>
  <c r="N36" i="5"/>
  <c r="O22" i="5"/>
  <c r="G98" i="5"/>
  <c r="L97" i="5"/>
  <c r="N47" i="5"/>
  <c r="N34" i="5"/>
  <c r="T15" i="5"/>
  <c r="N45" i="5"/>
  <c r="N24" i="5"/>
  <c r="B41" i="8"/>
  <c r="DX80" i="7"/>
  <c r="DX100" i="7"/>
  <c r="DX120" i="7"/>
  <c r="DX4" i="7"/>
  <c r="B42" i="8"/>
  <c r="DX115" i="7"/>
  <c r="DX108" i="7"/>
  <c r="DX16" i="7"/>
  <c r="DX82" i="7"/>
  <c r="O38" i="5" s="1"/>
  <c r="DX15" i="7"/>
  <c r="DX17" i="7"/>
  <c r="DX57" i="7"/>
  <c r="DX58" i="7"/>
  <c r="DX67" i="7"/>
  <c r="DX132" i="7"/>
  <c r="DX133" i="7"/>
  <c r="DX128" i="7"/>
  <c r="DX138" i="7"/>
  <c r="T24" i="8"/>
  <c r="M27" i="5"/>
  <c r="I21" i="8" s="1"/>
  <c r="L68" i="5"/>
  <c r="N42" i="5"/>
  <c r="N60" i="5"/>
  <c r="P13" i="5"/>
  <c r="N40" i="5"/>
  <c r="DX109" i="7"/>
  <c r="DX51" i="7"/>
  <c r="DX114" i="7"/>
  <c r="DX121" i="7"/>
  <c r="DX30" i="7"/>
  <c r="DX116" i="7"/>
  <c r="DX107" i="7"/>
  <c r="DX44" i="7"/>
  <c r="DX37" i="7"/>
  <c r="DX6" i="7"/>
  <c r="DX19" i="7"/>
  <c r="DX21" i="7"/>
  <c r="DX61" i="7"/>
  <c r="DX62" i="7"/>
  <c r="DX71" i="7"/>
  <c r="DX146" i="7"/>
  <c r="DX136" i="7"/>
  <c r="DX137" i="7"/>
  <c r="DX145" i="7"/>
  <c r="E570" i="8"/>
  <c r="G570" i="8" s="1"/>
  <c r="E604" i="8"/>
  <c r="G604" i="8" s="1"/>
  <c r="E530" i="8"/>
  <c r="G530" i="8" s="1"/>
  <c r="E609" i="8"/>
  <c r="G609" i="8" s="1"/>
  <c r="E483" i="8"/>
  <c r="G483" i="8" s="1"/>
  <c r="E442" i="8"/>
  <c r="G442" i="8" s="1"/>
  <c r="E391" i="8"/>
  <c r="G391" i="8" s="1"/>
  <c r="E327" i="8"/>
  <c r="G327" i="8" s="1"/>
  <c r="E269" i="8"/>
  <c r="G269" i="8" s="1"/>
  <c r="E59" i="8"/>
  <c r="G59" i="8" s="1"/>
  <c r="E201" i="8"/>
  <c r="G201" i="8" s="1"/>
  <c r="E143" i="8"/>
  <c r="G143" i="8" s="1"/>
  <c r="E36" i="8"/>
  <c r="G36" i="8" s="1"/>
  <c r="E87" i="8"/>
  <c r="E46" i="8"/>
  <c r="G46" i="8" s="1"/>
  <c r="E26" i="8"/>
  <c r="G26" i="8" s="1"/>
  <c r="H55" i="7"/>
  <c r="J258" i="3"/>
  <c r="N38" i="5"/>
  <c r="DX23" i="7"/>
  <c r="DX90" i="7"/>
  <c r="DX129" i="7"/>
  <c r="DX86" i="7"/>
  <c r="DX25" i="7"/>
  <c r="DX10" i="7"/>
  <c r="DX24" i="7"/>
  <c r="DX56" i="7"/>
  <c r="DX65" i="7"/>
  <c r="DX66" i="7"/>
  <c r="DX81" i="7"/>
  <c r="DX147" i="7"/>
  <c r="DX143" i="7"/>
  <c r="O62" i="5" s="1"/>
  <c r="DX140" i="7"/>
  <c r="DX148" i="7"/>
  <c r="Y38" i="4"/>
  <c r="Z17" i="4"/>
  <c r="Z38" i="4" s="1"/>
  <c r="O47" i="5"/>
  <c r="DX60" i="7"/>
  <c r="DX69" i="7"/>
  <c r="DX70" i="7"/>
  <c r="DX85" i="7"/>
  <c r="O40" i="5" s="1"/>
  <c r="DX139" i="7"/>
  <c r="DX79" i="7"/>
  <c r="DX134" i="7"/>
  <c r="N58" i="5"/>
  <c r="P24" i="5" l="1"/>
  <c r="O24" i="5"/>
  <c r="O26" i="5"/>
  <c r="P26" i="5"/>
  <c r="I19" i="8"/>
  <c r="J19" i="8" s="1"/>
  <c r="I17" i="8"/>
  <c r="J17" i="8" s="1"/>
  <c r="I18" i="8"/>
  <c r="O18" i="8" s="1"/>
  <c r="O42" i="5"/>
  <c r="O52" i="5"/>
  <c r="C81" i="5"/>
  <c r="D80" i="5"/>
  <c r="O45" i="5"/>
  <c r="O54" i="5"/>
  <c r="O32" i="5"/>
  <c r="O14" i="5"/>
  <c r="U15" i="5"/>
  <c r="G99" i="5"/>
  <c r="L98" i="5"/>
  <c r="P38" i="5"/>
  <c r="P22" i="5"/>
  <c r="O60" i="5"/>
  <c r="T39" i="4"/>
  <c r="O18" i="5"/>
  <c r="P64" i="5"/>
  <c r="DV55" i="7"/>
  <c r="DW55" i="7"/>
  <c r="P54" i="5"/>
  <c r="O30" i="5"/>
  <c r="G87" i="8"/>
  <c r="G26" i="9" s="1"/>
  <c r="E26" i="9"/>
  <c r="N27" i="5"/>
  <c r="I30" i="8" s="1"/>
  <c r="M69" i="5"/>
  <c r="M70" i="5" s="1"/>
  <c r="O64" i="5"/>
  <c r="O20" i="8"/>
  <c r="J20" i="8"/>
  <c r="P34" i="5"/>
  <c r="Y12" i="3" a="1"/>
  <c r="Y12" i="3" s="1"/>
  <c r="Y9" i="3" a="1"/>
  <c r="Y9" i="3" s="1"/>
  <c r="Y10" i="3" a="1"/>
  <c r="Y10" i="3" s="1"/>
  <c r="Y11" i="3" a="1"/>
  <c r="Y11" i="3" s="1"/>
  <c r="DY103" i="7"/>
  <c r="DY127" i="7"/>
  <c r="P56" i="5" s="1"/>
  <c r="B47" i="8"/>
  <c r="B76" i="8"/>
  <c r="T38" i="4"/>
  <c r="U11" i="4"/>
  <c r="I54" i="8"/>
  <c r="I27" i="8"/>
  <c r="O21" i="8"/>
  <c r="J21" i="8"/>
  <c r="O58" i="5"/>
  <c r="O16" i="5"/>
  <c r="O49" i="5"/>
  <c r="I31" i="8"/>
  <c r="B75" i="8"/>
  <c r="B57" i="8"/>
  <c r="DY117" i="7"/>
  <c r="P52" i="5" s="1"/>
  <c r="DY89" i="7"/>
  <c r="DY107" i="7"/>
  <c r="P49" i="5" s="1"/>
  <c r="DY79" i="7"/>
  <c r="P36" i="5" s="1"/>
  <c r="DY101" i="7"/>
  <c r="P45" i="5" s="1"/>
  <c r="DY136" i="7"/>
  <c r="DY93" i="7"/>
  <c r="B72" i="8"/>
  <c r="DY15" i="7"/>
  <c r="DY134" i="7"/>
  <c r="P60" i="5" s="1"/>
  <c r="DY102" i="7"/>
  <c r="DY56" i="7"/>
  <c r="P30" i="5" s="1"/>
  <c r="DY4" i="7"/>
  <c r="DY53" i="7"/>
  <c r="DY17" i="7"/>
  <c r="DY16" i="7"/>
  <c r="DY26" i="7"/>
  <c r="P18" i="5" s="1"/>
  <c r="DY94" i="7"/>
  <c r="DY141" i="7"/>
  <c r="B53" i="8"/>
  <c r="DX55" i="7"/>
  <c r="O28" i="5" s="1"/>
  <c r="I53" i="8"/>
  <c r="P62" i="5"/>
  <c r="P40" i="5"/>
  <c r="P20" i="5"/>
  <c r="B77" i="8"/>
  <c r="O34" i="5"/>
  <c r="O20" i="5"/>
  <c r="O36" i="5"/>
  <c r="DY55" i="7"/>
  <c r="P32" i="5"/>
  <c r="B378" i="8"/>
  <c r="B57" i="9" s="1"/>
  <c r="B108" i="8"/>
  <c r="B92" i="8"/>
  <c r="B31" i="9" s="1"/>
  <c r="B166" i="8"/>
  <c r="B50" i="9" s="1"/>
  <c r="B110" i="8"/>
  <c r="B49" i="9" s="1"/>
  <c r="B102" i="8"/>
  <c r="B41" i="9" s="1"/>
  <c r="B167" i="8"/>
  <c r="B51" i="9" s="1"/>
  <c r="B103" i="8"/>
  <c r="B42" i="9" s="1"/>
  <c r="B87" i="8"/>
  <c r="B26" i="9" s="1"/>
  <c r="B98" i="8"/>
  <c r="B37" i="9" s="1"/>
  <c r="B94" i="8"/>
  <c r="B33" i="9" s="1"/>
  <c r="B106" i="8"/>
  <c r="B90" i="8"/>
  <c r="B29" i="9" s="1"/>
  <c r="B86" i="8"/>
  <c r="B25" i="9" s="1"/>
  <c r="B78" i="8"/>
  <c r="DZ144" i="7"/>
  <c r="DZ130" i="7"/>
  <c r="DZ122" i="7"/>
  <c r="DZ134" i="7"/>
  <c r="DZ116" i="7"/>
  <c r="DZ112" i="7"/>
  <c r="DZ108" i="7"/>
  <c r="DZ100" i="7"/>
  <c r="DZ95" i="7"/>
  <c r="DZ140" i="7"/>
  <c r="DZ128" i="7"/>
  <c r="DZ143" i="7"/>
  <c r="DZ136" i="7"/>
  <c r="DZ126" i="7"/>
  <c r="DZ139" i="7"/>
  <c r="DZ118" i="7"/>
  <c r="DZ114" i="7"/>
  <c r="DZ110" i="7"/>
  <c r="DZ106" i="7"/>
  <c r="DZ102" i="7"/>
  <c r="DZ98" i="7"/>
  <c r="DZ132" i="7"/>
  <c r="DZ124" i="7"/>
  <c r="DZ148" i="7"/>
  <c r="DZ138" i="7"/>
  <c r="DZ135" i="7"/>
  <c r="DZ76" i="7"/>
  <c r="DZ70" i="7"/>
  <c r="DZ62" i="7"/>
  <c r="DZ58" i="7"/>
  <c r="DZ93" i="7"/>
  <c r="DZ91" i="7"/>
  <c r="DZ89" i="7"/>
  <c r="DZ87" i="7"/>
  <c r="DZ85" i="7"/>
  <c r="Q40" i="5" s="1"/>
  <c r="DZ81" i="7"/>
  <c r="DZ79" i="7"/>
  <c r="DZ73" i="7"/>
  <c r="DZ69" i="7"/>
  <c r="DZ65" i="7"/>
  <c r="DZ61" i="7"/>
  <c r="DZ57" i="7"/>
  <c r="DZ72" i="7"/>
  <c r="DZ68" i="7"/>
  <c r="DZ64" i="7"/>
  <c r="DZ60" i="7"/>
  <c r="DZ56" i="7"/>
  <c r="DZ75" i="7"/>
  <c r="DZ71" i="7"/>
  <c r="DZ63" i="7"/>
  <c r="DZ59" i="7"/>
  <c r="DZ55" i="7"/>
  <c r="DZ20" i="7"/>
  <c r="DZ16" i="7"/>
  <c r="DZ12" i="7"/>
  <c r="DZ8" i="7"/>
  <c r="DZ27" i="7"/>
  <c r="DZ22" i="7"/>
  <c r="DZ18" i="7"/>
  <c r="DZ14" i="7"/>
  <c r="DZ10" i="7"/>
  <c r="DZ6" i="7"/>
  <c r="B11" i="6"/>
  <c r="C10" i="6"/>
  <c r="B100" i="8" s="1"/>
  <c r="B39" i="9" s="1"/>
  <c r="DZ21" i="7"/>
  <c r="DZ17" i="7"/>
  <c r="DZ13" i="7"/>
  <c r="DZ9" i="7"/>
  <c r="DZ5" i="7"/>
  <c r="X226" i="3" a="1"/>
  <c r="X226" i="3" s="1"/>
  <c r="X221" i="3" a="1"/>
  <c r="X221" i="3" s="1"/>
  <c r="X92" i="3" a="1"/>
  <c r="X92" i="3" s="1"/>
  <c r="X222" i="3" a="1"/>
  <c r="X222" i="3" s="1"/>
  <c r="X87" i="3" a="1"/>
  <c r="X87" i="3" s="1"/>
  <c r="X85" i="3" a="1"/>
  <c r="X85" i="3" s="1"/>
  <c r="X86" i="3" a="1"/>
  <c r="X86" i="3" s="1"/>
  <c r="X233" i="3" a="1"/>
  <c r="X233" i="3" s="1"/>
  <c r="X212" i="3" a="1"/>
  <c r="X212" i="3" s="1"/>
  <c r="X218" i="3" a="1"/>
  <c r="X218" i="3" s="1"/>
  <c r="X213" i="3" a="1"/>
  <c r="X213" i="3" s="1"/>
  <c r="X246" i="3" a="1"/>
  <c r="X246" i="3" s="1"/>
  <c r="X219" i="3" a="1"/>
  <c r="X219" i="3" s="1"/>
  <c r="X214" i="3" a="1"/>
  <c r="X214" i="3" s="1"/>
  <c r="X227" i="3" a="1"/>
  <c r="X227" i="3" s="1"/>
  <c r="X225" i="3" a="1"/>
  <c r="X225" i="3" s="1"/>
  <c r="X215" i="3" a="1"/>
  <c r="X215" i="3" s="1"/>
  <c r="X91" i="3" a="1"/>
  <c r="X91" i="3" s="1"/>
  <c r="X29" i="3" a="1"/>
  <c r="X29" i="3" s="1"/>
  <c r="X17" i="3" a="1"/>
  <c r="X17" i="3" s="1"/>
  <c r="X216" i="3" a="1"/>
  <c r="X216" i="3" s="1"/>
  <c r="DZ25" i="7"/>
  <c r="DZ37" i="7"/>
  <c r="DZ15" i="7"/>
  <c r="DZ40" i="7"/>
  <c r="DZ44" i="7"/>
  <c r="DZ48" i="7"/>
  <c r="DZ52" i="7"/>
  <c r="F7" i="8" a="1"/>
  <c r="F7" i="8" s="1"/>
  <c r="DZ82" i="7"/>
  <c r="DZ90" i="7"/>
  <c r="DZ29" i="7"/>
  <c r="DZ11" i="7"/>
  <c r="X223" i="3" a="1"/>
  <c r="X223" i="3" s="1"/>
  <c r="DZ28" i="7"/>
  <c r="DZ38" i="7"/>
  <c r="DZ7" i="7"/>
  <c r="DZ24" i="7"/>
  <c r="DZ33" i="7"/>
  <c r="DZ80" i="7"/>
  <c r="DZ88" i="7"/>
  <c r="DZ99" i="7"/>
  <c r="DZ105" i="7"/>
  <c r="DZ39" i="7"/>
  <c r="DZ54" i="7"/>
  <c r="DZ127" i="7"/>
  <c r="DZ141" i="7"/>
  <c r="DZ115" i="7"/>
  <c r="DZ30" i="7"/>
  <c r="DZ32" i="7"/>
  <c r="DZ34" i="7"/>
  <c r="DZ94" i="7"/>
  <c r="DZ97" i="7"/>
  <c r="DZ74" i="7"/>
  <c r="DZ109" i="7"/>
  <c r="DZ119" i="7"/>
  <c r="DZ125" i="7"/>
  <c r="B88" i="8"/>
  <c r="B27" i="9" s="1"/>
  <c r="B83" i="8"/>
  <c r="B22" i="9" s="1"/>
  <c r="B466" i="8"/>
  <c r="B59" i="9" s="1"/>
  <c r="DZ78" i="7"/>
  <c r="DZ101" i="7"/>
  <c r="DZ145" i="7"/>
  <c r="B81" i="8"/>
  <c r="DZ23" i="7"/>
  <c r="DZ31" i="7"/>
  <c r="DZ86" i="7"/>
  <c r="DZ113" i="7"/>
  <c r="DZ129" i="7"/>
  <c r="B99" i="8"/>
  <c r="B38" i="9" s="1"/>
  <c r="DZ41" i="7"/>
  <c r="DZ45" i="7"/>
  <c r="DZ49" i="7"/>
  <c r="DZ53" i="7"/>
  <c r="DZ42" i="7"/>
  <c r="DZ46" i="7"/>
  <c r="DZ50" i="7"/>
  <c r="DZ51" i="7"/>
  <c r="DZ117" i="7"/>
  <c r="DZ131" i="7"/>
  <c r="DZ36" i="7"/>
  <c r="D7" i="8" a="1"/>
  <c r="D7" i="8" s="1"/>
  <c r="DZ84" i="7"/>
  <c r="DZ92" i="7"/>
  <c r="DZ26" i="7"/>
  <c r="DZ19" i="7"/>
  <c r="DZ103" i="7"/>
  <c r="DZ47" i="7"/>
  <c r="DZ35" i="7"/>
  <c r="B80" i="8"/>
  <c r="B104" i="8"/>
  <c r="B43" i="9" s="1"/>
  <c r="B168" i="8"/>
  <c r="B52" i="9" s="1"/>
  <c r="DZ111" i="7"/>
  <c r="B97" i="8"/>
  <c r="B36" i="9" s="1"/>
  <c r="B377" i="8"/>
  <c r="B56" i="9" s="1"/>
  <c r="DZ43" i="7"/>
  <c r="DZ137" i="7"/>
  <c r="B93" i="8"/>
  <c r="B32" i="9" s="1"/>
  <c r="B379" i="8"/>
  <c r="B58" i="9" s="1"/>
  <c r="DZ133" i="7"/>
  <c r="DZ107" i="7"/>
  <c r="DZ123" i="7"/>
  <c r="B105" i="8"/>
  <c r="B44" i="9" s="1"/>
  <c r="B375" i="8"/>
  <c r="B54" i="9" s="1"/>
  <c r="B85" i="8"/>
  <c r="B24" i="9" s="1"/>
  <c r="B107" i="8"/>
  <c r="B46" i="9" s="1"/>
  <c r="B376" i="8"/>
  <c r="B55" i="9" s="1"/>
  <c r="DZ121" i="7"/>
  <c r="B96" i="8"/>
  <c r="B35" i="9" s="1"/>
  <c r="B89" i="8"/>
  <c r="B28" i="9" s="1"/>
  <c r="B101" i="8"/>
  <c r="B109" i="8"/>
  <c r="DZ120" i="7"/>
  <c r="B91" i="8"/>
  <c r="B30" i="9" s="1"/>
  <c r="B236" i="8"/>
  <c r="B53" i="9" s="1"/>
  <c r="B48" i="8"/>
  <c r="P47" i="5" l="1"/>
  <c r="Q24" i="5"/>
  <c r="P16" i="5"/>
  <c r="P28" i="5"/>
  <c r="J18" i="8"/>
  <c r="O17" i="8"/>
  <c r="J30" i="8"/>
  <c r="O30" i="8"/>
  <c r="I29" i="8"/>
  <c r="O29" i="8" s="1"/>
  <c r="I28" i="8"/>
  <c r="O28" i="8" s="1"/>
  <c r="O19" i="8"/>
  <c r="P42" i="5"/>
  <c r="C82" i="5"/>
  <c r="D81" i="5"/>
  <c r="Q56" i="5"/>
  <c r="I72" i="8"/>
  <c r="O72" i="8" s="1"/>
  <c r="I70" i="8"/>
  <c r="O70" i="8" s="1"/>
  <c r="I71" i="8"/>
  <c r="J71" i="8" s="1"/>
  <c r="I73" i="8"/>
  <c r="O73" i="8" s="1"/>
  <c r="P14" i="5"/>
  <c r="P71" i="5"/>
  <c r="Q18" i="5"/>
  <c r="Q42" i="5"/>
  <c r="B82" i="8"/>
  <c r="B95" i="8"/>
  <c r="B34" i="9" s="1"/>
  <c r="O31" i="8"/>
  <c r="J31" i="8"/>
  <c r="O27" i="8"/>
  <c r="J27" i="8"/>
  <c r="U38" i="4"/>
  <c r="V11" i="4"/>
  <c r="V38" i="4" s="1"/>
  <c r="Q16" i="5"/>
  <c r="Q30" i="5"/>
  <c r="I88" i="8" s="1"/>
  <c r="Q62" i="5"/>
  <c r="I52" i="8"/>
  <c r="O54" i="8"/>
  <c r="J54" i="8"/>
  <c r="O71" i="5"/>
  <c r="Q20" i="5"/>
  <c r="Q58" i="5"/>
  <c r="N28" i="5"/>
  <c r="N71" i="5"/>
  <c r="Q52" i="5"/>
  <c r="I377" i="8" s="1"/>
  <c r="M71" i="5"/>
  <c r="M72" i="5" s="1"/>
  <c r="M73" i="5" s="1"/>
  <c r="M28" i="5"/>
  <c r="U39" i="4"/>
  <c r="Q49" i="5"/>
  <c r="Q45" i="5"/>
  <c r="Q36" i="5"/>
  <c r="I76" i="8"/>
  <c r="I75" i="8"/>
  <c r="G100" i="5"/>
  <c r="L99" i="5"/>
  <c r="Q28" i="5"/>
  <c r="Q54" i="5"/>
  <c r="B507" i="8"/>
  <c r="B47" i="9" s="1"/>
  <c r="B132" i="8"/>
  <c r="B158" i="8"/>
  <c r="B118" i="8"/>
  <c r="B146" i="8"/>
  <c r="B159" i="8"/>
  <c r="B135" i="8"/>
  <c r="EA142" i="7"/>
  <c r="EA116" i="7"/>
  <c r="EA120" i="7"/>
  <c r="EA118" i="7"/>
  <c r="EA124" i="7"/>
  <c r="EA130" i="7"/>
  <c r="EA87" i="7"/>
  <c r="EA81" i="7"/>
  <c r="EA39" i="7"/>
  <c r="EA69" i="7"/>
  <c r="EA72" i="7"/>
  <c r="EA64" i="7"/>
  <c r="EA60" i="7"/>
  <c r="EA53" i="7"/>
  <c r="EA45" i="7"/>
  <c r="EA100" i="7"/>
  <c r="B12" i="6"/>
  <c r="EA22" i="7"/>
  <c r="EA18" i="7"/>
  <c r="C11" i="6"/>
  <c r="B124" i="8" s="1"/>
  <c r="EA35" i="7"/>
  <c r="EA29" i="7"/>
  <c r="EA26" i="7"/>
  <c r="X37" i="3" a="1"/>
  <c r="X37" i="3" s="1"/>
  <c r="X68" i="3" a="1"/>
  <c r="X68" i="3" s="1"/>
  <c r="X64" i="3" a="1"/>
  <c r="X64" i="3" s="1"/>
  <c r="X62" i="3" a="1"/>
  <c r="X62" i="3" s="1"/>
  <c r="X46" i="3" a="1"/>
  <c r="X46" i="3" s="1"/>
  <c r="X38" i="3" a="1"/>
  <c r="X38" i="3" s="1"/>
  <c r="X22" i="3" a="1"/>
  <c r="X22" i="3" s="1"/>
  <c r="X63" i="3" a="1"/>
  <c r="X63" i="3" s="1"/>
  <c r="X39" i="3" a="1"/>
  <c r="X39" i="3" s="1"/>
  <c r="X23" i="3" a="1"/>
  <c r="X23" i="3" s="1"/>
  <c r="X131" i="3" a="1"/>
  <c r="X131" i="3" s="1"/>
  <c r="X41" i="3" a="1"/>
  <c r="X41" i="3" s="1"/>
  <c r="X33" i="3" a="1"/>
  <c r="X33" i="3" s="1"/>
  <c r="X34" i="3" a="1"/>
  <c r="X34" i="3" s="1"/>
  <c r="X18" i="3" a="1"/>
  <c r="X18" i="3" s="1"/>
  <c r="X220" i="3" a="1"/>
  <c r="X220" i="3" s="1"/>
  <c r="X27" i="3" a="1"/>
  <c r="X27" i="3" s="1"/>
  <c r="X19" i="3" a="1"/>
  <c r="X19" i="3" s="1"/>
  <c r="X24" i="3" a="1"/>
  <c r="X24" i="3" s="1"/>
  <c r="X36" i="3" a="1"/>
  <c r="X36" i="3" s="1"/>
  <c r="X32" i="3" a="1"/>
  <c r="X32" i="3" s="1"/>
  <c r="X16" i="3" a="1"/>
  <c r="X16" i="3" s="1"/>
  <c r="X20" i="3" a="1"/>
  <c r="X20" i="3" s="1"/>
  <c r="X40" i="3" a="1"/>
  <c r="X40" i="3" s="1"/>
  <c r="X42" i="3" a="1"/>
  <c r="X42" i="3" s="1"/>
  <c r="X25" i="3" a="1"/>
  <c r="X25" i="3" s="1"/>
  <c r="X28" i="3" a="1"/>
  <c r="X28" i="3" s="1"/>
  <c r="X21" i="3" a="1"/>
  <c r="X21" i="3" s="1"/>
  <c r="EA12" i="7"/>
  <c r="EA32" i="7"/>
  <c r="EA62" i="7"/>
  <c r="EA99" i="7"/>
  <c r="EA105" i="7"/>
  <c r="EA33" i="7"/>
  <c r="EA19" i="7"/>
  <c r="EA97" i="7"/>
  <c r="X133" i="3" a="1"/>
  <c r="X133" i="3" s="1"/>
  <c r="EA37" i="7"/>
  <c r="EA58" i="7"/>
  <c r="EA36" i="7"/>
  <c r="EA7" i="7"/>
  <c r="EA141" i="7"/>
  <c r="EA115" i="7"/>
  <c r="B131" i="8"/>
  <c r="B117" i="8"/>
  <c r="B128" i="8"/>
  <c r="EA92" i="7"/>
  <c r="EA54" i="7"/>
  <c r="EA70" i="7"/>
  <c r="EA84" i="7"/>
  <c r="EA24" i="7"/>
  <c r="EA11" i="7"/>
  <c r="EA103" i="7"/>
  <c r="EA137" i="7"/>
  <c r="EA117" i="7"/>
  <c r="EA123" i="7"/>
  <c r="EA133" i="7"/>
  <c r="EA147" i="7"/>
  <c r="B147" i="8"/>
  <c r="EA5" i="7"/>
  <c r="EA9" i="7"/>
  <c r="EA17" i="7"/>
  <c r="EA21" i="7"/>
  <c r="EA66" i="7"/>
  <c r="EA82" i="7"/>
  <c r="EA90" i="7"/>
  <c r="EA67" i="7"/>
  <c r="EA23" i="7"/>
  <c r="EA31" i="7"/>
  <c r="EA15" i="7"/>
  <c r="EA44" i="7"/>
  <c r="EA48" i="7"/>
  <c r="EA52" i="7"/>
  <c r="EA63" i="7"/>
  <c r="EA113" i="7"/>
  <c r="EA139" i="7"/>
  <c r="B115" i="8"/>
  <c r="B133" i="8"/>
  <c r="B19" i="9" s="1"/>
  <c r="EA129" i="7"/>
  <c r="B155" i="8"/>
  <c r="B141" i="8"/>
  <c r="B234" i="8"/>
  <c r="B129" i="8"/>
  <c r="B161" i="8"/>
  <c r="B149" i="8"/>
  <c r="B152" i="8"/>
  <c r="EA143" i="7"/>
  <c r="B164" i="8"/>
  <c r="B157" i="8"/>
  <c r="B137" i="8"/>
  <c r="B433" i="8"/>
  <c r="EA121" i="7"/>
  <c r="EA119" i="7"/>
  <c r="EA131" i="7"/>
  <c r="B156" i="8"/>
  <c r="B165" i="8"/>
  <c r="B112" i="8"/>
  <c r="B136" i="8"/>
  <c r="EA42" i="7"/>
  <c r="EA127" i="7"/>
  <c r="EA145" i="7"/>
  <c r="B163" i="8"/>
  <c r="B160" i="8"/>
  <c r="B113" i="8"/>
  <c r="B145" i="8"/>
  <c r="EA46" i="7"/>
  <c r="EA74" i="7"/>
  <c r="EA125" i="7"/>
  <c r="B123" i="8"/>
  <c r="B232" i="8"/>
  <c r="B40" i="9" s="1"/>
  <c r="B303" i="8"/>
  <c r="EA50" i="7"/>
  <c r="EA109" i="7"/>
  <c r="B125" i="8"/>
  <c r="B120" i="8"/>
  <c r="B144" i="8"/>
  <c r="B121" i="8"/>
  <c r="B153" i="8"/>
  <c r="Q26" i="5"/>
  <c r="Q22" i="5"/>
  <c r="Y69" i="3" a="1"/>
  <c r="Y69" i="3" s="1"/>
  <c r="Y99" i="3" a="1"/>
  <c r="Y99" i="3" s="1"/>
  <c r="Y100" i="3" a="1"/>
  <c r="Y100" i="3" s="1"/>
  <c r="H7" i="8" a="1"/>
  <c r="H7" i="8" s="1"/>
  <c r="P4" i="9" s="1"/>
  <c r="DZ4" i="7"/>
  <c r="DZ67" i="7"/>
  <c r="DZ77" i="7"/>
  <c r="Q34" i="5" s="1"/>
  <c r="DZ83" i="7"/>
  <c r="Q38" i="5" s="1"/>
  <c r="DZ66" i="7"/>
  <c r="Q32" i="5" s="1"/>
  <c r="DZ146" i="7"/>
  <c r="DZ142" i="7"/>
  <c r="Q60" i="5" s="1"/>
  <c r="DZ104" i="7"/>
  <c r="Q47" i="5" s="1"/>
  <c r="DZ147" i="7"/>
  <c r="B79" i="8"/>
  <c r="B18" i="9" s="1"/>
  <c r="B84" i="8"/>
  <c r="B23" i="9" s="1"/>
  <c r="O53" i="8"/>
  <c r="J53" i="8"/>
  <c r="I77" i="8"/>
  <c r="O27" i="5"/>
  <c r="N69" i="5"/>
  <c r="N70" i="5" s="1"/>
  <c r="R24" i="5" l="1"/>
  <c r="J29" i="8"/>
  <c r="J28" i="8"/>
  <c r="I39" i="8"/>
  <c r="I41" i="8"/>
  <c r="I40" i="8"/>
  <c r="I38" i="8"/>
  <c r="I37" i="8"/>
  <c r="D82" i="5"/>
  <c r="C83" i="5"/>
  <c r="R52" i="5"/>
  <c r="I378" i="8"/>
  <c r="O378" i="8" s="1"/>
  <c r="I89" i="8"/>
  <c r="J89" i="8" s="1"/>
  <c r="J70" i="8"/>
  <c r="B21" i="9"/>
  <c r="B17" i="9"/>
  <c r="I50" i="8"/>
  <c r="O50" i="8" s="1"/>
  <c r="J72" i="8"/>
  <c r="O71" i="8"/>
  <c r="J73" i="8"/>
  <c r="N72" i="5"/>
  <c r="I107" i="8"/>
  <c r="I108" i="8"/>
  <c r="I109" i="8"/>
  <c r="I105" i="8"/>
  <c r="J377" i="8"/>
  <c r="O377" i="8"/>
  <c r="I104" i="8"/>
  <c r="I102" i="8"/>
  <c r="I103" i="8"/>
  <c r="I46" i="8"/>
  <c r="I36" i="8"/>
  <c r="I44" i="8"/>
  <c r="I58" i="8"/>
  <c r="I59" i="8"/>
  <c r="I24" i="8"/>
  <c r="I23" i="8"/>
  <c r="I32" i="8"/>
  <c r="I22" i="8"/>
  <c r="I42" i="8"/>
  <c r="I45" i="8"/>
  <c r="I84" i="8"/>
  <c r="I56" i="8"/>
  <c r="I35" i="8"/>
  <c r="I83" i="8"/>
  <c r="I25" i="8"/>
  <c r="I43" i="8"/>
  <c r="I34" i="8"/>
  <c r="I33" i="8"/>
  <c r="I55" i="8"/>
  <c r="I85" i="8"/>
  <c r="I57" i="8"/>
  <c r="I26" i="8"/>
  <c r="I86" i="8"/>
  <c r="I87" i="8"/>
  <c r="J52" i="8"/>
  <c r="O52" i="8"/>
  <c r="EA73" i="7"/>
  <c r="EA83" i="7"/>
  <c r="EA144" i="7"/>
  <c r="EA126" i="7"/>
  <c r="R56" i="5" s="1"/>
  <c r="EA134" i="7"/>
  <c r="B143" i="8"/>
  <c r="B154" i="8"/>
  <c r="B116" i="8"/>
  <c r="O75" i="8"/>
  <c r="J75" i="8"/>
  <c r="EA20" i="7"/>
  <c r="EA71" i="7"/>
  <c r="B139" i="8"/>
  <c r="EA41" i="7"/>
  <c r="EA4" i="7"/>
  <c r="EA8" i="7"/>
  <c r="EA38" i="7"/>
  <c r="EA30" i="7"/>
  <c r="EA27" i="7"/>
  <c r="EA49" i="7"/>
  <c r="R26" i="5" s="1"/>
  <c r="EA68" i="7"/>
  <c r="EA104" i="7"/>
  <c r="EA85" i="7"/>
  <c r="EA148" i="7"/>
  <c r="EA136" i="7"/>
  <c r="EA138" i="7"/>
  <c r="B151" i="8"/>
  <c r="B162" i="8"/>
  <c r="I168" i="8"/>
  <c r="I166" i="8"/>
  <c r="I167" i="8"/>
  <c r="I110" i="8"/>
  <c r="I80" i="8"/>
  <c r="Q14" i="5"/>
  <c r="Q71" i="5"/>
  <c r="B231" i="8"/>
  <c r="B219" i="8"/>
  <c r="B209" i="8"/>
  <c r="B174" i="8"/>
  <c r="B203" i="8"/>
  <c r="B193" i="8"/>
  <c r="B221" i="8"/>
  <c r="B178" i="8"/>
  <c r="EB146" i="7"/>
  <c r="EB140" i="7"/>
  <c r="EB128" i="7"/>
  <c r="S58" i="5" s="1"/>
  <c r="EB133" i="7"/>
  <c r="EB126" i="7"/>
  <c r="EB85" i="7"/>
  <c r="EB132" i="7"/>
  <c r="EB124" i="7"/>
  <c r="EB147" i="7"/>
  <c r="EB130" i="7"/>
  <c r="EB122" i="7"/>
  <c r="EB95" i="7"/>
  <c r="EB79" i="7"/>
  <c r="EB92" i="7"/>
  <c r="EB86" i="7"/>
  <c r="EB78" i="7"/>
  <c r="EB73" i="7"/>
  <c r="EB61" i="7"/>
  <c r="EB68" i="7"/>
  <c r="EB64" i="7"/>
  <c r="EB75" i="7"/>
  <c r="EB59" i="7"/>
  <c r="EB55" i="7"/>
  <c r="EB62" i="7"/>
  <c r="EB11" i="7"/>
  <c r="EB7" i="7"/>
  <c r="B13" i="6"/>
  <c r="C12" i="6"/>
  <c r="EB21" i="7"/>
  <c r="EB5" i="7"/>
  <c r="EB20" i="7"/>
  <c r="EB12" i="7"/>
  <c r="EB8" i="7"/>
  <c r="X140" i="3" a="1"/>
  <c r="X140" i="3" s="1"/>
  <c r="X144" i="3" a="1"/>
  <c r="X144" i="3" s="1"/>
  <c r="X141" i="3" a="1"/>
  <c r="X141" i="3" s="1"/>
  <c r="X143" i="3" a="1"/>
  <c r="X143" i="3" s="1"/>
  <c r="X142" i="3" a="1"/>
  <c r="X142" i="3" s="1"/>
  <c r="X47" i="3" a="1"/>
  <c r="X47" i="3" s="1"/>
  <c r="X136" i="3" a="1"/>
  <c r="X136" i="3" s="1"/>
  <c r="X234" i="3" a="1"/>
  <c r="X234" i="3" s="1"/>
  <c r="X137" i="3" a="1"/>
  <c r="X137" i="3" s="1"/>
  <c r="X49" i="3" a="1"/>
  <c r="X49" i="3" s="1"/>
  <c r="X235" i="3" a="1"/>
  <c r="X235" i="3" s="1"/>
  <c r="X138" i="3" a="1"/>
  <c r="X138" i="3" s="1"/>
  <c r="X132" i="3" a="1"/>
  <c r="X132" i="3" s="1"/>
  <c r="X139" i="3" a="1"/>
  <c r="X139" i="3" s="1"/>
  <c r="X127" i="3" a="1"/>
  <c r="X127" i="3" s="1"/>
  <c r="X125" i="3" a="1"/>
  <c r="X125" i="3" s="1"/>
  <c r="X35" i="3" a="1"/>
  <c r="X35" i="3" s="1"/>
  <c r="X48" i="3" a="1"/>
  <c r="X48" i="3" s="1"/>
  <c r="EB28" i="7"/>
  <c r="EB30" i="7"/>
  <c r="EB24" i="7"/>
  <c r="EB33" i="7"/>
  <c r="EB27" i="7"/>
  <c r="EB32" i="7"/>
  <c r="EB141" i="7"/>
  <c r="EB112" i="7"/>
  <c r="EB40" i="7"/>
  <c r="EB44" i="7"/>
  <c r="EB52" i="7"/>
  <c r="EB41" i="7"/>
  <c r="EB50" i="7"/>
  <c r="EB116" i="7"/>
  <c r="EB129" i="7"/>
  <c r="B179" i="8"/>
  <c r="B200" i="8"/>
  <c r="B230" i="8"/>
  <c r="EB36" i="7"/>
  <c r="EB35" i="7"/>
  <c r="EB76" i="7"/>
  <c r="EB46" i="7"/>
  <c r="EB117" i="7"/>
  <c r="EB115" i="7"/>
  <c r="EB18" i="7"/>
  <c r="EB39" i="7"/>
  <c r="EB47" i="7"/>
  <c r="EB51" i="7"/>
  <c r="EB29" i="7"/>
  <c r="EB14" i="7"/>
  <c r="EB94" i="7"/>
  <c r="EB97" i="7"/>
  <c r="B196" i="8"/>
  <c r="B205" i="8"/>
  <c r="B210" i="8"/>
  <c r="B301" i="8"/>
  <c r="B212" i="8"/>
  <c r="B191" i="8"/>
  <c r="B208" i="8"/>
  <c r="B197" i="8"/>
  <c r="EB123" i="7"/>
  <c r="B198" i="8"/>
  <c r="B190" i="8"/>
  <c r="B169" i="8"/>
  <c r="B468" i="8"/>
  <c r="EB131" i="7"/>
  <c r="B173" i="8"/>
  <c r="B202" i="8"/>
  <c r="B189" i="8"/>
  <c r="B204" i="8"/>
  <c r="B228" i="8"/>
  <c r="EB110" i="7"/>
  <c r="B214" i="8"/>
  <c r="B194" i="8"/>
  <c r="Y64" i="3" a="1"/>
  <c r="Y64" i="3" s="1"/>
  <c r="Y62" i="3" a="1"/>
  <c r="Y62" i="3" s="1"/>
  <c r="Y63" i="3" a="1"/>
  <c r="Y63" i="3" s="1"/>
  <c r="Y212" i="3" a="1"/>
  <c r="Y212" i="3" s="1"/>
  <c r="Y218" i="3" a="1"/>
  <c r="Y218" i="3" s="1"/>
  <c r="Y213" i="3" a="1"/>
  <c r="Y213" i="3" s="1"/>
  <c r="Y131" i="3" a="1"/>
  <c r="Y131" i="3" s="1"/>
  <c r="Y216" i="3" a="1"/>
  <c r="Y216" i="3" s="1"/>
  <c r="Y214" i="3" a="1"/>
  <c r="Y214" i="3" s="1"/>
  <c r="Y215" i="3" a="1"/>
  <c r="Y215" i="3" s="1"/>
  <c r="Y45" i="3" a="1"/>
  <c r="Y45" i="3" s="1"/>
  <c r="Y14" i="3" a="1"/>
  <c r="Y14" i="3" s="1"/>
  <c r="Y13" i="3" a="1"/>
  <c r="Y13" i="3" s="1"/>
  <c r="EA25" i="7"/>
  <c r="R18" i="5" s="1"/>
  <c r="EA75" i="7"/>
  <c r="EA77" i="7"/>
  <c r="EA43" i="7"/>
  <c r="EA89" i="7"/>
  <c r="EA132" i="7"/>
  <c r="EA128" i="7"/>
  <c r="R58" i="5" s="1"/>
  <c r="EA146" i="7"/>
  <c r="B114" i="8"/>
  <c r="B126" i="8"/>
  <c r="B140" i="8"/>
  <c r="I81" i="8"/>
  <c r="I82" i="8"/>
  <c r="R38" i="5"/>
  <c r="O76" i="8"/>
  <c r="J76" i="8"/>
  <c r="O77" i="8"/>
  <c r="J77" i="8"/>
  <c r="EA101" i="7"/>
  <c r="EA55" i="7"/>
  <c r="EA59" i="7"/>
  <c r="EA6" i="7"/>
  <c r="EA28" i="7"/>
  <c r="EA95" i="7"/>
  <c r="EA57" i="7"/>
  <c r="EA47" i="7"/>
  <c r="EA91" i="7"/>
  <c r="EA106" i="7"/>
  <c r="EA140" i="7"/>
  <c r="B111" i="8"/>
  <c r="B122" i="8"/>
  <c r="B134" i="8"/>
  <c r="B20" i="9" s="1"/>
  <c r="B148" i="8"/>
  <c r="V39" i="4"/>
  <c r="W39" i="4" s="1"/>
  <c r="X39" i="4" s="1"/>
  <c r="Y39" i="4" s="1"/>
  <c r="Z39" i="4" s="1"/>
  <c r="I375" i="8"/>
  <c r="I376" i="8"/>
  <c r="R62" i="5"/>
  <c r="G101" i="5"/>
  <c r="L101" i="5" s="1"/>
  <c r="L100" i="5"/>
  <c r="G102" i="5"/>
  <c r="Q64" i="5"/>
  <c r="EA86" i="7"/>
  <c r="EA94" i="7"/>
  <c r="EA88" i="7"/>
  <c r="EA10" i="7"/>
  <c r="EA40" i="7"/>
  <c r="EA98" i="7"/>
  <c r="EA61" i="7"/>
  <c r="EA51" i="7"/>
  <c r="EA93" i="7"/>
  <c r="EA110" i="7"/>
  <c r="EA108" i="7"/>
  <c r="B119" i="8"/>
  <c r="B130" i="8"/>
  <c r="B142" i="8"/>
  <c r="B235" i="8"/>
  <c r="P27" i="5"/>
  <c r="I48" i="8" s="1"/>
  <c r="O69" i="5"/>
  <c r="O70" i="5" s="1"/>
  <c r="EA107" i="7"/>
  <c r="EA16" i="7"/>
  <c r="EA13" i="7"/>
  <c r="EA111" i="7"/>
  <c r="EA76" i="7"/>
  <c r="EA135" i="7"/>
  <c r="EA78" i="7"/>
  <c r="EA34" i="7"/>
  <c r="R20" i="5" s="1"/>
  <c r="EA80" i="7"/>
  <c r="EA14" i="7"/>
  <c r="EA102" i="7"/>
  <c r="EA56" i="7"/>
  <c r="EA65" i="7"/>
  <c r="EA79" i="7"/>
  <c r="EA122" i="7"/>
  <c r="R54" i="5" s="1"/>
  <c r="EA114" i="7"/>
  <c r="EA112" i="7"/>
  <c r="B127" i="8"/>
  <c r="B138" i="8"/>
  <c r="B150" i="8"/>
  <c r="B233" i="8"/>
  <c r="O88" i="8"/>
  <c r="J88" i="8"/>
  <c r="I47" i="8"/>
  <c r="R32" i="5" l="1"/>
  <c r="R47" i="5"/>
  <c r="R16" i="5"/>
  <c r="I79" i="8" s="1"/>
  <c r="O79" i="8" s="1"/>
  <c r="I51" i="8"/>
  <c r="J37" i="8"/>
  <c r="O37" i="8"/>
  <c r="J38" i="8"/>
  <c r="O38" i="8"/>
  <c r="I49" i="8"/>
  <c r="J49" i="8" s="1"/>
  <c r="O40" i="8"/>
  <c r="J40" i="8"/>
  <c r="O41" i="8"/>
  <c r="J41" i="8"/>
  <c r="O39" i="8"/>
  <c r="J39" i="8"/>
  <c r="R64" i="5"/>
  <c r="R60" i="5"/>
  <c r="J378" i="8"/>
  <c r="R30" i="5"/>
  <c r="D83" i="5"/>
  <c r="C84" i="5"/>
  <c r="R45" i="5"/>
  <c r="I157" i="8" s="1"/>
  <c r="I63" i="9" s="1"/>
  <c r="O89" i="8"/>
  <c r="I68" i="8"/>
  <c r="I90" i="8"/>
  <c r="J90" i="8" s="1"/>
  <c r="J50" i="8"/>
  <c r="O72" i="5"/>
  <c r="N73" i="5"/>
  <c r="R34" i="5"/>
  <c r="I163" i="8" s="1"/>
  <c r="I69" i="9" s="1"/>
  <c r="I138" i="8"/>
  <c r="I137" i="8"/>
  <c r="I156" i="8"/>
  <c r="I62" i="9" s="1"/>
  <c r="I158" i="8"/>
  <c r="I64" i="9" s="1"/>
  <c r="I134" i="8"/>
  <c r="I133" i="8"/>
  <c r="I165" i="8"/>
  <c r="I71" i="9" s="1"/>
  <c r="I234" i="8"/>
  <c r="I74" i="9" s="1"/>
  <c r="I235" i="8"/>
  <c r="I75" i="9" s="1"/>
  <c r="I233" i="8"/>
  <c r="I73" i="9" s="1"/>
  <c r="I232" i="8"/>
  <c r="I72" i="9" s="1"/>
  <c r="G103" i="5"/>
  <c r="L102" i="5"/>
  <c r="O84" i="8"/>
  <c r="J84" i="8"/>
  <c r="Y33" i="3" a="1"/>
  <c r="Y33" i="3" s="1"/>
  <c r="Y219" i="3" a="1"/>
  <c r="Y219" i="3" s="1"/>
  <c r="EB66" i="7"/>
  <c r="EB56" i="7"/>
  <c r="EB65" i="7"/>
  <c r="EB88" i="7"/>
  <c r="EB100" i="7"/>
  <c r="EB145" i="7"/>
  <c r="EB89" i="7"/>
  <c r="EB134" i="7"/>
  <c r="B186" i="8"/>
  <c r="B213" i="8"/>
  <c r="B215" i="8"/>
  <c r="B302" i="8"/>
  <c r="O80" i="8"/>
  <c r="J80" i="8"/>
  <c r="J103" i="8"/>
  <c r="O103" i="8"/>
  <c r="O105" i="8"/>
  <c r="J105" i="8"/>
  <c r="O81" i="8"/>
  <c r="J81" i="8"/>
  <c r="B185" i="8"/>
  <c r="B184" i="8"/>
  <c r="EB119" i="7"/>
  <c r="B176" i="8"/>
  <c r="EB111" i="7"/>
  <c r="B216" i="8"/>
  <c r="EB34" i="7"/>
  <c r="S20" i="5" s="1"/>
  <c r="EB43" i="7"/>
  <c r="EB109" i="7"/>
  <c r="EB26" i="7"/>
  <c r="EB121" i="7"/>
  <c r="EB48" i="7"/>
  <c r="EB31" i="7"/>
  <c r="EB10" i="7"/>
  <c r="EB16" i="7"/>
  <c r="B286" i="8"/>
  <c r="B278" i="8"/>
  <c r="B291" i="8"/>
  <c r="B283" i="8"/>
  <c r="B275" i="8"/>
  <c r="B276" i="8"/>
  <c r="B256" i="8"/>
  <c r="B247" i="8"/>
  <c r="B239" i="8"/>
  <c r="B249" i="8"/>
  <c r="B267" i="8"/>
  <c r="B268" i="8"/>
  <c r="B260" i="8"/>
  <c r="B259" i="8"/>
  <c r="B251" i="8"/>
  <c r="B243" i="8"/>
  <c r="B262" i="8"/>
  <c r="B257" i="8"/>
  <c r="B253" i="8"/>
  <c r="B245" i="8"/>
  <c r="B237" i="8"/>
  <c r="EC119" i="7"/>
  <c r="EC107" i="7"/>
  <c r="EC143" i="7"/>
  <c r="EC139" i="7"/>
  <c r="EC147" i="7"/>
  <c r="EC135" i="7"/>
  <c r="EC127" i="7"/>
  <c r="EC108" i="7"/>
  <c r="EC104" i="7"/>
  <c r="EC100" i="7"/>
  <c r="EC99" i="7"/>
  <c r="EC74" i="7"/>
  <c r="EC72" i="7"/>
  <c r="EC60" i="7"/>
  <c r="EC56" i="7"/>
  <c r="EC103" i="7"/>
  <c r="EC52" i="7"/>
  <c r="EC48" i="7"/>
  <c r="EC44" i="7"/>
  <c r="EC73" i="7"/>
  <c r="EC22" i="7"/>
  <c r="EC18" i="7"/>
  <c r="EC14" i="7"/>
  <c r="EC10" i="7"/>
  <c r="EC6" i="7"/>
  <c r="EC17" i="7"/>
  <c r="EC13" i="7"/>
  <c r="EC9" i="7"/>
  <c r="EC5" i="7"/>
  <c r="EC26" i="7"/>
  <c r="EC39" i="7"/>
  <c r="B14" i="6"/>
  <c r="C13" i="6"/>
  <c r="B299" i="8" s="1"/>
  <c r="X70" i="3" a="1"/>
  <c r="X70" i="3" s="1"/>
  <c r="EC33" i="7"/>
  <c r="EC57" i="7"/>
  <c r="EC50" i="7"/>
  <c r="EC34" i="7"/>
  <c r="EC97" i="7"/>
  <c r="EC27" i="7"/>
  <c r="EC69" i="7"/>
  <c r="EC25" i="7"/>
  <c r="EC28" i="7"/>
  <c r="EC82" i="7"/>
  <c r="EC24" i="7"/>
  <c r="EC70" i="7"/>
  <c r="EC67" i="7"/>
  <c r="EC94" i="7"/>
  <c r="EC137" i="7"/>
  <c r="EC75" i="7"/>
  <c r="EC83" i="7"/>
  <c r="EC91" i="7"/>
  <c r="EC109" i="7"/>
  <c r="EC133" i="7"/>
  <c r="EC146" i="7"/>
  <c r="B281" i="8"/>
  <c r="B263" i="8"/>
  <c r="B269" i="8"/>
  <c r="EC66" i="7"/>
  <c r="EC105" i="7"/>
  <c r="EC19" i="7"/>
  <c r="EC38" i="7"/>
  <c r="EC78" i="7"/>
  <c r="EC4" i="7"/>
  <c r="EC8" i="7"/>
  <c r="EC12" i="7"/>
  <c r="EC16" i="7"/>
  <c r="EC29" i="7"/>
  <c r="EC37" i="7"/>
  <c r="EC84" i="7"/>
  <c r="EC90" i="7"/>
  <c r="EC80" i="7"/>
  <c r="EC65" i="7"/>
  <c r="EC42" i="7"/>
  <c r="EC102" i="7"/>
  <c r="EC110" i="7"/>
  <c r="EC120" i="7"/>
  <c r="EC15" i="7"/>
  <c r="EC86" i="7"/>
  <c r="EC92" i="7"/>
  <c r="EC88" i="7"/>
  <c r="EC47" i="7"/>
  <c r="EC51" i="7"/>
  <c r="EC62" i="7"/>
  <c r="EC122" i="7"/>
  <c r="EC130" i="7"/>
  <c r="EC142" i="7"/>
  <c r="EC36" i="7"/>
  <c r="EC11" i="7"/>
  <c r="EC30" i="7"/>
  <c r="EC61" i="7"/>
  <c r="EC58" i="7"/>
  <c r="EC101" i="7"/>
  <c r="EC46" i="7"/>
  <c r="EC32" i="7"/>
  <c r="EC7" i="7"/>
  <c r="EC54" i="7"/>
  <c r="EC55" i="7"/>
  <c r="EC63" i="7"/>
  <c r="EC71" i="7"/>
  <c r="EC41" i="7"/>
  <c r="EC45" i="7"/>
  <c r="EC49" i="7"/>
  <c r="EC53" i="7"/>
  <c r="EC79" i="7"/>
  <c r="EC87" i="7"/>
  <c r="EC95" i="7"/>
  <c r="EC113" i="7"/>
  <c r="EC114" i="7"/>
  <c r="EC148" i="7"/>
  <c r="B288" i="8"/>
  <c r="B265" i="8"/>
  <c r="B584" i="8"/>
  <c r="EC81" i="7"/>
  <c r="B246" i="8"/>
  <c r="B297" i="8"/>
  <c r="EC121" i="7"/>
  <c r="EC89" i="7"/>
  <c r="EC124" i="7"/>
  <c r="B280" i="8"/>
  <c r="B240" i="8"/>
  <c r="B258" i="8"/>
  <c r="B279" i="8"/>
  <c r="B244" i="8"/>
  <c r="B287" i="8"/>
  <c r="B274" i="8"/>
  <c r="B298" i="8"/>
  <c r="B285" i="8"/>
  <c r="EC145" i="7"/>
  <c r="EC118" i="7"/>
  <c r="EC134" i="7"/>
  <c r="EC140" i="7"/>
  <c r="B266" i="8"/>
  <c r="EC93" i="7"/>
  <c r="EC131" i="7"/>
  <c r="EC128" i="7"/>
  <c r="EC144" i="7"/>
  <c r="B254" i="8"/>
  <c r="B296" i="8"/>
  <c r="B261" i="8"/>
  <c r="B509" i="8"/>
  <c r="EC125" i="7"/>
  <c r="B238" i="8"/>
  <c r="B252" i="8"/>
  <c r="B282" i="8"/>
  <c r="B293" i="8"/>
  <c r="EC98" i="7"/>
  <c r="EC126" i="7"/>
  <c r="EC138" i="7"/>
  <c r="EC132" i="7"/>
  <c r="B248" i="8"/>
  <c r="B273" i="8"/>
  <c r="B289" i="8"/>
  <c r="EC141" i="7"/>
  <c r="EC77" i="7"/>
  <c r="EC106" i="7"/>
  <c r="EC123" i="7"/>
  <c r="EC136" i="7"/>
  <c r="B250" i="8"/>
  <c r="B242" i="8"/>
  <c r="B295" i="8"/>
  <c r="B255" i="8"/>
  <c r="B290" i="8"/>
  <c r="B277" i="8"/>
  <c r="EB70" i="7"/>
  <c r="EB60" i="7"/>
  <c r="EB69" i="7"/>
  <c r="EB90" i="7"/>
  <c r="EB104" i="7"/>
  <c r="EB148" i="7"/>
  <c r="S64" i="5" s="1"/>
  <c r="EB93" i="7"/>
  <c r="EB137" i="7"/>
  <c r="B207" i="8"/>
  <c r="B217" i="8"/>
  <c r="B229" i="8"/>
  <c r="B467" i="8"/>
  <c r="O110" i="8"/>
  <c r="J110" i="8"/>
  <c r="J87" i="8"/>
  <c r="O87" i="8"/>
  <c r="O35" i="8"/>
  <c r="J35" i="8"/>
  <c r="J22" i="8"/>
  <c r="O22" i="8"/>
  <c r="O109" i="8"/>
  <c r="J109" i="8"/>
  <c r="I144" i="8"/>
  <c r="I50" i="9" s="1"/>
  <c r="I145" i="8"/>
  <c r="I51" i="9" s="1"/>
  <c r="O47" i="8"/>
  <c r="J47" i="8"/>
  <c r="B225" i="8"/>
  <c r="B211" i="8"/>
  <c r="R22" i="5"/>
  <c r="J86" i="8"/>
  <c r="O86" i="8"/>
  <c r="J85" i="8"/>
  <c r="O85" i="8"/>
  <c r="O34" i="8"/>
  <c r="J34" i="8"/>
  <c r="O32" i="8"/>
  <c r="J32" i="8"/>
  <c r="J167" i="8"/>
  <c r="O167" i="8"/>
  <c r="O26" i="8"/>
  <c r="J26" i="8"/>
  <c r="O55" i="8"/>
  <c r="J55" i="8"/>
  <c r="O43" i="8"/>
  <c r="J43" i="8"/>
  <c r="O45" i="8"/>
  <c r="J45" i="8"/>
  <c r="O58" i="8"/>
  <c r="J58" i="8"/>
  <c r="O102" i="8"/>
  <c r="J102" i="8"/>
  <c r="B192" i="8"/>
  <c r="B226" i="8"/>
  <c r="B171" i="8"/>
  <c r="EB113" i="7"/>
  <c r="B206" i="8"/>
  <c r="EB102" i="7"/>
  <c r="EB106" i="7"/>
  <c r="EB37" i="7"/>
  <c r="EB22" i="7"/>
  <c r="B181" i="8"/>
  <c r="EB53" i="7"/>
  <c r="EB54" i="7"/>
  <c r="EB6" i="7"/>
  <c r="EB9" i="7"/>
  <c r="EB15" i="7"/>
  <c r="EB63" i="7"/>
  <c r="EB72" i="7"/>
  <c r="EB80" i="7"/>
  <c r="EB83" i="7"/>
  <c r="EB135" i="7"/>
  <c r="EB139" i="7"/>
  <c r="EB136" i="7"/>
  <c r="B175" i="8"/>
  <c r="B195" i="8"/>
  <c r="B182" i="8"/>
  <c r="B227" i="8"/>
  <c r="O166" i="8"/>
  <c r="J166" i="8"/>
  <c r="R40" i="5"/>
  <c r="R71" i="5"/>
  <c r="D10" i="8" s="1" a="1"/>
  <c r="D10" i="8" s="1"/>
  <c r="D13" i="9" s="1"/>
  <c r="R14" i="5"/>
  <c r="O33" i="8"/>
  <c r="J33" i="8"/>
  <c r="O25" i="8"/>
  <c r="J25" i="8"/>
  <c r="O44" i="8"/>
  <c r="J44" i="8"/>
  <c r="O104" i="8"/>
  <c r="J104" i="8"/>
  <c r="J82" i="8"/>
  <c r="O82" i="8"/>
  <c r="R36" i="5"/>
  <c r="Q27" i="5"/>
  <c r="I78" i="8" s="1"/>
  <c r="P69" i="5"/>
  <c r="P70" i="5" s="1"/>
  <c r="O376" i="8"/>
  <c r="J376" i="8"/>
  <c r="B172" i="8"/>
  <c r="B177" i="8"/>
  <c r="EB114" i="7"/>
  <c r="EB108" i="7"/>
  <c r="EB118" i="7"/>
  <c r="EB74" i="7"/>
  <c r="EB105" i="7"/>
  <c r="EB38" i="7"/>
  <c r="EB125" i="7"/>
  <c r="B218" i="8"/>
  <c r="EB49" i="7"/>
  <c r="S26" i="5" s="1"/>
  <c r="I195" i="8" s="1"/>
  <c r="EB103" i="7"/>
  <c r="EB23" i="7"/>
  <c r="EB13" i="7"/>
  <c r="EB19" i="7"/>
  <c r="EB67" i="7"/>
  <c r="EB77" i="7"/>
  <c r="EB82" i="7"/>
  <c r="S38" i="5" s="1"/>
  <c r="EB87" i="7"/>
  <c r="S40" i="5" s="1"/>
  <c r="EB138" i="7"/>
  <c r="EB142" i="7"/>
  <c r="EB143" i="7"/>
  <c r="B183" i="8"/>
  <c r="B199" i="8"/>
  <c r="B180" i="8"/>
  <c r="B300" i="8"/>
  <c r="O168" i="8"/>
  <c r="J168" i="8"/>
  <c r="O57" i="8"/>
  <c r="J57" i="8"/>
  <c r="O83" i="8"/>
  <c r="J83" i="8"/>
  <c r="O56" i="8"/>
  <c r="J56" i="8"/>
  <c r="J24" i="8"/>
  <c r="O24" i="8"/>
  <c r="O36" i="8"/>
  <c r="J36" i="8"/>
  <c r="O107" i="8"/>
  <c r="J107" i="8"/>
  <c r="R49" i="5"/>
  <c r="R42" i="5"/>
  <c r="O48" i="8"/>
  <c r="J48" i="8"/>
  <c r="R28" i="5"/>
  <c r="O375" i="8"/>
  <c r="J375" i="8"/>
  <c r="EB107" i="7"/>
  <c r="B220" i="8"/>
  <c r="B222" i="8"/>
  <c r="B224" i="8"/>
  <c r="B544" i="8"/>
  <c r="EB42" i="7"/>
  <c r="EB99" i="7"/>
  <c r="EB25" i="7"/>
  <c r="EB98" i="7"/>
  <c r="B187" i="8"/>
  <c r="EB45" i="7"/>
  <c r="S24" i="5" s="1"/>
  <c r="EB127" i="7"/>
  <c r="S56" i="5" s="1"/>
  <c r="EB101" i="7"/>
  <c r="EB4" i="7"/>
  <c r="EB17" i="7"/>
  <c r="EB58" i="7"/>
  <c r="EB71" i="7"/>
  <c r="EB57" i="7"/>
  <c r="EB84" i="7"/>
  <c r="EB91" i="7"/>
  <c r="EB144" i="7"/>
  <c r="EB81" i="7"/>
  <c r="EB120" i="7"/>
  <c r="B170" i="8"/>
  <c r="B201" i="8"/>
  <c r="B188" i="8"/>
  <c r="B223" i="8"/>
  <c r="O42" i="8"/>
  <c r="J42" i="8"/>
  <c r="O23" i="8"/>
  <c r="J23" i="8"/>
  <c r="O59" i="8"/>
  <c r="J59" i="8"/>
  <c r="J46" i="8"/>
  <c r="O46" i="8"/>
  <c r="O108" i="8"/>
  <c r="J108" i="8"/>
  <c r="S60" i="5" l="1"/>
  <c r="J79" i="8"/>
  <c r="T26" i="5"/>
  <c r="O49" i="8"/>
  <c r="J78" i="8"/>
  <c r="O78" i="8"/>
  <c r="O51" i="8"/>
  <c r="J51" i="8"/>
  <c r="S28" i="5"/>
  <c r="I199" i="8" s="1"/>
  <c r="S36" i="5"/>
  <c r="S30" i="5"/>
  <c r="I202" i="8" s="1"/>
  <c r="O202" i="8" s="1"/>
  <c r="T30" i="5"/>
  <c r="S52" i="5"/>
  <c r="C85" i="5"/>
  <c r="D84" i="5"/>
  <c r="I135" i="8"/>
  <c r="I136" i="8"/>
  <c r="S45" i="5"/>
  <c r="I43" i="9"/>
  <c r="I161" i="8"/>
  <c r="I67" i="9" s="1"/>
  <c r="I159" i="8"/>
  <c r="I65" i="9" s="1"/>
  <c r="I162" i="8"/>
  <c r="I68" i="9" s="1"/>
  <c r="O68" i="8"/>
  <c r="J68" i="8"/>
  <c r="O90" i="8"/>
  <c r="I32" i="9"/>
  <c r="I21" i="9"/>
  <c r="I42" i="9"/>
  <c r="I33" i="9"/>
  <c r="I24" i="9"/>
  <c r="I22" i="9"/>
  <c r="I38" i="9"/>
  <c r="I31" i="9"/>
  <c r="I30" i="9"/>
  <c r="I41" i="9"/>
  <c r="I34" i="9"/>
  <c r="I39" i="9"/>
  <c r="I40" i="9"/>
  <c r="P72" i="5"/>
  <c r="O73" i="5"/>
  <c r="T56" i="5"/>
  <c r="S49" i="5"/>
  <c r="I23" i="9"/>
  <c r="S32" i="5"/>
  <c r="I271" i="8"/>
  <c r="O271" i="8" s="1"/>
  <c r="I194" i="8"/>
  <c r="I192" i="8"/>
  <c r="I193" i="8"/>
  <c r="I191" i="8"/>
  <c r="S16" i="5"/>
  <c r="O235" i="8"/>
  <c r="J235" i="8"/>
  <c r="J75" i="9" s="1"/>
  <c r="O133" i="8"/>
  <c r="J133" i="8"/>
  <c r="O158" i="8"/>
  <c r="J158" i="8"/>
  <c r="J64" i="9" s="1"/>
  <c r="T54" i="5"/>
  <c r="T60" i="5"/>
  <c r="T38" i="5"/>
  <c r="O134" i="8"/>
  <c r="J134" i="8"/>
  <c r="I263" i="8"/>
  <c r="I262" i="8"/>
  <c r="I264" i="8"/>
  <c r="I201" i="8"/>
  <c r="I142" i="8"/>
  <c r="I28" i="9" s="1"/>
  <c r="I198" i="8"/>
  <c r="I141" i="8"/>
  <c r="I200" i="8"/>
  <c r="I139" i="8"/>
  <c r="I25" i="9" s="1"/>
  <c r="I140" i="8"/>
  <c r="I143" i="8"/>
  <c r="I49" i="9" s="1"/>
  <c r="S22" i="5"/>
  <c r="T14" i="5"/>
  <c r="B271" i="8"/>
  <c r="I196" i="8"/>
  <c r="J195" i="8"/>
  <c r="O195" i="8"/>
  <c r="T62" i="5"/>
  <c r="S54" i="5"/>
  <c r="O232" i="8"/>
  <c r="J232" i="8"/>
  <c r="J72" i="9" s="1"/>
  <c r="O234" i="8"/>
  <c r="J234" i="8"/>
  <c r="J74" i="9" s="1"/>
  <c r="O137" i="8"/>
  <c r="J137" i="8"/>
  <c r="S34" i="5"/>
  <c r="O145" i="8"/>
  <c r="J145" i="8"/>
  <c r="J51" i="9" s="1"/>
  <c r="O144" i="8"/>
  <c r="J144" i="8"/>
  <c r="J50" i="9" s="1"/>
  <c r="T28" i="5"/>
  <c r="T64" i="5"/>
  <c r="O165" i="8"/>
  <c r="J165" i="8"/>
  <c r="J71" i="9" s="1"/>
  <c r="S62" i="5"/>
  <c r="S47" i="5"/>
  <c r="I222" i="8" s="1"/>
  <c r="T36" i="5"/>
  <c r="T47" i="5"/>
  <c r="Y68" i="3" a="1"/>
  <c r="Y68" i="3" s="1"/>
  <c r="Y46" i="3" a="1"/>
  <c r="Y46" i="3" s="1"/>
  <c r="Y39" i="3" a="1"/>
  <c r="Y39" i="3" s="1"/>
  <c r="Y233" i="3" a="1"/>
  <c r="Y233" i="3" s="1"/>
  <c r="Y42" i="3" a="1"/>
  <c r="Y42" i="3" s="1"/>
  <c r="Y40" i="3" a="1"/>
  <c r="Y40" i="3" s="1"/>
  <c r="Y32" i="3" a="1"/>
  <c r="Y32" i="3" s="1"/>
  <c r="Y41" i="3" a="1"/>
  <c r="Y41" i="3" s="1"/>
  <c r="Y132" i="3" a="1"/>
  <c r="Y132" i="3" s="1"/>
  <c r="Y225" i="3" a="1"/>
  <c r="Y225" i="3" s="1"/>
  <c r="Y220" i="3" a="1"/>
  <c r="Y220" i="3" s="1"/>
  <c r="Y35" i="3" a="1"/>
  <c r="Y35" i="3" s="1"/>
  <c r="Y223" i="3" a="1"/>
  <c r="Y223" i="3" s="1"/>
  <c r="Y221" i="3" a="1"/>
  <c r="Y221" i="3" s="1"/>
  <c r="Y36" i="3" a="1"/>
  <c r="Y36" i="3" s="1"/>
  <c r="Y222" i="3" a="1"/>
  <c r="Y222" i="3" s="1"/>
  <c r="Y37" i="3" a="1"/>
  <c r="Y37" i="3" s="1"/>
  <c r="Y38" i="3" a="1"/>
  <c r="Y38" i="3" s="1"/>
  <c r="Y34" i="3" a="1"/>
  <c r="Y34" i="3" s="1"/>
  <c r="EC21" i="7"/>
  <c r="EC76" i="7"/>
  <c r="T34" i="5" s="1"/>
  <c r="EC64" i="7"/>
  <c r="EC112" i="7"/>
  <c r="EC111" i="7"/>
  <c r="B270" i="8"/>
  <c r="B292" i="8"/>
  <c r="B264" i="8"/>
  <c r="B294" i="8"/>
  <c r="O138" i="8"/>
  <c r="J138" i="8"/>
  <c r="S71" i="5"/>
  <c r="S14" i="5"/>
  <c r="S18" i="5"/>
  <c r="R27" i="5"/>
  <c r="I111" i="8" s="1"/>
  <c r="I17" i="9" s="1"/>
  <c r="Q69" i="5"/>
  <c r="I236" i="8" s="1"/>
  <c r="I203" i="8"/>
  <c r="EC31" i="7"/>
  <c r="EC43" i="7"/>
  <c r="EC85" i="7"/>
  <c r="T40" i="5" s="1"/>
  <c r="EC20" i="7"/>
  <c r="EC129" i="7"/>
  <c r="T58" i="5" s="1"/>
  <c r="EC117" i="7"/>
  <c r="T52" i="5" s="1"/>
  <c r="EC59" i="7"/>
  <c r="EC23" i="7"/>
  <c r="T18" i="5" s="1"/>
  <c r="B356" i="8"/>
  <c r="B312" i="8"/>
  <c r="B314" i="8"/>
  <c r="B15" i="6"/>
  <c r="C14" i="6"/>
  <c r="B346" i="8" s="1"/>
  <c r="X237" i="3" a="1"/>
  <c r="X237" i="3" s="1"/>
  <c r="X196" i="3" a="1"/>
  <c r="X196" i="3" s="1"/>
  <c r="X167" i="3" a="1"/>
  <c r="X167" i="3" s="1"/>
  <c r="X168" i="3" a="1"/>
  <c r="X168" i="3" s="1"/>
  <c r="X197" i="3" a="1"/>
  <c r="X197" i="3" s="1"/>
  <c r="X193" i="3" a="1"/>
  <c r="X193" i="3" s="1"/>
  <c r="X175" i="3" a="1"/>
  <c r="X175" i="3" s="1"/>
  <c r="X169" i="3" a="1"/>
  <c r="X169" i="3" s="1"/>
  <c r="X248" i="3" a="1"/>
  <c r="X248" i="3" s="1"/>
  <c r="X201" i="3" a="1"/>
  <c r="X201" i="3" s="1"/>
  <c r="X198" i="3" a="1"/>
  <c r="X198" i="3" s="1"/>
  <c r="X194" i="3" a="1"/>
  <c r="X194" i="3" s="1"/>
  <c r="X178" i="3" a="1"/>
  <c r="X178" i="3" s="1"/>
  <c r="X177" i="3" a="1"/>
  <c r="X177" i="3" s="1"/>
  <c r="X176" i="3" a="1"/>
  <c r="X176" i="3" s="1"/>
  <c r="X170" i="3" a="1"/>
  <c r="X170" i="3" s="1"/>
  <c r="X71" i="3" a="1"/>
  <c r="X71" i="3" s="1"/>
  <c r="X251" i="3" a="1"/>
  <c r="X251" i="3" s="1"/>
  <c r="X249" i="3" a="1"/>
  <c r="X249" i="3" s="1"/>
  <c r="X202" i="3" a="1"/>
  <c r="X202" i="3" s="1"/>
  <c r="X199" i="3" a="1"/>
  <c r="X199" i="3" s="1"/>
  <c r="X195" i="3" a="1"/>
  <c r="X195" i="3" s="1"/>
  <c r="X179" i="3" a="1"/>
  <c r="X179" i="3" s="1"/>
  <c r="X171" i="3" a="1"/>
  <c r="X171" i="3" s="1"/>
  <c r="X26" i="3" a="1"/>
  <c r="X26" i="3" s="1"/>
  <c r="X250" i="3" a="1"/>
  <c r="X250" i="3" s="1"/>
  <c r="X236" i="3" a="1"/>
  <c r="X236" i="3" s="1"/>
  <c r="X203" i="3" a="1"/>
  <c r="X203" i="3" s="1"/>
  <c r="ED22" i="7"/>
  <c r="ED84" i="7"/>
  <c r="ED47" i="7"/>
  <c r="X172" i="3" a="1"/>
  <c r="X172" i="3" s="1"/>
  <c r="B350" i="8"/>
  <c r="X204" i="3" a="1"/>
  <c r="X204" i="3" s="1"/>
  <c r="ED46" i="7"/>
  <c r="X180" i="3" a="1"/>
  <c r="X180" i="3" s="1"/>
  <c r="ED41" i="7"/>
  <c r="ED107" i="7"/>
  <c r="B328" i="8"/>
  <c r="B357" i="8"/>
  <c r="B343" i="8"/>
  <c r="B310" i="8"/>
  <c r="EC35" i="7"/>
  <c r="T20" i="5" s="1"/>
  <c r="EC40" i="7"/>
  <c r="T22" i="5" s="1"/>
  <c r="EC68" i="7"/>
  <c r="EC116" i="7"/>
  <c r="EC115" i="7"/>
  <c r="B284" i="8"/>
  <c r="B241" i="8"/>
  <c r="B272" i="8"/>
  <c r="B508" i="8"/>
  <c r="S42" i="5"/>
  <c r="I227" i="8" s="1"/>
  <c r="O163" i="8"/>
  <c r="J163" i="8"/>
  <c r="J69" i="9" s="1"/>
  <c r="O233" i="8"/>
  <c r="J233" i="8"/>
  <c r="J73" i="9" s="1"/>
  <c r="O156" i="8"/>
  <c r="J156" i="8"/>
  <c r="J62" i="9" s="1"/>
  <c r="T42" i="5"/>
  <c r="T45" i="5"/>
  <c r="T24" i="5"/>
  <c r="G104" i="5"/>
  <c r="L103" i="5"/>
  <c r="O157" i="8"/>
  <c r="J157" i="8"/>
  <c r="J63" i="9" s="1"/>
  <c r="T32" i="5" l="1"/>
  <c r="O222" i="8"/>
  <c r="J222" i="8"/>
  <c r="I290" i="8"/>
  <c r="O290" i="8" s="1"/>
  <c r="O236" i="8"/>
  <c r="J236" i="8"/>
  <c r="I379" i="8"/>
  <c r="I197" i="8"/>
  <c r="O197" i="8" s="1"/>
  <c r="I299" i="8"/>
  <c r="O299" i="8" s="1"/>
  <c r="I270" i="8"/>
  <c r="O270" i="8" s="1"/>
  <c r="J202" i="8"/>
  <c r="O161" i="8"/>
  <c r="J159" i="8"/>
  <c r="J65" i="9" s="1"/>
  <c r="C86" i="5"/>
  <c r="D85" i="5"/>
  <c r="I125" i="8"/>
  <c r="O136" i="8"/>
  <c r="J136" i="8"/>
  <c r="J135" i="8"/>
  <c r="O135" i="8"/>
  <c r="O162" i="8"/>
  <c r="I118" i="8"/>
  <c r="I121" i="8"/>
  <c r="I117" i="8"/>
  <c r="I114" i="8"/>
  <c r="I112" i="8"/>
  <c r="I115" i="8"/>
  <c r="I116" i="8"/>
  <c r="I113" i="8"/>
  <c r="O159" i="8"/>
  <c r="J162" i="8"/>
  <c r="J68" i="9" s="1"/>
  <c r="J161" i="8"/>
  <c r="J67" i="9" s="1"/>
  <c r="I35" i="9"/>
  <c r="I36" i="9"/>
  <c r="I37" i="9"/>
  <c r="J22" i="9"/>
  <c r="I74" i="8"/>
  <c r="I99" i="8"/>
  <c r="I60" i="8"/>
  <c r="I98" i="8"/>
  <c r="I69" i="8"/>
  <c r="I91" i="8"/>
  <c r="I146" i="8"/>
  <c r="I97" i="8"/>
  <c r="I101" i="8"/>
  <c r="I65" i="8"/>
  <c r="I154" i="8"/>
  <c r="I66" i="8"/>
  <c r="I62" i="8"/>
  <c r="I100" i="8"/>
  <c r="I147" i="8"/>
  <c r="I63" i="8"/>
  <c r="I67" i="8"/>
  <c r="I64" i="8"/>
  <c r="I61" i="8"/>
  <c r="I94" i="8"/>
  <c r="J43" i="9"/>
  <c r="J21" i="9"/>
  <c r="J34" i="9"/>
  <c r="J41" i="9"/>
  <c r="J24" i="9"/>
  <c r="I27" i="9"/>
  <c r="J31" i="9"/>
  <c r="J33" i="9"/>
  <c r="J30" i="9"/>
  <c r="I29" i="9"/>
  <c r="J23" i="9"/>
  <c r="J32" i="9"/>
  <c r="J39" i="9"/>
  <c r="J38" i="9"/>
  <c r="J42" i="9"/>
  <c r="I20" i="9"/>
  <c r="I26" i="9"/>
  <c r="J40" i="9"/>
  <c r="P73" i="5"/>
  <c r="Q72" i="5"/>
  <c r="J271" i="8"/>
  <c r="I216" i="8"/>
  <c r="O216" i="8" s="1"/>
  <c r="I215" i="8"/>
  <c r="J215" i="8" s="1"/>
  <c r="I214" i="8"/>
  <c r="J214" i="8" s="1"/>
  <c r="T49" i="5"/>
  <c r="I223" i="8" s="1"/>
  <c r="O223" i="8" s="1"/>
  <c r="O71" i="9" s="1"/>
  <c r="T71" i="5"/>
  <c r="O227" i="8"/>
  <c r="O75" i="9" s="1"/>
  <c r="J227" i="8"/>
  <c r="I259" i="8"/>
  <c r="I258" i="8"/>
  <c r="I261" i="8"/>
  <c r="I260" i="8"/>
  <c r="I283" i="8"/>
  <c r="I284" i="8"/>
  <c r="I282" i="8"/>
  <c r="I288" i="8"/>
  <c r="I289" i="8"/>
  <c r="I287" i="8"/>
  <c r="I285" i="8"/>
  <c r="B546" i="8"/>
  <c r="B351" i="8"/>
  <c r="B326" i="8"/>
  <c r="B342" i="8"/>
  <c r="B369" i="8"/>
  <c r="B45" i="9" s="1"/>
  <c r="ED15" i="7"/>
  <c r="ED30" i="7"/>
  <c r="ED88" i="7"/>
  <c r="ED28" i="7"/>
  <c r="ED54" i="7"/>
  <c r="ED145" i="7"/>
  <c r="ED44" i="7"/>
  <c r="ED5" i="7"/>
  <c r="ED35" i="7"/>
  <c r="ED16" i="7"/>
  <c r="ED81" i="7"/>
  <c r="ED65" i="7"/>
  <c r="ED55" i="7"/>
  <c r="ED64" i="7"/>
  <c r="ED104" i="7"/>
  <c r="ED146" i="7"/>
  <c r="ED139" i="7"/>
  <c r="ED126" i="7"/>
  <c r="B313" i="8"/>
  <c r="B307" i="8"/>
  <c r="B380" i="8"/>
  <c r="B348" i="8"/>
  <c r="B330" i="8"/>
  <c r="I229" i="8"/>
  <c r="I221" i="8"/>
  <c r="I219" i="8"/>
  <c r="I220" i="8"/>
  <c r="I217" i="8"/>
  <c r="O139" i="8"/>
  <c r="J139" i="8"/>
  <c r="J25" i="9" s="1"/>
  <c r="O141" i="8"/>
  <c r="J141" i="8"/>
  <c r="O263" i="8"/>
  <c r="J263" i="8"/>
  <c r="J193" i="8"/>
  <c r="O193" i="8"/>
  <c r="B364" i="8"/>
  <c r="B337" i="8"/>
  <c r="B320" i="8"/>
  <c r="B371" i="8"/>
  <c r="B345" i="8"/>
  <c r="ED113" i="7"/>
  <c r="ED23" i="7"/>
  <c r="ED80" i="7"/>
  <c r="ED13" i="7"/>
  <c r="ED76" i="7"/>
  <c r="ED90" i="7"/>
  <c r="ED40" i="7"/>
  <c r="ED105" i="7"/>
  <c r="ED74" i="7"/>
  <c r="ED20" i="7"/>
  <c r="ED83" i="7"/>
  <c r="ED69" i="7"/>
  <c r="ED59" i="7"/>
  <c r="ED68" i="7"/>
  <c r="ED108" i="7"/>
  <c r="ED127" i="7"/>
  <c r="ED93" i="7"/>
  <c r="ED136" i="7"/>
  <c r="B323" i="8"/>
  <c r="B315" i="8"/>
  <c r="B339" i="8"/>
  <c r="B354" i="8"/>
  <c r="B338" i="8"/>
  <c r="J203" i="8"/>
  <c r="O203" i="8"/>
  <c r="I298" i="8"/>
  <c r="I296" i="8"/>
  <c r="I266" i="8"/>
  <c r="O142" i="8"/>
  <c r="J142" i="8"/>
  <c r="J28" i="9" s="1"/>
  <c r="O192" i="8"/>
  <c r="J192" i="8"/>
  <c r="ED87" i="7"/>
  <c r="ED67" i="7"/>
  <c r="ED116" i="7"/>
  <c r="ED131" i="7"/>
  <c r="G105" i="5"/>
  <c r="L105" i="5" s="1"/>
  <c r="L104" i="5"/>
  <c r="B311" i="8"/>
  <c r="B305" i="8"/>
  <c r="B319" i="8"/>
  <c r="B329" i="8"/>
  <c r="ED133" i="7"/>
  <c r="ED141" i="7"/>
  <c r="ED45" i="7"/>
  <c r="ED50" i="7"/>
  <c r="ED21" i="7"/>
  <c r="B358" i="8"/>
  <c r="ED82" i="7"/>
  <c r="U38" i="5" s="1"/>
  <c r="ED51" i="7"/>
  <c r="ED92" i="7"/>
  <c r="ED49" i="7"/>
  <c r="ED25" i="7"/>
  <c r="ED29" i="7"/>
  <c r="ED85" i="7"/>
  <c r="ED73" i="7"/>
  <c r="ED63" i="7"/>
  <c r="ED72" i="7"/>
  <c r="ED112" i="7"/>
  <c r="ED135" i="7"/>
  <c r="ED98" i="7"/>
  <c r="ED123" i="7"/>
  <c r="B355" i="8"/>
  <c r="B308" i="8"/>
  <c r="B347" i="8"/>
  <c r="B363" i="8"/>
  <c r="S27" i="5"/>
  <c r="I127" i="8" s="1"/>
  <c r="R69" i="5"/>
  <c r="B10" i="8" s="1" a="1"/>
  <c r="B10" i="8" s="1"/>
  <c r="B13" i="9" s="1"/>
  <c r="O196" i="8"/>
  <c r="J196" i="8"/>
  <c r="O140" i="8"/>
  <c r="J140" i="8"/>
  <c r="I265" i="8"/>
  <c r="J111" i="8"/>
  <c r="J17" i="9" s="1"/>
  <c r="O111" i="8"/>
  <c r="O194" i="8"/>
  <c r="J194" i="8"/>
  <c r="Y167" i="3" a="1"/>
  <c r="Y167" i="3" s="1"/>
  <c r="Y112" i="3" a="1"/>
  <c r="Y112" i="3" s="1"/>
  <c r="Y168" i="3" a="1"/>
  <c r="Y168" i="3" s="1"/>
  <c r="Y47" i="3" a="1"/>
  <c r="Y47" i="3" s="1"/>
  <c r="Y169" i="3" a="1"/>
  <c r="Y169" i="3" s="1"/>
  <c r="Y70" i="3" a="1"/>
  <c r="Y70" i="3" s="1"/>
  <c r="Y48" i="3" a="1"/>
  <c r="Y48" i="3" s="1"/>
  <c r="Y24" i="3" a="1"/>
  <c r="Y24" i="3" s="1"/>
  <c r="Y234" i="3" a="1"/>
  <c r="Y234" i="3" s="1"/>
  <c r="Y170" i="3" a="1"/>
  <c r="Y170" i="3" s="1"/>
  <c r="Y25" i="3" a="1"/>
  <c r="Y25" i="3" s="1"/>
  <c r="Y235" i="3" a="1"/>
  <c r="Y235" i="3" s="1"/>
  <c r="Y171" i="3" a="1"/>
  <c r="Y171" i="3" s="1"/>
  <c r="Y125" i="3" a="1"/>
  <c r="Y125" i="3" s="1"/>
  <c r="Y110" i="3" a="1"/>
  <c r="Y110" i="3" s="1"/>
  <c r="Y28" i="3" a="1"/>
  <c r="Y28" i="3" s="1"/>
  <c r="Y20" i="3" a="1"/>
  <c r="Y20" i="3" s="1"/>
  <c r="Y111" i="3" a="1"/>
  <c r="Y111" i="3" s="1"/>
  <c r="Y21" i="3" a="1"/>
  <c r="Y21" i="3" s="1"/>
  <c r="Y22" i="3" a="1"/>
  <c r="Y22" i="3" s="1"/>
  <c r="Y17" i="3" a="1"/>
  <c r="Y17" i="3" s="1"/>
  <c r="Y27" i="3" a="1"/>
  <c r="Y27" i="3" s="1"/>
  <c r="Y18" i="3" a="1"/>
  <c r="Y18" i="3" s="1"/>
  <c r="Y23" i="3" a="1"/>
  <c r="Y23" i="3" s="1"/>
  <c r="Y19" i="3" a="1"/>
  <c r="Y19" i="3" s="1"/>
  <c r="Y16" i="3" a="1"/>
  <c r="Y16" i="3" s="1"/>
  <c r="Y172" i="3" a="1"/>
  <c r="Y172" i="3" s="1"/>
  <c r="ED58" i="7"/>
  <c r="ED77" i="7"/>
  <c r="ED147" i="7"/>
  <c r="B365" i="8"/>
  <c r="B373" i="8"/>
  <c r="I225" i="8"/>
  <c r="I228" i="8"/>
  <c r="I268" i="8"/>
  <c r="J201" i="8"/>
  <c r="O201" i="8"/>
  <c r="ED6" i="7"/>
  <c r="ED102" i="7"/>
  <c r="ED117" i="7"/>
  <c r="B352" i="8"/>
  <c r="B344" i="8"/>
  <c r="ED121" i="7"/>
  <c r="ED99" i="7"/>
  <c r="ED94" i="7"/>
  <c r="ED129" i="7"/>
  <c r="ED42" i="7"/>
  <c r="ED120" i="7"/>
  <c r="B316" i="8"/>
  <c r="ED17" i="7"/>
  <c r="ED43" i="7"/>
  <c r="ED36" i="7"/>
  <c r="ED53" i="7"/>
  <c r="B421" i="8"/>
  <c r="B431" i="8"/>
  <c r="B416" i="8"/>
  <c r="B404" i="8"/>
  <c r="B435" i="8"/>
  <c r="B427" i="8"/>
  <c r="B406" i="8"/>
  <c r="B398" i="8"/>
  <c r="B390" i="8"/>
  <c r="B402" i="8"/>
  <c r="B394" i="8"/>
  <c r="B388" i="8"/>
  <c r="B408" i="8"/>
  <c r="B397" i="8"/>
  <c r="EE148" i="7"/>
  <c r="EE144" i="7"/>
  <c r="EE132" i="7"/>
  <c r="EE126" i="7"/>
  <c r="EE118" i="7"/>
  <c r="EE110" i="7"/>
  <c r="EE106" i="7"/>
  <c r="EE146" i="7"/>
  <c r="EE138" i="7"/>
  <c r="EE130" i="7"/>
  <c r="EE116" i="7"/>
  <c r="EE112" i="7"/>
  <c r="EE134" i="7"/>
  <c r="EE128" i="7"/>
  <c r="EE120" i="7"/>
  <c r="EE49" i="7"/>
  <c r="EE45" i="7"/>
  <c r="EE67" i="7"/>
  <c r="EE63" i="7"/>
  <c r="EE59" i="7"/>
  <c r="EE95" i="7"/>
  <c r="EE98" i="7"/>
  <c r="EE47" i="7"/>
  <c r="EE43" i="7"/>
  <c r="EE102" i="7"/>
  <c r="EE89" i="7"/>
  <c r="EE87" i="7"/>
  <c r="EE81" i="7"/>
  <c r="EE79" i="7"/>
  <c r="EE93" i="7"/>
  <c r="EE72" i="7"/>
  <c r="EE68" i="7"/>
  <c r="EE56" i="7"/>
  <c r="EE38" i="7"/>
  <c r="EE24" i="7"/>
  <c r="EE27" i="7"/>
  <c r="EE21" i="7"/>
  <c r="EE9" i="7"/>
  <c r="EE5" i="7"/>
  <c r="EE35" i="7"/>
  <c r="B16" i="6"/>
  <c r="EE29" i="7"/>
  <c r="EE26" i="7"/>
  <c r="EE12" i="7"/>
  <c r="EE8" i="7"/>
  <c r="EE4" i="7"/>
  <c r="C15" i="6"/>
  <c r="EE39" i="7"/>
  <c r="EE28" i="7"/>
  <c r="EE10" i="7"/>
  <c r="X126" i="3" a="1"/>
  <c r="X126" i="3" s="1"/>
  <c r="X130" i="3" a="1"/>
  <c r="X130" i="3" s="1"/>
  <c r="X124" i="3" a="1"/>
  <c r="X124" i="3" s="1"/>
  <c r="EE23" i="7"/>
  <c r="EE34" i="7"/>
  <c r="EE90" i="7"/>
  <c r="EE73" i="7"/>
  <c r="EE103" i="7"/>
  <c r="EE69" i="7"/>
  <c r="EE97" i="7"/>
  <c r="EE58" i="7"/>
  <c r="EE119" i="7"/>
  <c r="EE7" i="7"/>
  <c r="EE11" i="7"/>
  <c r="EE15" i="7"/>
  <c r="EE19" i="7"/>
  <c r="EE31" i="7"/>
  <c r="EE101" i="7"/>
  <c r="EE65" i="7"/>
  <c r="EE109" i="7"/>
  <c r="B412" i="8"/>
  <c r="B410" i="8"/>
  <c r="B420" i="8"/>
  <c r="EE50" i="7"/>
  <c r="EE61" i="7"/>
  <c r="EE32" i="7"/>
  <c r="EE94" i="7"/>
  <c r="EE115" i="7"/>
  <c r="EE141" i="7"/>
  <c r="EE33" i="7"/>
  <c r="EE78" i="7"/>
  <c r="EE86" i="7"/>
  <c r="EE57" i="7"/>
  <c r="EE99" i="7"/>
  <c r="EE135" i="7"/>
  <c r="EE30" i="7"/>
  <c r="EE54" i="7"/>
  <c r="EE62" i="7"/>
  <c r="EE70" i="7"/>
  <c r="EE40" i="7"/>
  <c r="EE44" i="7"/>
  <c r="EE137" i="7"/>
  <c r="EE111" i="7"/>
  <c r="EE127" i="7"/>
  <c r="EE37" i="7"/>
  <c r="EE36" i="7"/>
  <c r="EE84" i="7"/>
  <c r="B411" i="8"/>
  <c r="B401" i="8"/>
  <c r="B419" i="8"/>
  <c r="B436" i="8"/>
  <c r="EE131" i="7"/>
  <c r="B395" i="8"/>
  <c r="EE117" i="7"/>
  <c r="EE123" i="7"/>
  <c r="EE139" i="7"/>
  <c r="B385" i="8"/>
  <c r="B425" i="8"/>
  <c r="B426" i="8"/>
  <c r="B403" i="8"/>
  <c r="B430" i="8"/>
  <c r="B417" i="8"/>
  <c r="B434" i="8"/>
  <c r="B510" i="8"/>
  <c r="EE121" i="7"/>
  <c r="B428" i="8"/>
  <c r="EE107" i="7"/>
  <c r="EE145" i="7"/>
  <c r="EE133" i="7"/>
  <c r="B392" i="8"/>
  <c r="B400" i="8"/>
  <c r="B418" i="8"/>
  <c r="EE113" i="7"/>
  <c r="EE125" i="7"/>
  <c r="EE147" i="7"/>
  <c r="B383" i="8"/>
  <c r="B391" i="8"/>
  <c r="ED10" i="7"/>
  <c r="ED89" i="7"/>
  <c r="ED62" i="7"/>
  <c r="ED71" i="7"/>
  <c r="ED128" i="7"/>
  <c r="U58" i="5" s="1"/>
  <c r="ED122" i="7"/>
  <c r="ED148" i="7"/>
  <c r="ED106" i="7"/>
  <c r="ED143" i="7"/>
  <c r="B321" i="8"/>
  <c r="B317" i="8"/>
  <c r="B360" i="8"/>
  <c r="B366" i="8"/>
  <c r="B362" i="8"/>
  <c r="I292" i="8"/>
  <c r="I294" i="8"/>
  <c r="I295" i="8"/>
  <c r="I267" i="8"/>
  <c r="J199" i="8"/>
  <c r="O199" i="8"/>
  <c r="B306" i="8"/>
  <c r="B353" i="8"/>
  <c r="ED137" i="7"/>
  <c r="ED86" i="7"/>
  <c r="ED34" i="7"/>
  <c r="ED109" i="7"/>
  <c r="ED33" i="7"/>
  <c r="ED103" i="7"/>
  <c r="B359" i="8"/>
  <c r="ED119" i="7"/>
  <c r="ED39" i="7"/>
  <c r="ED37" i="7"/>
  <c r="ED9" i="7"/>
  <c r="ED4" i="7"/>
  <c r="ED14" i="7"/>
  <c r="ED91" i="7"/>
  <c r="ED66" i="7"/>
  <c r="ED75" i="7"/>
  <c r="ED134" i="7"/>
  <c r="ED130" i="7"/>
  <c r="ED124" i="7"/>
  <c r="ED110" i="7"/>
  <c r="B333" i="8"/>
  <c r="B332" i="8"/>
  <c r="B325" i="8"/>
  <c r="B361" i="8"/>
  <c r="B374" i="8"/>
  <c r="B370" i="8"/>
  <c r="I293" i="8"/>
  <c r="J143" i="8"/>
  <c r="J49" i="9" s="1"/>
  <c r="O143" i="8"/>
  <c r="I269" i="8"/>
  <c r="O198" i="8"/>
  <c r="J198" i="8"/>
  <c r="ED115" i="7"/>
  <c r="I224" i="8"/>
  <c r="I231" i="8"/>
  <c r="B469" i="8"/>
  <c r="B335" i="8"/>
  <c r="B318" i="8"/>
  <c r="B367" i="8"/>
  <c r="ED78" i="7"/>
  <c r="ED32" i="7"/>
  <c r="ED125" i="7"/>
  <c r="ED24" i="7"/>
  <c r="ED11" i="7"/>
  <c r="B336" i="8"/>
  <c r="ED52" i="7"/>
  <c r="ED26" i="7"/>
  <c r="ED7" i="7"/>
  <c r="ED8" i="7"/>
  <c r="ED18" i="7"/>
  <c r="ED57" i="7"/>
  <c r="ED70" i="7"/>
  <c r="ED56" i="7"/>
  <c r="ED140" i="7"/>
  <c r="ED138" i="7"/>
  <c r="ED132" i="7"/>
  <c r="ED114" i="7"/>
  <c r="B309" i="8"/>
  <c r="B341" i="8"/>
  <c r="B349" i="8"/>
  <c r="B382" i="8"/>
  <c r="B381" i="8"/>
  <c r="B545" i="8"/>
  <c r="I297" i="8"/>
  <c r="I230" i="8"/>
  <c r="I184" i="8"/>
  <c r="I300" i="8"/>
  <c r="I302" i="8"/>
  <c r="I301" i="8"/>
  <c r="O264" i="8"/>
  <c r="J264" i="8"/>
  <c r="T16" i="5"/>
  <c r="I170" i="8" s="1"/>
  <c r="B470" i="8"/>
  <c r="B334" i="8"/>
  <c r="B327" i="8"/>
  <c r="B368" i="8"/>
  <c r="ED31" i="7"/>
  <c r="ED27" i="7"/>
  <c r="ED101" i="7"/>
  <c r="ED38" i="7"/>
  <c r="ED97" i="7"/>
  <c r="B304" i="8"/>
  <c r="ED48" i="7"/>
  <c r="ED19" i="7"/>
  <c r="ED111" i="7"/>
  <c r="ED12" i="7"/>
  <c r="ED79" i="7"/>
  <c r="ED61" i="7"/>
  <c r="ED95" i="7"/>
  <c r="ED60" i="7"/>
  <c r="ED100" i="7"/>
  <c r="ED144" i="7"/>
  <c r="ED142" i="7"/>
  <c r="ED118" i="7"/>
  <c r="B324" i="8"/>
  <c r="B331" i="8"/>
  <c r="B372" i="8"/>
  <c r="B340" i="8"/>
  <c r="B322" i="8"/>
  <c r="I226" i="8"/>
  <c r="O200" i="8"/>
  <c r="J200" i="8"/>
  <c r="O262" i="8"/>
  <c r="J262" i="8"/>
  <c r="O191" i="8"/>
  <c r="J191" i="8"/>
  <c r="Q70" i="5"/>
  <c r="V24" i="5" l="1"/>
  <c r="J290" i="8"/>
  <c r="U26" i="5"/>
  <c r="J223" i="8"/>
  <c r="I131" i="8"/>
  <c r="J131" i="8" s="1"/>
  <c r="J197" i="8"/>
  <c r="I126" i="8"/>
  <c r="O126" i="8" s="1"/>
  <c r="I433" i="8"/>
  <c r="I303" i="8"/>
  <c r="J379" i="8"/>
  <c r="O379" i="8"/>
  <c r="J299" i="8"/>
  <c r="J35" i="9"/>
  <c r="J270" i="8"/>
  <c r="I169" i="8"/>
  <c r="J169" i="8" s="1"/>
  <c r="I173" i="8"/>
  <c r="J173" i="8" s="1"/>
  <c r="U30" i="5"/>
  <c r="V30" i="5"/>
  <c r="I392" i="8" s="1"/>
  <c r="D86" i="5"/>
  <c r="C87" i="5"/>
  <c r="J127" i="8"/>
  <c r="O127" i="8"/>
  <c r="O125" i="8"/>
  <c r="J125" i="8"/>
  <c r="J37" i="9"/>
  <c r="I172" i="8"/>
  <c r="J172" i="8" s="1"/>
  <c r="I18" i="9"/>
  <c r="O112" i="8"/>
  <c r="J112" i="8"/>
  <c r="J18" i="9" s="1"/>
  <c r="O115" i="8"/>
  <c r="J115" i="8"/>
  <c r="J114" i="8"/>
  <c r="O114" i="8"/>
  <c r="I171" i="8"/>
  <c r="J171" i="8" s="1"/>
  <c r="I119" i="8"/>
  <c r="I174" i="8"/>
  <c r="O174" i="8" s="1"/>
  <c r="O22" i="9" s="1"/>
  <c r="I123" i="8"/>
  <c r="I122" i="8"/>
  <c r="I175" i="8"/>
  <c r="O175" i="8" s="1"/>
  <c r="O23" i="9" s="1"/>
  <c r="I178" i="8"/>
  <c r="O178" i="8" s="1"/>
  <c r="O26" i="9" s="1"/>
  <c r="I120" i="8"/>
  <c r="J117" i="8"/>
  <c r="O117" i="8"/>
  <c r="I19" i="9"/>
  <c r="O113" i="8"/>
  <c r="J113" i="8"/>
  <c r="J19" i="9" s="1"/>
  <c r="J121" i="8"/>
  <c r="O121" i="8"/>
  <c r="O116" i="8"/>
  <c r="J116" i="8"/>
  <c r="O118" i="8"/>
  <c r="J118" i="8"/>
  <c r="J36" i="9"/>
  <c r="V52" i="5"/>
  <c r="U36" i="5"/>
  <c r="J74" i="8"/>
  <c r="O74" i="8"/>
  <c r="I52" i="9"/>
  <c r="J146" i="8"/>
  <c r="J52" i="9" s="1"/>
  <c r="O146" i="8"/>
  <c r="J97" i="8"/>
  <c r="O97" i="8"/>
  <c r="O64" i="8"/>
  <c r="J64" i="8"/>
  <c r="J60" i="8"/>
  <c r="O60" i="8"/>
  <c r="O67" i="8"/>
  <c r="J67" i="8"/>
  <c r="I60" i="9"/>
  <c r="J154" i="8"/>
  <c r="J60" i="9" s="1"/>
  <c r="O154" i="8"/>
  <c r="O99" i="8"/>
  <c r="J99" i="8"/>
  <c r="O101" i="8"/>
  <c r="J101" i="8"/>
  <c r="O100" i="8"/>
  <c r="J100" i="8"/>
  <c r="O91" i="8"/>
  <c r="J91" i="8"/>
  <c r="J94" i="8"/>
  <c r="O94" i="8"/>
  <c r="J62" i="8"/>
  <c r="O62" i="8"/>
  <c r="O69" i="8"/>
  <c r="J69" i="8"/>
  <c r="J63" i="8"/>
  <c r="O63" i="8"/>
  <c r="O65" i="8"/>
  <c r="J65" i="8"/>
  <c r="I53" i="9"/>
  <c r="J147" i="8"/>
  <c r="J53" i="9" s="1"/>
  <c r="O147" i="8"/>
  <c r="O61" i="8"/>
  <c r="J61" i="8"/>
  <c r="O66" i="8"/>
  <c r="J66" i="8"/>
  <c r="J98" i="8"/>
  <c r="O98" i="8"/>
  <c r="J27" i="9"/>
  <c r="J20" i="9"/>
  <c r="J29" i="9"/>
  <c r="J26" i="9"/>
  <c r="O50" i="9"/>
  <c r="O51" i="9"/>
  <c r="O52" i="9"/>
  <c r="O53" i="9"/>
  <c r="O55" i="9"/>
  <c r="O56" i="9"/>
  <c r="O58" i="9"/>
  <c r="O39" i="9"/>
  <c r="O64" i="9"/>
  <c r="O40" i="9"/>
  <c r="O41" i="9"/>
  <c r="O42" i="9"/>
  <c r="O43" i="9"/>
  <c r="Q73" i="5"/>
  <c r="R72" i="5"/>
  <c r="J216" i="8"/>
  <c r="O215" i="8"/>
  <c r="O63" i="9" s="1"/>
  <c r="O214" i="8"/>
  <c r="O62" i="9" s="1"/>
  <c r="O49" i="9"/>
  <c r="U49" i="5"/>
  <c r="I321" i="8"/>
  <c r="I322" i="8"/>
  <c r="I320" i="8"/>
  <c r="U52" i="5"/>
  <c r="U40" i="5"/>
  <c r="U24" i="5"/>
  <c r="U32" i="5"/>
  <c r="J217" i="8"/>
  <c r="O217" i="8"/>
  <c r="O65" i="9" s="1"/>
  <c r="O288" i="8"/>
  <c r="J288" i="8"/>
  <c r="J284" i="8"/>
  <c r="O284" i="8"/>
  <c r="J260" i="8"/>
  <c r="O260" i="8"/>
  <c r="O230" i="8"/>
  <c r="O78" i="9" s="1"/>
  <c r="J230" i="8"/>
  <c r="O184" i="8"/>
  <c r="O32" i="9" s="1"/>
  <c r="J184" i="8"/>
  <c r="O297" i="8"/>
  <c r="J297" i="8"/>
  <c r="U20" i="5"/>
  <c r="J267" i="8"/>
  <c r="O267" i="8"/>
  <c r="O226" i="8"/>
  <c r="O74" i="9" s="1"/>
  <c r="J226" i="8"/>
  <c r="O301" i="8"/>
  <c r="O81" i="9" s="1"/>
  <c r="J301" i="8"/>
  <c r="U71" i="5"/>
  <c r="U14" i="5"/>
  <c r="Y143" i="3" a="1"/>
  <c r="Y143" i="3" s="1"/>
  <c r="Y142" i="3" a="1"/>
  <c r="Y142" i="3" s="1"/>
  <c r="Y102" i="3" a="1"/>
  <c r="Y102" i="3" s="1"/>
  <c r="Y94" i="3" a="1"/>
  <c r="Y94" i="3" s="1"/>
  <c r="Y115" i="3" a="1"/>
  <c r="Y115" i="3" s="1"/>
  <c r="Y113" i="3" a="1"/>
  <c r="Y113" i="3" s="1"/>
  <c r="Y103" i="3" a="1"/>
  <c r="Y103" i="3" s="1"/>
  <c r="Y95" i="3" a="1"/>
  <c r="Y95" i="3" s="1"/>
  <c r="Y136" i="3" a="1"/>
  <c r="Y136" i="3" s="1"/>
  <c r="Y114" i="3" a="1"/>
  <c r="Y114" i="3" s="1"/>
  <c r="Y106" i="3" a="1"/>
  <c r="Y106" i="3" s="1"/>
  <c r="Y104" i="3" a="1"/>
  <c r="Y104" i="3" s="1"/>
  <c r="Y96" i="3" a="1"/>
  <c r="Y96" i="3" s="1"/>
  <c r="Y72" i="3" a="1"/>
  <c r="Y72" i="3" s="1"/>
  <c r="Y50" i="3" a="1"/>
  <c r="Y50" i="3" s="1"/>
  <c r="Y248" i="3" a="1"/>
  <c r="Y248" i="3" s="1"/>
  <c r="Y137" i="3" a="1"/>
  <c r="Y137" i="3" s="1"/>
  <c r="Y105" i="3" a="1"/>
  <c r="Y105" i="3" s="1"/>
  <c r="Y97" i="3" a="1"/>
  <c r="Y97" i="3" s="1"/>
  <c r="Y71" i="3" a="1"/>
  <c r="Y71" i="3" s="1"/>
  <c r="Y49" i="3" a="1"/>
  <c r="Y49" i="3" s="1"/>
  <c r="Y251" i="3" a="1"/>
  <c r="Y251" i="3" s="1"/>
  <c r="Y249" i="3" a="1"/>
  <c r="Y249" i="3" s="1"/>
  <c r="Y138" i="3" a="1"/>
  <c r="Y138" i="3" s="1"/>
  <c r="Y98" i="3" a="1"/>
  <c r="Y98" i="3" s="1"/>
  <c r="Y250" i="3" a="1"/>
  <c r="Y250" i="3" s="1"/>
  <c r="Y139" i="3" a="1"/>
  <c r="Y139" i="3" s="1"/>
  <c r="Y91" i="3" a="1"/>
  <c r="Y91" i="3" s="1"/>
  <c r="Y226" i="3" a="1"/>
  <c r="Y226" i="3" s="1"/>
  <c r="Y140" i="3" a="1"/>
  <c r="Y140" i="3" s="1"/>
  <c r="Y92" i="3" a="1"/>
  <c r="Y92" i="3" s="1"/>
  <c r="Y141" i="3" a="1"/>
  <c r="Y141" i="3" s="1"/>
  <c r="Y101" i="3" a="1"/>
  <c r="Y101" i="3" s="1"/>
  <c r="Y93" i="3" a="1"/>
  <c r="Y93" i="3" s="1"/>
  <c r="Y67" i="3" a="1"/>
  <c r="Y67" i="3" s="1"/>
  <c r="Y144" i="3" a="1"/>
  <c r="Y144" i="3" s="1"/>
  <c r="Y227" i="3" a="1"/>
  <c r="Y227" i="3" s="1"/>
  <c r="B439" i="8"/>
  <c r="B459" i="8"/>
  <c r="B451" i="8"/>
  <c r="EF139" i="7"/>
  <c r="EF124" i="7"/>
  <c r="EF122" i="7"/>
  <c r="EF95" i="7"/>
  <c r="EF141" i="7"/>
  <c r="EF134" i="7"/>
  <c r="EF98" i="7"/>
  <c r="EF93" i="7"/>
  <c r="EF67" i="7"/>
  <c r="EF63" i="7"/>
  <c r="EF76" i="7"/>
  <c r="EF73" i="7"/>
  <c r="EF72" i="7"/>
  <c r="EF68" i="7"/>
  <c r="EF9" i="7"/>
  <c r="EF5" i="7"/>
  <c r="B17" i="6"/>
  <c r="C16" i="6"/>
  <c r="B456" i="8" s="1"/>
  <c r="EF18" i="7"/>
  <c r="EF14" i="7"/>
  <c r="EF6" i="7"/>
  <c r="X118" i="3" a="1"/>
  <c r="X118" i="3" s="1"/>
  <c r="X239" i="3" a="1"/>
  <c r="X239" i="3" s="1"/>
  <c r="X238" i="3" a="1"/>
  <c r="X238" i="3" s="1"/>
  <c r="X121" i="3" a="1"/>
  <c r="X121" i="3" s="1"/>
  <c r="X119" i="3" a="1"/>
  <c r="X119" i="3" s="1"/>
  <c r="X240" i="3" a="1"/>
  <c r="X240" i="3" s="1"/>
  <c r="X120" i="3" a="1"/>
  <c r="X120" i="3" s="1"/>
  <c r="X241" i="3" a="1"/>
  <c r="X241" i="3" s="1"/>
  <c r="X242" i="3" a="1"/>
  <c r="X242" i="3" s="1"/>
  <c r="X243" i="3" a="1"/>
  <c r="X243" i="3" s="1"/>
  <c r="X244" i="3" a="1"/>
  <c r="X244" i="3" s="1"/>
  <c r="X231" i="3" a="1"/>
  <c r="X231" i="3" s="1"/>
  <c r="X229" i="3" a="1"/>
  <c r="X229" i="3" s="1"/>
  <c r="X245" i="3" a="1"/>
  <c r="X245" i="3" s="1"/>
  <c r="X230" i="3" a="1"/>
  <c r="X230" i="3" s="1"/>
  <c r="EF46" i="7"/>
  <c r="EF50" i="7"/>
  <c r="EF97" i="7"/>
  <c r="EF39" i="7"/>
  <c r="EF43" i="7"/>
  <c r="EF25" i="7"/>
  <c r="EF37" i="7"/>
  <c r="EF78" i="7"/>
  <c r="EF86" i="7"/>
  <c r="EF101" i="7"/>
  <c r="EF29" i="7"/>
  <c r="EF102" i="7"/>
  <c r="EF38" i="7"/>
  <c r="EF16" i="7"/>
  <c r="EF33" i="7"/>
  <c r="EF41" i="7"/>
  <c r="EF45" i="7"/>
  <c r="EF80" i="7"/>
  <c r="EF88" i="7"/>
  <c r="EF99" i="7"/>
  <c r="EF44" i="7"/>
  <c r="EF125" i="7"/>
  <c r="EF108" i="7"/>
  <c r="B548" i="8"/>
  <c r="EF40" i="7"/>
  <c r="EF112" i="7"/>
  <c r="EF24" i="7"/>
  <c r="EF23" i="7"/>
  <c r="EF30" i="7"/>
  <c r="EF12" i="7"/>
  <c r="EF32" i="7"/>
  <c r="EF34" i="7"/>
  <c r="EF107" i="7"/>
  <c r="EF115" i="7"/>
  <c r="EF104" i="7"/>
  <c r="EF113" i="7"/>
  <c r="EF28" i="7"/>
  <c r="EF8" i="7"/>
  <c r="EF31" i="7"/>
  <c r="EF82" i="7"/>
  <c r="EF90" i="7"/>
  <c r="EF105" i="7"/>
  <c r="EF106" i="7"/>
  <c r="EF116" i="7"/>
  <c r="EF4" i="7"/>
  <c r="EF35" i="7"/>
  <c r="EF110" i="7"/>
  <c r="EF131" i="7"/>
  <c r="EF84" i="7"/>
  <c r="EF92" i="7"/>
  <c r="EF52" i="7"/>
  <c r="EF114" i="7"/>
  <c r="B446" i="8"/>
  <c r="B476" i="8"/>
  <c r="B457" i="8"/>
  <c r="B450" i="8"/>
  <c r="EF118" i="7"/>
  <c r="EF109" i="7"/>
  <c r="B454" i="8"/>
  <c r="B460" i="8"/>
  <c r="B458" i="8"/>
  <c r="EF111" i="7"/>
  <c r="B453" i="8"/>
  <c r="B445" i="8"/>
  <c r="B464" i="8"/>
  <c r="EF129" i="7"/>
  <c r="B444" i="8"/>
  <c r="B465" i="8"/>
  <c r="EF48" i="7"/>
  <c r="EF123" i="7"/>
  <c r="EF119" i="7"/>
  <c r="EF117" i="7"/>
  <c r="B472" i="8"/>
  <c r="B477" i="8"/>
  <c r="B441" i="8"/>
  <c r="B461" i="8"/>
  <c r="B473" i="8"/>
  <c r="EF100" i="7"/>
  <c r="EF121" i="7"/>
  <c r="B438" i="8"/>
  <c r="B437" i="8"/>
  <c r="B452" i="8"/>
  <c r="B442" i="8"/>
  <c r="B449" i="8"/>
  <c r="B478" i="8"/>
  <c r="EE22" i="7"/>
  <c r="EE77" i="7"/>
  <c r="EE91" i="7"/>
  <c r="EE55" i="7"/>
  <c r="EE53" i="7"/>
  <c r="EE122" i="7"/>
  <c r="EE114" i="7"/>
  <c r="B389" i="8"/>
  <c r="B413" i="8"/>
  <c r="B396" i="8"/>
  <c r="B511" i="8"/>
  <c r="O266" i="8"/>
  <c r="J266" i="8"/>
  <c r="O261" i="8"/>
  <c r="J261" i="8"/>
  <c r="U47" i="5"/>
  <c r="I348" i="8" s="1"/>
  <c r="O228" i="8"/>
  <c r="O76" i="9" s="1"/>
  <c r="J228" i="8"/>
  <c r="O296" i="8"/>
  <c r="J296" i="8"/>
  <c r="O220" i="8"/>
  <c r="O68" i="9" s="1"/>
  <c r="J220" i="8"/>
  <c r="O258" i="8"/>
  <c r="J258" i="8"/>
  <c r="V56" i="5"/>
  <c r="J225" i="8"/>
  <c r="O225" i="8"/>
  <c r="O73" i="9" s="1"/>
  <c r="T27" i="5"/>
  <c r="I128" i="8" s="1"/>
  <c r="S69" i="5"/>
  <c r="O298" i="8"/>
  <c r="J298" i="8"/>
  <c r="U18" i="5"/>
  <c r="O219" i="8"/>
  <c r="O67" i="9" s="1"/>
  <c r="J219" i="8"/>
  <c r="U42" i="5"/>
  <c r="J259" i="8"/>
  <c r="O259" i="8"/>
  <c r="V20" i="5"/>
  <c r="I384" i="8" s="1"/>
  <c r="I393" i="8"/>
  <c r="V64" i="5"/>
  <c r="B423" i="8"/>
  <c r="U54" i="5"/>
  <c r="O265" i="8"/>
  <c r="J265" i="8"/>
  <c r="U28" i="5"/>
  <c r="U34" i="5"/>
  <c r="J221" i="8"/>
  <c r="O221" i="8"/>
  <c r="O69" i="9" s="1"/>
  <c r="U56" i="5"/>
  <c r="O285" i="8"/>
  <c r="J285" i="8"/>
  <c r="O282" i="8"/>
  <c r="J282" i="8"/>
  <c r="U60" i="5"/>
  <c r="J300" i="8"/>
  <c r="O300" i="8"/>
  <c r="O80" i="9" s="1"/>
  <c r="O294" i="8"/>
  <c r="J294" i="8"/>
  <c r="U45" i="5"/>
  <c r="O231" i="8"/>
  <c r="O79" i="9" s="1"/>
  <c r="J231" i="8"/>
  <c r="J292" i="8"/>
  <c r="O292" i="8"/>
  <c r="U62" i="5"/>
  <c r="U16" i="5"/>
  <c r="I180" i="8" s="1"/>
  <c r="B393" i="8"/>
  <c r="B407" i="8"/>
  <c r="B399" i="8"/>
  <c r="EE129" i="7"/>
  <c r="V58" i="5" s="1"/>
  <c r="EE105" i="7"/>
  <c r="EE52" i="7"/>
  <c r="EE6" i="7"/>
  <c r="EE25" i="7"/>
  <c r="V18" i="5" s="1"/>
  <c r="EE46" i="7"/>
  <c r="EE88" i="7"/>
  <c r="EE74" i="7"/>
  <c r="EE82" i="7"/>
  <c r="EE14" i="7"/>
  <c r="EE16" i="7"/>
  <c r="EE13" i="7"/>
  <c r="EE60" i="7"/>
  <c r="EE83" i="7"/>
  <c r="EE51" i="7"/>
  <c r="EE71" i="7"/>
  <c r="EE104" i="7"/>
  <c r="V47" i="5" s="1"/>
  <c r="EE124" i="7"/>
  <c r="EE136" i="7"/>
  <c r="B405" i="8"/>
  <c r="B414" i="8"/>
  <c r="B424" i="8"/>
  <c r="J268" i="8"/>
  <c r="O268" i="8"/>
  <c r="J229" i="8"/>
  <c r="O229" i="8"/>
  <c r="O77" i="9" s="1"/>
  <c r="O287" i="8"/>
  <c r="J287" i="8"/>
  <c r="O283" i="8"/>
  <c r="J283" i="8"/>
  <c r="R70" i="5"/>
  <c r="F10" i="8" s="1" a="1"/>
  <c r="F10" i="8" s="1"/>
  <c r="O302" i="8"/>
  <c r="O82" i="9" s="1"/>
  <c r="J302" i="8"/>
  <c r="O269" i="8"/>
  <c r="J269" i="8"/>
  <c r="O293" i="8"/>
  <c r="J293" i="8"/>
  <c r="I329" i="8"/>
  <c r="I328" i="8"/>
  <c r="O170" i="8"/>
  <c r="O18" i="9" s="1"/>
  <c r="J170" i="8"/>
  <c r="O295" i="8"/>
  <c r="J295" i="8"/>
  <c r="U22" i="5"/>
  <c r="O224" i="8"/>
  <c r="O72" i="9" s="1"/>
  <c r="J224" i="8"/>
  <c r="B409" i="8"/>
  <c r="B429" i="8"/>
  <c r="B384" i="8"/>
  <c r="B387" i="8"/>
  <c r="B422" i="8"/>
  <c r="EE92" i="7"/>
  <c r="EE48" i="7"/>
  <c r="EE143" i="7"/>
  <c r="V62" i="5" s="1"/>
  <c r="EE41" i="7"/>
  <c r="V22" i="5" s="1"/>
  <c r="EE42" i="7"/>
  <c r="EE80" i="7"/>
  <c r="V36" i="5" s="1"/>
  <c r="EE66" i="7"/>
  <c r="EE76" i="7"/>
  <c r="EE18" i="7"/>
  <c r="EE20" i="7"/>
  <c r="EE17" i="7"/>
  <c r="EE64" i="7"/>
  <c r="EE85" i="7"/>
  <c r="V40" i="5" s="1"/>
  <c r="EE100" i="7"/>
  <c r="V45" i="5" s="1"/>
  <c r="EE75" i="7"/>
  <c r="EE108" i="7"/>
  <c r="V49" i="5" s="1"/>
  <c r="EE142" i="7"/>
  <c r="EE140" i="7"/>
  <c r="B386" i="8"/>
  <c r="B415" i="8"/>
  <c r="B432" i="8"/>
  <c r="U64" i="5"/>
  <c r="O289" i="8"/>
  <c r="J289" i="8"/>
  <c r="W24" i="5" l="1"/>
  <c r="V60" i="5"/>
  <c r="V32" i="5"/>
  <c r="O131" i="8"/>
  <c r="J126" i="8"/>
  <c r="O128" i="8"/>
  <c r="J128" i="8"/>
  <c r="J348" i="8"/>
  <c r="O348" i="8"/>
  <c r="I411" i="8"/>
  <c r="O411" i="8" s="1"/>
  <c r="I251" i="8"/>
  <c r="I189" i="8"/>
  <c r="I185" i="8"/>
  <c r="I183" i="8"/>
  <c r="I182" i="8"/>
  <c r="V16" i="5"/>
  <c r="I76" i="9"/>
  <c r="O303" i="8"/>
  <c r="O44" i="9" s="1"/>
  <c r="J303" i="8"/>
  <c r="I44" i="9"/>
  <c r="I372" i="8"/>
  <c r="O372" i="8" s="1"/>
  <c r="I77" i="9"/>
  <c r="O433" i="8"/>
  <c r="O46" i="9" s="1"/>
  <c r="J433" i="8"/>
  <c r="I46" i="9"/>
  <c r="I466" i="8"/>
  <c r="O169" i="8"/>
  <c r="O173" i="8"/>
  <c r="O21" i="9" s="1"/>
  <c r="O172" i="8"/>
  <c r="O20" i="9" s="1"/>
  <c r="O171" i="8"/>
  <c r="O19" i="9" s="1"/>
  <c r="J174" i="8"/>
  <c r="C88" i="5"/>
  <c r="D87" i="5"/>
  <c r="I132" i="8"/>
  <c r="I130" i="8"/>
  <c r="I291" i="8"/>
  <c r="I164" i="8"/>
  <c r="J178" i="8"/>
  <c r="J175" i="8"/>
  <c r="O180" i="8"/>
  <c r="O28" i="9" s="1"/>
  <c r="J180" i="8"/>
  <c r="I246" i="8"/>
  <c r="J246" i="8" s="1"/>
  <c r="J122" i="8"/>
  <c r="O122" i="8"/>
  <c r="I179" i="8"/>
  <c r="I242" i="8"/>
  <c r="O242" i="8" s="1"/>
  <c r="I240" i="8"/>
  <c r="J240" i="8" s="1"/>
  <c r="I237" i="8"/>
  <c r="J237" i="8" s="1"/>
  <c r="I383" i="8"/>
  <c r="O383" i="8" s="1"/>
  <c r="I243" i="8"/>
  <c r="O243" i="8" s="1"/>
  <c r="J119" i="8"/>
  <c r="O119" i="8"/>
  <c r="I239" i="8"/>
  <c r="O239" i="8" s="1"/>
  <c r="I248" i="8"/>
  <c r="O248" i="8" s="1"/>
  <c r="O120" i="8"/>
  <c r="J120" i="8"/>
  <c r="O123" i="8"/>
  <c r="J123" i="8"/>
  <c r="I241" i="8"/>
  <c r="J241" i="8" s="1"/>
  <c r="I176" i="8"/>
  <c r="I177" i="8"/>
  <c r="I238" i="8"/>
  <c r="O238" i="8" s="1"/>
  <c r="W45" i="5"/>
  <c r="I106" i="8"/>
  <c r="I155" i="8"/>
  <c r="I95" i="8"/>
  <c r="I212" i="8"/>
  <c r="I96" i="8"/>
  <c r="I153" i="8"/>
  <c r="I93" i="8"/>
  <c r="I92" i="8"/>
  <c r="H10" i="8" a="1"/>
  <c r="H10" i="8" s="1"/>
  <c r="F10" i="10" s="1"/>
  <c r="R73" i="5"/>
  <c r="I507" i="8" s="1"/>
  <c r="S72" i="5"/>
  <c r="I374" i="8"/>
  <c r="O374" i="8" s="1"/>
  <c r="I367" i="8"/>
  <c r="O367" i="8" s="1"/>
  <c r="I369" i="8"/>
  <c r="I371" i="8"/>
  <c r="O371" i="8" s="1"/>
  <c r="I370" i="8"/>
  <c r="J370" i="8" s="1"/>
  <c r="I368" i="8"/>
  <c r="O368" i="8" s="1"/>
  <c r="I373" i="8"/>
  <c r="J373" i="8" s="1"/>
  <c r="V54" i="5"/>
  <c r="V71" i="5"/>
  <c r="I434" i="8" s="1"/>
  <c r="S70" i="5"/>
  <c r="O17" i="9"/>
  <c r="I432" i="8"/>
  <c r="I427" i="8"/>
  <c r="I425" i="8"/>
  <c r="I426" i="8"/>
  <c r="I429" i="8"/>
  <c r="I428" i="8"/>
  <c r="I430" i="8"/>
  <c r="I431" i="8"/>
  <c r="I420" i="8"/>
  <c r="I424" i="8"/>
  <c r="I422" i="8"/>
  <c r="I423" i="8"/>
  <c r="I421" i="8"/>
  <c r="I405" i="8"/>
  <c r="I406" i="8"/>
  <c r="I404" i="8"/>
  <c r="B447" i="8"/>
  <c r="I382" i="8"/>
  <c r="I381" i="8"/>
  <c r="I380" i="8"/>
  <c r="I349" i="8"/>
  <c r="I351" i="8"/>
  <c r="I350" i="8"/>
  <c r="I355" i="8"/>
  <c r="I352" i="8"/>
  <c r="I354" i="8"/>
  <c r="I356" i="8"/>
  <c r="I353" i="8"/>
  <c r="O384" i="8"/>
  <c r="J384" i="8"/>
  <c r="W52" i="5"/>
  <c r="W49" i="5"/>
  <c r="EF7" i="7"/>
  <c r="EF13" i="7"/>
  <c r="EF74" i="7"/>
  <c r="EF58" i="7"/>
  <c r="EF71" i="7"/>
  <c r="EF126" i="7"/>
  <c r="EF144" i="7"/>
  <c r="EF130" i="7"/>
  <c r="EF142" i="7"/>
  <c r="B443" i="8"/>
  <c r="B455" i="8"/>
  <c r="O328" i="8"/>
  <c r="J328" i="8"/>
  <c r="I366" i="8"/>
  <c r="I365" i="8"/>
  <c r="I363" i="8"/>
  <c r="I362" i="8"/>
  <c r="I364" i="8"/>
  <c r="W54" i="5"/>
  <c r="EF42" i="7"/>
  <c r="W22" i="5" s="1"/>
  <c r="EF11" i="7"/>
  <c r="EF17" i="7"/>
  <c r="EF77" i="7"/>
  <c r="EF62" i="7"/>
  <c r="EF75" i="7"/>
  <c r="EF143" i="7"/>
  <c r="EF145" i="7"/>
  <c r="EF135" i="7"/>
  <c r="EF133" i="7"/>
  <c r="B440" i="8"/>
  <c r="B474" i="8"/>
  <c r="I341" i="8"/>
  <c r="I340" i="8"/>
  <c r="I342" i="8"/>
  <c r="EF53" i="7"/>
  <c r="EF54" i="7"/>
  <c r="EF51" i="7"/>
  <c r="EF103" i="7"/>
  <c r="W47" i="5" s="1"/>
  <c r="EF15" i="7"/>
  <c r="EF21" i="7"/>
  <c r="EF57" i="7"/>
  <c r="EF66" i="7"/>
  <c r="EF94" i="7"/>
  <c r="EF137" i="7"/>
  <c r="EF79" i="7"/>
  <c r="EF138" i="7"/>
  <c r="EF136" i="7"/>
  <c r="B448" i="8"/>
  <c r="B547" i="8"/>
  <c r="I314" i="8"/>
  <c r="O392" i="8"/>
  <c r="J392" i="8"/>
  <c r="U27" i="5"/>
  <c r="T69" i="5"/>
  <c r="O329" i="8"/>
  <c r="J329" i="8"/>
  <c r="V38" i="5"/>
  <c r="V34" i="5"/>
  <c r="I361" i="8"/>
  <c r="I360" i="8"/>
  <c r="I357" i="8"/>
  <c r="I358" i="8"/>
  <c r="I359" i="8"/>
  <c r="W14" i="5"/>
  <c r="EF36" i="7"/>
  <c r="W20" i="5" s="1"/>
  <c r="EF27" i="7"/>
  <c r="W18" i="5" s="1"/>
  <c r="EF127" i="7"/>
  <c r="EF49" i="7"/>
  <c r="EF20" i="7"/>
  <c r="EF47" i="7"/>
  <c r="EF26" i="7"/>
  <c r="EF22" i="7"/>
  <c r="EF19" i="7"/>
  <c r="EF56" i="7"/>
  <c r="EF61" i="7"/>
  <c r="EF70" i="7"/>
  <c r="EF81" i="7"/>
  <c r="EF140" i="7"/>
  <c r="EF83" i="7"/>
  <c r="W38" i="5" s="1"/>
  <c r="EF146" i="7"/>
  <c r="EF148" i="7"/>
  <c r="O320" i="8"/>
  <c r="J320" i="8"/>
  <c r="V28" i="5"/>
  <c r="I387" i="8" s="1"/>
  <c r="V42" i="5"/>
  <c r="I347" i="8"/>
  <c r="I346" i="8"/>
  <c r="I343" i="8"/>
  <c r="I345" i="8"/>
  <c r="V14" i="5"/>
  <c r="Y236" i="3" a="1"/>
  <c r="Y236" i="3" s="1"/>
  <c r="Y29" i="3" a="1"/>
  <c r="Y29" i="3" s="1"/>
  <c r="Y237" i="3" a="1"/>
  <c r="Y237" i="3" s="1"/>
  <c r="Y26" i="3" a="1"/>
  <c r="Y26" i="3" s="1"/>
  <c r="EF60" i="7"/>
  <c r="EF65" i="7"/>
  <c r="EF55" i="7"/>
  <c r="EF85" i="7"/>
  <c r="EF120" i="7"/>
  <c r="EF87" i="7"/>
  <c r="EF147" i="7"/>
  <c r="B462" i="8"/>
  <c r="B463" i="8"/>
  <c r="I318" i="8"/>
  <c r="I319" i="8"/>
  <c r="I317" i="8"/>
  <c r="O322" i="8"/>
  <c r="J322" i="8"/>
  <c r="F13" i="9"/>
  <c r="V26" i="5"/>
  <c r="I325" i="8"/>
  <c r="I323" i="8"/>
  <c r="I326" i="8"/>
  <c r="I324" i="8"/>
  <c r="I327" i="8"/>
  <c r="O393" i="8"/>
  <c r="J393" i="8"/>
  <c r="EF10" i="7"/>
  <c r="B513" i="8"/>
  <c r="B503" i="8"/>
  <c r="B495" i="8"/>
  <c r="B514" i="8"/>
  <c r="B499" i="8"/>
  <c r="B482" i="8"/>
  <c r="B491" i="8"/>
  <c r="B483" i="8"/>
  <c r="EG129" i="7"/>
  <c r="EG121" i="7"/>
  <c r="EG137" i="7"/>
  <c r="EG131" i="7"/>
  <c r="EG123" i="7"/>
  <c r="EG27" i="7"/>
  <c r="EG36" i="7"/>
  <c r="EG28" i="7"/>
  <c r="EG25" i="7"/>
  <c r="EG24" i="7"/>
  <c r="B18" i="6"/>
  <c r="C17" i="6"/>
  <c r="B487" i="8" s="1"/>
  <c r="EG34" i="7"/>
  <c r="EG23" i="7"/>
  <c r="EG94" i="7"/>
  <c r="EG80" i="7"/>
  <c r="EG46" i="7"/>
  <c r="EG8" i="7"/>
  <c r="EG21" i="7"/>
  <c r="EG6" i="7"/>
  <c r="EG10" i="7"/>
  <c r="EG14" i="7"/>
  <c r="EG18" i="7"/>
  <c r="EG67" i="7"/>
  <c r="EG86" i="7"/>
  <c r="EG109" i="7"/>
  <c r="EG16" i="7"/>
  <c r="EG17" i="7"/>
  <c r="EG60" i="7"/>
  <c r="EG61" i="7"/>
  <c r="EG66" i="7"/>
  <c r="EG41" i="7"/>
  <c r="EG45" i="7"/>
  <c r="EG49" i="7"/>
  <c r="EG53" i="7"/>
  <c r="EG92" i="7"/>
  <c r="EG50" i="7"/>
  <c r="EG73" i="7"/>
  <c r="EG112" i="7"/>
  <c r="EG35" i="7"/>
  <c r="EG54" i="7"/>
  <c r="EG98" i="7"/>
  <c r="EG114" i="7"/>
  <c r="EG107" i="7"/>
  <c r="EG115" i="7"/>
  <c r="EG126" i="7"/>
  <c r="EG141" i="7"/>
  <c r="EG37" i="7"/>
  <c r="EG69" i="7"/>
  <c r="EG57" i="7"/>
  <c r="EG11" i="7"/>
  <c r="EG26" i="7"/>
  <c r="EG72" i="7"/>
  <c r="EG82" i="7"/>
  <c r="EG142" i="7"/>
  <c r="B500" i="8"/>
  <c r="B488" i="8"/>
  <c r="B506" i="8"/>
  <c r="EG88" i="7"/>
  <c r="EG39" i="7"/>
  <c r="EG43" i="7"/>
  <c r="EG47" i="7"/>
  <c r="EG51" i="7"/>
  <c r="EG128" i="7"/>
  <c r="X58" i="5" s="1"/>
  <c r="EG140" i="7"/>
  <c r="EG40" i="7"/>
  <c r="EG58" i="7"/>
  <c r="EG95" i="7"/>
  <c r="EG102" i="7"/>
  <c r="EG110" i="7"/>
  <c r="EG127" i="7"/>
  <c r="EG44" i="7"/>
  <c r="EG15" i="7"/>
  <c r="EG29" i="7"/>
  <c r="EG59" i="7"/>
  <c r="EG78" i="7"/>
  <c r="EG75" i="7"/>
  <c r="EG101" i="7"/>
  <c r="EG130" i="7"/>
  <c r="EG145" i="7"/>
  <c r="EG120" i="7"/>
  <c r="EG4" i="7"/>
  <c r="EG32" i="7"/>
  <c r="EG91" i="7"/>
  <c r="EG84" i="7"/>
  <c r="EG42" i="7"/>
  <c r="EG113" i="7"/>
  <c r="EG76" i="7"/>
  <c r="EG77" i="7"/>
  <c r="EG106" i="7"/>
  <c r="EG135" i="7"/>
  <c r="EG111" i="7"/>
  <c r="EG119" i="7"/>
  <c r="EG125" i="7"/>
  <c r="EG20" i="7"/>
  <c r="EG52" i="7"/>
  <c r="EG48" i="7"/>
  <c r="EG19" i="7"/>
  <c r="EG62" i="7"/>
  <c r="EG55" i="7"/>
  <c r="EG71" i="7"/>
  <c r="EG122" i="7"/>
  <c r="EG138" i="7"/>
  <c r="EG134" i="7"/>
  <c r="EG147" i="7"/>
  <c r="EG139" i="7"/>
  <c r="EG146" i="7"/>
  <c r="B494" i="8"/>
  <c r="B519" i="8"/>
  <c r="B504" i="8"/>
  <c r="EG148" i="7"/>
  <c r="B480" i="8"/>
  <c r="B489" i="8"/>
  <c r="B484" i="8"/>
  <c r="B496" i="8"/>
  <c r="B502" i="8"/>
  <c r="B497" i="8"/>
  <c r="EG143" i="7"/>
  <c r="X62" i="5" s="1"/>
  <c r="EG124" i="7"/>
  <c r="B486" i="8"/>
  <c r="EG144" i="7"/>
  <c r="B485" i="8"/>
  <c r="B493" i="8"/>
  <c r="EG133" i="7"/>
  <c r="B516" i="8"/>
  <c r="B518" i="8"/>
  <c r="EF64" i="7"/>
  <c r="EF69" i="7"/>
  <c r="EF59" i="7"/>
  <c r="EF89" i="7"/>
  <c r="EF128" i="7"/>
  <c r="W58" i="5" s="1"/>
  <c r="EF91" i="7"/>
  <c r="EF132" i="7"/>
  <c r="B471" i="8"/>
  <c r="B475" i="8"/>
  <c r="J321" i="8"/>
  <c r="O321" i="8"/>
  <c r="W26" i="5" l="1"/>
  <c r="I436" i="8"/>
  <c r="O436" i="8" s="1"/>
  <c r="I435" i="8"/>
  <c r="O435" i="8" s="1"/>
  <c r="J411" i="8"/>
  <c r="J189" i="8"/>
  <c r="O189" i="8"/>
  <c r="O37" i="9" s="1"/>
  <c r="I186" i="8"/>
  <c r="O186" i="8" s="1"/>
  <c r="O34" i="9" s="1"/>
  <c r="J185" i="8"/>
  <c r="O185" i="8"/>
  <c r="O33" i="9" s="1"/>
  <c r="O251" i="8"/>
  <c r="J251" i="8"/>
  <c r="I252" i="8"/>
  <c r="J252" i="8" s="1"/>
  <c r="I124" i="8"/>
  <c r="O124" i="8" s="1"/>
  <c r="I256" i="8"/>
  <c r="J256" i="8" s="1"/>
  <c r="I129" i="8"/>
  <c r="O129" i="8" s="1"/>
  <c r="J182" i="8"/>
  <c r="O182" i="8"/>
  <c r="O30" i="9" s="1"/>
  <c r="I250" i="8"/>
  <c r="O250" i="8" s="1"/>
  <c r="J183" i="8"/>
  <c r="O183" i="8"/>
  <c r="O31" i="9" s="1"/>
  <c r="J372" i="8"/>
  <c r="J466" i="8"/>
  <c r="O466" i="8"/>
  <c r="I78" i="9"/>
  <c r="O507" i="8"/>
  <c r="O47" i="9" s="1"/>
  <c r="J507" i="8"/>
  <c r="I47" i="9"/>
  <c r="J77" i="9"/>
  <c r="J46" i="9"/>
  <c r="J76" i="9"/>
  <c r="J44" i="9"/>
  <c r="X64" i="5"/>
  <c r="I388" i="8"/>
  <c r="J388" i="8" s="1"/>
  <c r="J10" i="8"/>
  <c r="J13" i="9" s="1"/>
  <c r="F9" i="10"/>
  <c r="W42" i="5"/>
  <c r="W30" i="5"/>
  <c r="O246" i="8"/>
  <c r="J243" i="8"/>
  <c r="C89" i="5"/>
  <c r="D88" i="5"/>
  <c r="O130" i="8"/>
  <c r="J130" i="8"/>
  <c r="J383" i="8"/>
  <c r="O132" i="8"/>
  <c r="J132" i="8"/>
  <c r="I70" i="9"/>
  <c r="O164" i="8"/>
  <c r="O70" i="9" s="1"/>
  <c r="J164" i="8"/>
  <c r="J70" i="9" s="1"/>
  <c r="O291" i="8"/>
  <c r="J291" i="8"/>
  <c r="O241" i="8"/>
  <c r="J239" i="8"/>
  <c r="J242" i="8"/>
  <c r="O237" i="8"/>
  <c r="O240" i="8"/>
  <c r="J238" i="8"/>
  <c r="O177" i="8"/>
  <c r="O25" i="9" s="1"/>
  <c r="J177" i="8"/>
  <c r="O176" i="8"/>
  <c r="O24" i="9" s="1"/>
  <c r="J176" i="8"/>
  <c r="J179" i="8"/>
  <c r="O179" i="8"/>
  <c r="O27" i="9" s="1"/>
  <c r="J248" i="8"/>
  <c r="J374" i="8"/>
  <c r="O106" i="8"/>
  <c r="J106" i="8"/>
  <c r="O93" i="8"/>
  <c r="J93" i="8"/>
  <c r="I61" i="9"/>
  <c r="O155" i="8"/>
  <c r="J155" i="8"/>
  <c r="J61" i="9" s="1"/>
  <c r="I59" i="9"/>
  <c r="J153" i="8"/>
  <c r="J59" i="9" s="1"/>
  <c r="O153" i="8"/>
  <c r="O212" i="8"/>
  <c r="O60" i="9" s="1"/>
  <c r="J212" i="8"/>
  <c r="J95" i="8"/>
  <c r="O95" i="8"/>
  <c r="O92" i="8"/>
  <c r="J92" i="8"/>
  <c r="J96" i="8"/>
  <c r="O96" i="8"/>
  <c r="J367" i="8"/>
  <c r="J369" i="8"/>
  <c r="J45" i="9" s="1"/>
  <c r="I45" i="9"/>
  <c r="S73" i="5"/>
  <c r="T72" i="5"/>
  <c r="F8" i="10"/>
  <c r="F5" i="10"/>
  <c r="F6" i="10"/>
  <c r="F7" i="10"/>
  <c r="H13" i="9"/>
  <c r="X56" i="5"/>
  <c r="J371" i="8"/>
  <c r="W34" i="5"/>
  <c r="O369" i="8"/>
  <c r="J368" i="8"/>
  <c r="O370" i="8"/>
  <c r="O373" i="8"/>
  <c r="T70" i="5"/>
  <c r="W71" i="5"/>
  <c r="I448" i="8"/>
  <c r="I449" i="8"/>
  <c r="X26" i="5"/>
  <c r="O347" i="8"/>
  <c r="J347" i="8"/>
  <c r="O360" i="8"/>
  <c r="J360" i="8"/>
  <c r="J366" i="8"/>
  <c r="O366" i="8"/>
  <c r="W32" i="5"/>
  <c r="O353" i="8"/>
  <c r="J353" i="8"/>
  <c r="J380" i="8"/>
  <c r="O380" i="8"/>
  <c r="J423" i="8"/>
  <c r="O423" i="8"/>
  <c r="O431" i="8"/>
  <c r="J431" i="8"/>
  <c r="O356" i="8"/>
  <c r="J356" i="8"/>
  <c r="I416" i="8"/>
  <c r="I417" i="8"/>
  <c r="I413" i="8"/>
  <c r="I414" i="8"/>
  <c r="I418" i="8"/>
  <c r="I415" i="8"/>
  <c r="I412" i="8"/>
  <c r="I419" i="8"/>
  <c r="I408" i="8"/>
  <c r="I407" i="8"/>
  <c r="J354" i="8"/>
  <c r="O354" i="8"/>
  <c r="J382" i="8"/>
  <c r="O382" i="8"/>
  <c r="J424" i="8"/>
  <c r="O424" i="8"/>
  <c r="O428" i="8"/>
  <c r="J428" i="8"/>
  <c r="O422" i="8"/>
  <c r="J422" i="8"/>
  <c r="X54" i="5"/>
  <c r="O387" i="8"/>
  <c r="J387" i="8"/>
  <c r="O326" i="8"/>
  <c r="J326" i="8"/>
  <c r="O317" i="8"/>
  <c r="J317" i="8"/>
  <c r="W40" i="5"/>
  <c r="I450" i="8" s="1"/>
  <c r="I390" i="8"/>
  <c r="I389" i="8"/>
  <c r="I391" i="8"/>
  <c r="W64" i="5"/>
  <c r="W27" i="5"/>
  <c r="V27" i="5"/>
  <c r="I188" i="8" s="1"/>
  <c r="U69" i="5"/>
  <c r="W36" i="5"/>
  <c r="W28" i="5"/>
  <c r="J341" i="8"/>
  <c r="O341" i="8"/>
  <c r="W62" i="5"/>
  <c r="O352" i="8"/>
  <c r="J352" i="8"/>
  <c r="O406" i="8"/>
  <c r="J406" i="8"/>
  <c r="O420" i="8"/>
  <c r="J420" i="8"/>
  <c r="O429" i="8"/>
  <c r="J429" i="8"/>
  <c r="I505" i="8"/>
  <c r="I506" i="8"/>
  <c r="O361" i="8"/>
  <c r="J361" i="8"/>
  <c r="W16" i="5"/>
  <c r="J323" i="8"/>
  <c r="O323" i="8"/>
  <c r="O319" i="8"/>
  <c r="J319" i="8"/>
  <c r="O345" i="8"/>
  <c r="J345" i="8"/>
  <c r="O434" i="8"/>
  <c r="J434" i="8"/>
  <c r="O364" i="8"/>
  <c r="J364" i="8"/>
  <c r="W60" i="5"/>
  <c r="O355" i="8"/>
  <c r="J355" i="8"/>
  <c r="O426" i="8"/>
  <c r="J426" i="8"/>
  <c r="O342" i="8"/>
  <c r="J342" i="8"/>
  <c r="X28" i="5"/>
  <c r="X24" i="5"/>
  <c r="Y175" i="3" a="1"/>
  <c r="Y175" i="3" s="1"/>
  <c r="Y130" i="3" a="1"/>
  <c r="Y130" i="3" s="1"/>
  <c r="Y178" i="3" a="1"/>
  <c r="Y178" i="3" s="1"/>
  <c r="Y177" i="3" a="1"/>
  <c r="Y177" i="3" s="1"/>
  <c r="Y176" i="3" a="1"/>
  <c r="Y176" i="3" s="1"/>
  <c r="Y231" i="3" a="1"/>
  <c r="Y231" i="3" s="1"/>
  <c r="Y229" i="3" a="1"/>
  <c r="Y229" i="3" s="1"/>
  <c r="Y179" i="3" a="1"/>
  <c r="Y179" i="3" s="1"/>
  <c r="Y124" i="3" a="1"/>
  <c r="Y124" i="3" s="1"/>
  <c r="Y230" i="3" a="1"/>
  <c r="Y230" i="3" s="1"/>
  <c r="Y127" i="3" a="1"/>
  <c r="Y127" i="3" s="1"/>
  <c r="Y126" i="3" a="1"/>
  <c r="Y126" i="3" s="1"/>
  <c r="Y238" i="3" a="1"/>
  <c r="Y238" i="3" s="1"/>
  <c r="Y133" i="3" a="1"/>
  <c r="Y133" i="3" s="1"/>
  <c r="Y180" i="3" a="1"/>
  <c r="Y180" i="3" s="1"/>
  <c r="EG30" i="7"/>
  <c r="X18" i="5" s="1"/>
  <c r="B512" i="8"/>
  <c r="B505" i="8"/>
  <c r="J325" i="8"/>
  <c r="O325" i="8"/>
  <c r="O318" i="8"/>
  <c r="J318" i="8"/>
  <c r="O343" i="8"/>
  <c r="J343" i="8"/>
  <c r="O359" i="8"/>
  <c r="J359" i="8"/>
  <c r="J362" i="8"/>
  <c r="O362" i="8"/>
  <c r="O350" i="8"/>
  <c r="J350" i="8"/>
  <c r="O425" i="8"/>
  <c r="J425" i="8"/>
  <c r="I465" i="8"/>
  <c r="I464" i="8"/>
  <c r="J381" i="8"/>
  <c r="O381" i="8"/>
  <c r="B515" i="8"/>
  <c r="EG132" i="7"/>
  <c r="X60" i="5" s="1"/>
  <c r="B492" i="8"/>
  <c r="EG103" i="7"/>
  <c r="EG38" i="7"/>
  <c r="X22" i="5" s="1"/>
  <c r="EG93" i="7"/>
  <c r="EG83" i="7"/>
  <c r="X38" i="5" s="1"/>
  <c r="EG100" i="7"/>
  <c r="EG31" i="7"/>
  <c r="EG9" i="7"/>
  <c r="EG116" i="7"/>
  <c r="EG74" i="7"/>
  <c r="X34" i="5" s="1"/>
  <c r="EG65" i="7"/>
  <c r="EG89" i="7"/>
  <c r="EG87" i="7"/>
  <c r="EG64" i="7"/>
  <c r="EG68" i="7"/>
  <c r="EG105" i="7"/>
  <c r="B533" i="8"/>
  <c r="B543" i="8"/>
  <c r="B541" i="8"/>
  <c r="B539" i="8"/>
  <c r="EH147" i="7"/>
  <c r="EH124" i="7"/>
  <c r="EH108" i="7"/>
  <c r="EH104" i="7"/>
  <c r="EH146" i="7"/>
  <c r="EH122" i="7"/>
  <c r="EH148" i="7"/>
  <c r="EH134" i="7"/>
  <c r="EH131" i="7"/>
  <c r="EH123" i="7"/>
  <c r="EH110" i="7"/>
  <c r="EH143" i="7"/>
  <c r="EH133" i="7"/>
  <c r="EH70" i="7"/>
  <c r="EH76" i="7"/>
  <c r="EH73" i="7"/>
  <c r="EH61" i="7"/>
  <c r="EH68" i="7"/>
  <c r="EH64" i="7"/>
  <c r="EH91" i="7"/>
  <c r="EH83" i="7"/>
  <c r="EH81" i="7"/>
  <c r="EH93" i="7"/>
  <c r="EH59" i="7"/>
  <c r="EH55" i="7"/>
  <c r="EH16" i="7"/>
  <c r="EH18" i="7"/>
  <c r="EH14" i="7"/>
  <c r="B19" i="6"/>
  <c r="C18" i="6"/>
  <c r="B534" i="8" s="1"/>
  <c r="EH13" i="7"/>
  <c r="EH9" i="7"/>
  <c r="X256" i="3" a="1"/>
  <c r="X256" i="3" s="1"/>
  <c r="X255" i="3" a="1"/>
  <c r="X255" i="3" s="1"/>
  <c r="X53" i="3" a="1"/>
  <c r="X53" i="3" s="1"/>
  <c r="X54" i="3" a="1"/>
  <c r="X54" i="3" s="1"/>
  <c r="X55" i="3" a="1"/>
  <c r="X55" i="3" s="1"/>
  <c r="X56" i="3" a="1"/>
  <c r="X56" i="3" s="1"/>
  <c r="X253" i="3" a="1"/>
  <c r="X253" i="3" s="1"/>
  <c r="X57" i="3" a="1"/>
  <c r="X57" i="3" s="1"/>
  <c r="X58" i="3" a="1"/>
  <c r="X58" i="3" s="1"/>
  <c r="X254" i="3" a="1"/>
  <c r="X254" i="3" s="1"/>
  <c r="EH29" i="7"/>
  <c r="EH19" i="7"/>
  <c r="EH28" i="7"/>
  <c r="EH24" i="7"/>
  <c r="EH33" i="7"/>
  <c r="EH44" i="7"/>
  <c r="EH48" i="7"/>
  <c r="EH52" i="7"/>
  <c r="EH99" i="7"/>
  <c r="EH105" i="7"/>
  <c r="EH51" i="7"/>
  <c r="EH30" i="7"/>
  <c r="EH11" i="7"/>
  <c r="EH94" i="7"/>
  <c r="EH97" i="7"/>
  <c r="EH7" i="7"/>
  <c r="EH31" i="7"/>
  <c r="EH78" i="7"/>
  <c r="EH115" i="7"/>
  <c r="B538" i="8"/>
  <c r="B523" i="8"/>
  <c r="EH119" i="7"/>
  <c r="X59" i="3" a="1"/>
  <c r="X59" i="3" s="1"/>
  <c r="EH43" i="7"/>
  <c r="EH129" i="7"/>
  <c r="EH36" i="7"/>
  <c r="EH39" i="7"/>
  <c r="EH84" i="7"/>
  <c r="EH92" i="7"/>
  <c r="EH113" i="7"/>
  <c r="EH103" i="7"/>
  <c r="EH41" i="7"/>
  <c r="EH45" i="7"/>
  <c r="EH49" i="7"/>
  <c r="EH53" i="7"/>
  <c r="EH42" i="7"/>
  <c r="EH117" i="7"/>
  <c r="EH121" i="7"/>
  <c r="EH25" i="7"/>
  <c r="EH37" i="7"/>
  <c r="EH35" i="7"/>
  <c r="EH82" i="7"/>
  <c r="Y38" i="5" s="1"/>
  <c r="B535" i="8"/>
  <c r="EH127" i="7"/>
  <c r="B532" i="8"/>
  <c r="B520" i="8"/>
  <c r="B536" i="8"/>
  <c r="B559" i="8"/>
  <c r="B522" i="8"/>
  <c r="EH141" i="7"/>
  <c r="B550" i="8"/>
  <c r="B542" i="8"/>
  <c r="B554" i="8"/>
  <c r="EH107" i="7"/>
  <c r="EH145" i="7"/>
  <c r="B529" i="8"/>
  <c r="B552" i="8"/>
  <c r="B524" i="8"/>
  <c r="B556" i="8"/>
  <c r="B531" i="8"/>
  <c r="B558" i="8"/>
  <c r="B526" i="8"/>
  <c r="B527" i="8"/>
  <c r="EG99" i="7"/>
  <c r="B490" i="8"/>
  <c r="B517" i="8"/>
  <c r="J324" i="8"/>
  <c r="O324" i="8"/>
  <c r="I386" i="8"/>
  <c r="I385" i="8"/>
  <c r="O346" i="8"/>
  <c r="J346" i="8"/>
  <c r="O358" i="8"/>
  <c r="J358" i="8"/>
  <c r="I410" i="8"/>
  <c r="I409" i="8"/>
  <c r="J314" i="8"/>
  <c r="O314" i="8"/>
  <c r="O340" i="8"/>
  <c r="J340" i="8"/>
  <c r="J363" i="8"/>
  <c r="O363" i="8"/>
  <c r="W56" i="5"/>
  <c r="I451" i="8" s="1"/>
  <c r="O351" i="8"/>
  <c r="J351" i="8"/>
  <c r="O404" i="8"/>
  <c r="J404" i="8"/>
  <c r="J405" i="8"/>
  <c r="O405" i="8"/>
  <c r="J427" i="8"/>
  <c r="O427" i="8"/>
  <c r="I443" i="8"/>
  <c r="I444" i="8"/>
  <c r="J430" i="8"/>
  <c r="O430" i="8"/>
  <c r="B481" i="8"/>
  <c r="EG136" i="7"/>
  <c r="EG118" i="7"/>
  <c r="B501" i="8"/>
  <c r="EG90" i="7"/>
  <c r="EG33" i="7"/>
  <c r="X20" i="5" s="1"/>
  <c r="EG85" i="7"/>
  <c r="X40" i="5" s="1"/>
  <c r="EG56" i="7"/>
  <c r="X30" i="5" s="1"/>
  <c r="EG108" i="7"/>
  <c r="X49" i="5" s="1"/>
  <c r="EG5" i="7"/>
  <c r="EG12" i="7"/>
  <c r="EG104" i="7"/>
  <c r="EG63" i="7"/>
  <c r="EG13" i="7"/>
  <c r="EG81" i="7"/>
  <c r="EG79" i="7"/>
  <c r="EG70" i="7"/>
  <c r="EG7" i="7"/>
  <c r="EG117" i="7"/>
  <c r="EG22" i="7"/>
  <c r="EG97" i="7"/>
  <c r="B498" i="8"/>
  <c r="B479" i="8"/>
  <c r="O327" i="8"/>
  <c r="J327" i="8"/>
  <c r="O357" i="8"/>
  <c r="J357" i="8"/>
  <c r="J365" i="8"/>
  <c r="O365" i="8"/>
  <c r="I459" i="8"/>
  <c r="I462" i="8"/>
  <c r="I456" i="8"/>
  <c r="I461" i="8"/>
  <c r="I463" i="8"/>
  <c r="I457" i="8"/>
  <c r="I458" i="8"/>
  <c r="I460" i="8"/>
  <c r="J349" i="8"/>
  <c r="O349" i="8"/>
  <c r="O421" i="8"/>
  <c r="J421" i="8"/>
  <c r="J432" i="8"/>
  <c r="O432" i="8"/>
  <c r="J435" i="8" l="1"/>
  <c r="J436" i="8"/>
  <c r="X32" i="5"/>
  <c r="J124" i="8"/>
  <c r="O252" i="8"/>
  <c r="J250" i="8"/>
  <c r="O256" i="8"/>
  <c r="J129" i="8"/>
  <c r="J186" i="8"/>
  <c r="O188" i="8"/>
  <c r="O36" i="9" s="1"/>
  <c r="J188" i="8"/>
  <c r="I491" i="8"/>
  <c r="O491" i="8" s="1"/>
  <c r="V69" i="5"/>
  <c r="I187" i="8"/>
  <c r="I253" i="8"/>
  <c r="I181" i="8"/>
  <c r="I454" i="8"/>
  <c r="O454" i="8" s="1"/>
  <c r="I190" i="8"/>
  <c r="X47" i="5"/>
  <c r="X36" i="5"/>
  <c r="O388" i="8"/>
  <c r="J78" i="9"/>
  <c r="J47" i="9"/>
  <c r="I455" i="8"/>
  <c r="O455" i="8" s="1"/>
  <c r="I452" i="8"/>
  <c r="O452" i="8" s="1"/>
  <c r="I544" i="8"/>
  <c r="I453" i="8"/>
  <c r="O453" i="8" s="1"/>
  <c r="I468" i="8"/>
  <c r="I467" i="8"/>
  <c r="X16" i="5"/>
  <c r="X42" i="5"/>
  <c r="C90" i="5"/>
  <c r="D90" i="5" s="1"/>
  <c r="D89" i="5"/>
  <c r="X45" i="5"/>
  <c r="I437" i="8"/>
  <c r="O437" i="8" s="1"/>
  <c r="X52" i="5"/>
  <c r="O45" i="9"/>
  <c r="G7" i="10"/>
  <c r="H7" i="10"/>
  <c r="G6" i="10"/>
  <c r="H6" i="10"/>
  <c r="H5" i="10"/>
  <c r="G5" i="10"/>
  <c r="T73" i="5"/>
  <c r="I470" i="8" s="1"/>
  <c r="U72" i="5"/>
  <c r="U70" i="5"/>
  <c r="X14" i="5"/>
  <c r="I495" i="8"/>
  <c r="I496" i="8"/>
  <c r="I492" i="8"/>
  <c r="I494" i="8"/>
  <c r="I493" i="8"/>
  <c r="I489" i="8"/>
  <c r="I490" i="8"/>
  <c r="I503" i="8"/>
  <c r="I497" i="8"/>
  <c r="I498" i="8"/>
  <c r="I504" i="8"/>
  <c r="I501" i="8"/>
  <c r="I502" i="8"/>
  <c r="I500" i="8"/>
  <c r="J459" i="8"/>
  <c r="O459" i="8"/>
  <c r="O409" i="8"/>
  <c r="J409" i="8"/>
  <c r="I471" i="8"/>
  <c r="I445" i="8"/>
  <c r="I447" i="8"/>
  <c r="I446" i="8"/>
  <c r="J415" i="8"/>
  <c r="O415" i="8"/>
  <c r="O449" i="8"/>
  <c r="J449" i="8"/>
  <c r="Y24" i="5"/>
  <c r="EH17" i="7"/>
  <c r="EH4" i="7"/>
  <c r="EH63" i="7"/>
  <c r="EH85" i="7"/>
  <c r="EH72" i="7"/>
  <c r="EH58" i="7"/>
  <c r="EH98" i="7"/>
  <c r="EH140" i="7"/>
  <c r="EH130" i="7"/>
  <c r="EH112" i="7"/>
  <c r="B553" i="8"/>
  <c r="B537" i="8"/>
  <c r="O391" i="8"/>
  <c r="J391" i="8"/>
  <c r="O418" i="8"/>
  <c r="J418" i="8"/>
  <c r="J448" i="8"/>
  <c r="O448" i="8"/>
  <c r="I486" i="8"/>
  <c r="I488" i="8"/>
  <c r="I487" i="8"/>
  <c r="O460" i="8"/>
  <c r="J460" i="8"/>
  <c r="O410" i="8"/>
  <c r="J410" i="8"/>
  <c r="O458" i="8"/>
  <c r="J458" i="8"/>
  <c r="EH111" i="7"/>
  <c r="EH22" i="7"/>
  <c r="EH40" i="7"/>
  <c r="EH54" i="7"/>
  <c r="Y28" i="5" s="1"/>
  <c r="EH21" i="7"/>
  <c r="EH8" i="7"/>
  <c r="EH67" i="7"/>
  <c r="EH87" i="7"/>
  <c r="EH74" i="7"/>
  <c r="EH62" i="7"/>
  <c r="EH102" i="7"/>
  <c r="EH120" i="7"/>
  <c r="EH135" i="7"/>
  <c r="EH116" i="7"/>
  <c r="B521" i="8"/>
  <c r="B555" i="8"/>
  <c r="X71" i="5"/>
  <c r="J389" i="8"/>
  <c r="O389" i="8"/>
  <c r="O414" i="8"/>
  <c r="J414" i="8"/>
  <c r="J462" i="8"/>
  <c r="O462" i="8"/>
  <c r="O444" i="8"/>
  <c r="J444" i="8"/>
  <c r="EH12" i="7"/>
  <c r="EH71" i="7"/>
  <c r="EH89" i="7"/>
  <c r="EH57" i="7"/>
  <c r="EH66" i="7"/>
  <c r="EH106" i="7"/>
  <c r="EH128" i="7"/>
  <c r="Y58" i="5" s="1"/>
  <c r="EH138" i="7"/>
  <c r="EH132" i="7"/>
  <c r="B525" i="8"/>
  <c r="B557" i="8"/>
  <c r="J464" i="8"/>
  <c r="O464" i="8"/>
  <c r="O390" i="8"/>
  <c r="J390" i="8"/>
  <c r="J413" i="8"/>
  <c r="O413" i="8"/>
  <c r="O457" i="8"/>
  <c r="J457" i="8"/>
  <c r="J443" i="8"/>
  <c r="O443" i="8"/>
  <c r="B565" i="8"/>
  <c r="B593" i="8"/>
  <c r="B595" i="8"/>
  <c r="B579" i="8"/>
  <c r="B563" i="8"/>
  <c r="B561" i="8"/>
  <c r="B591" i="8"/>
  <c r="B599" i="8"/>
  <c r="EI146" i="7"/>
  <c r="EI138" i="7"/>
  <c r="EI116" i="7"/>
  <c r="EI112" i="7"/>
  <c r="EI108" i="7"/>
  <c r="EI130" i="7"/>
  <c r="EI148" i="7"/>
  <c r="EI144" i="7"/>
  <c r="EI128" i="7"/>
  <c r="EI140" i="7"/>
  <c r="EI118" i="7"/>
  <c r="EI114" i="7"/>
  <c r="EI110" i="7"/>
  <c r="EI126" i="7"/>
  <c r="EI136" i="7"/>
  <c r="EI124" i="7"/>
  <c r="EI104" i="7"/>
  <c r="EI51" i="7"/>
  <c r="EI47" i="7"/>
  <c r="EI43" i="7"/>
  <c r="EI95" i="7"/>
  <c r="EI73" i="7"/>
  <c r="EI69" i="7"/>
  <c r="EI65" i="7"/>
  <c r="EI61" i="7"/>
  <c r="EI57" i="7"/>
  <c r="EI98" i="7"/>
  <c r="EI72" i="7"/>
  <c r="EI68" i="7"/>
  <c r="EI64" i="7"/>
  <c r="EI60" i="7"/>
  <c r="EI56" i="7"/>
  <c r="EI102" i="7"/>
  <c r="EI91" i="7"/>
  <c r="EI87" i="7"/>
  <c r="EI85" i="7"/>
  <c r="EI83" i="7"/>
  <c r="EI81" i="7"/>
  <c r="EI79" i="7"/>
  <c r="EI77" i="7"/>
  <c r="EI53" i="7"/>
  <c r="EI45" i="7"/>
  <c r="EI93" i="7"/>
  <c r="EI75" i="7"/>
  <c r="EI40" i="7"/>
  <c r="EI23" i="7"/>
  <c r="EI35" i="7"/>
  <c r="EI29" i="7"/>
  <c r="B20" i="6"/>
  <c r="EI28" i="7"/>
  <c r="EI25" i="7"/>
  <c r="EI18" i="7"/>
  <c r="EI14" i="7"/>
  <c r="EI10" i="7"/>
  <c r="EI6" i="7"/>
  <c r="C19" i="6"/>
  <c r="B581" i="8" s="1"/>
  <c r="EI37" i="7"/>
  <c r="EI22" i="7"/>
  <c r="EI27" i="7"/>
  <c r="EI16" i="7"/>
  <c r="EI32" i="7"/>
  <c r="EI34" i="7"/>
  <c r="EI94" i="7"/>
  <c r="EI44" i="7"/>
  <c r="EI48" i="7"/>
  <c r="EI52" i="7"/>
  <c r="EI63" i="7"/>
  <c r="EI97" i="7"/>
  <c r="EI74" i="7"/>
  <c r="EI12" i="7"/>
  <c r="EI33" i="7"/>
  <c r="EI62" i="7"/>
  <c r="EI78" i="7"/>
  <c r="EI86" i="7"/>
  <c r="EI101" i="7"/>
  <c r="EI59" i="7"/>
  <c r="EI11" i="7"/>
  <c r="EI8" i="7"/>
  <c r="EI55" i="7"/>
  <c r="EI42" i="7"/>
  <c r="EI46" i="7"/>
  <c r="EI50" i="7"/>
  <c r="EI109" i="7"/>
  <c r="EI141" i="7"/>
  <c r="EI4" i="7"/>
  <c r="EI58" i="7"/>
  <c r="EI76" i="7"/>
  <c r="EI84" i="7"/>
  <c r="EI92" i="7"/>
  <c r="B560" i="8"/>
  <c r="B590" i="8"/>
  <c r="B580" i="8"/>
  <c r="B575" i="8"/>
  <c r="EI41" i="7"/>
  <c r="EI15" i="7"/>
  <c r="EI7" i="7"/>
  <c r="EI30" i="7"/>
  <c r="EI24" i="7"/>
  <c r="EI103" i="7"/>
  <c r="EI137" i="7"/>
  <c r="EI115" i="7"/>
  <c r="EI123" i="7"/>
  <c r="EI133" i="7"/>
  <c r="EI135" i="7"/>
  <c r="EI19" i="7"/>
  <c r="EI54" i="7"/>
  <c r="EI70" i="7"/>
  <c r="EI82" i="7"/>
  <c r="Z38" i="5" s="1"/>
  <c r="EI90" i="7"/>
  <c r="EI71" i="7"/>
  <c r="EI120" i="7"/>
  <c r="EI117" i="7"/>
  <c r="EI20" i="7"/>
  <c r="EI38" i="7"/>
  <c r="EI31" i="7"/>
  <c r="EI5" i="7"/>
  <c r="EI9" i="7"/>
  <c r="EI13" i="7"/>
  <c r="EI17" i="7"/>
  <c r="EI21" i="7"/>
  <c r="EI36" i="7"/>
  <c r="EI66" i="7"/>
  <c r="EI80" i="7"/>
  <c r="EI88" i="7"/>
  <c r="EI67" i="7"/>
  <c r="EI99" i="7"/>
  <c r="EI105" i="7"/>
  <c r="EI121" i="7"/>
  <c r="EI113" i="7"/>
  <c r="EI129" i="7"/>
  <c r="B597" i="8"/>
  <c r="B572" i="8"/>
  <c r="B570" i="8"/>
  <c r="EI107" i="7"/>
  <c r="EI139" i="7"/>
  <c r="B566" i="8"/>
  <c r="B598" i="8"/>
  <c r="EI131" i="7"/>
  <c r="EI127" i="7"/>
  <c r="EI145" i="7"/>
  <c r="EI111" i="7"/>
  <c r="EI143" i="7"/>
  <c r="Z62" i="5" s="1"/>
  <c r="B568" i="8"/>
  <c r="B578" i="8"/>
  <c r="B576" i="8"/>
  <c r="EI119" i="7"/>
  <c r="EI125" i="7"/>
  <c r="B574" i="8"/>
  <c r="B594" i="8"/>
  <c r="B567" i="8"/>
  <c r="B562" i="8"/>
  <c r="EI147" i="7"/>
  <c r="B582" i="8"/>
  <c r="B564" i="8"/>
  <c r="B596" i="8"/>
  <c r="B583" i="8"/>
  <c r="B592" i="8"/>
  <c r="Y64" i="5"/>
  <c r="O465" i="8"/>
  <c r="J465" i="8"/>
  <c r="O450" i="8"/>
  <c r="J450" i="8"/>
  <c r="J407" i="8"/>
  <c r="O407" i="8"/>
  <c r="O417" i="8"/>
  <c r="J417" i="8"/>
  <c r="I484" i="8"/>
  <c r="I485" i="8"/>
  <c r="B528" i="8"/>
  <c r="EH50" i="7"/>
  <c r="EH47" i="7"/>
  <c r="EH109" i="7"/>
  <c r="Y49" i="5" s="1"/>
  <c r="EH101" i="7"/>
  <c r="EH34" i="7"/>
  <c r="Y20" i="5" s="1"/>
  <c r="EH88" i="7"/>
  <c r="EH15" i="7"/>
  <c r="EH27" i="7"/>
  <c r="EH6" i="7"/>
  <c r="EH20" i="7"/>
  <c r="EH77" i="7"/>
  <c r="EH56" i="7"/>
  <c r="EH65" i="7"/>
  <c r="EH136" i="7"/>
  <c r="EH114" i="7"/>
  <c r="EH137" i="7"/>
  <c r="EH95" i="7"/>
  <c r="EH139" i="7"/>
  <c r="B540" i="8"/>
  <c r="I483" i="8"/>
  <c r="I482" i="8"/>
  <c r="I479" i="8"/>
  <c r="I480" i="8"/>
  <c r="I481" i="8"/>
  <c r="X27" i="5"/>
  <c r="W69" i="5"/>
  <c r="J408" i="8"/>
  <c r="O408" i="8"/>
  <c r="J416" i="8"/>
  <c r="O416" i="8"/>
  <c r="J463" i="8"/>
  <c r="O463" i="8"/>
  <c r="O461" i="8"/>
  <c r="J461" i="8"/>
  <c r="J456" i="8"/>
  <c r="O456" i="8"/>
  <c r="O385" i="8"/>
  <c r="J385" i="8"/>
  <c r="B530" i="8"/>
  <c r="EH125" i="7"/>
  <c r="Y54" i="5" s="1"/>
  <c r="B551" i="8"/>
  <c r="EH90" i="7"/>
  <c r="EH46" i="7"/>
  <c r="EH26" i="7"/>
  <c r="EH23" i="7"/>
  <c r="EH86" i="7"/>
  <c r="EH32" i="7"/>
  <c r="EH80" i="7"/>
  <c r="EH38" i="7"/>
  <c r="Y22" i="5" s="1"/>
  <c r="EH5" i="7"/>
  <c r="EH10" i="7"/>
  <c r="EH75" i="7"/>
  <c r="EH79" i="7"/>
  <c r="EH60" i="7"/>
  <c r="EH69" i="7"/>
  <c r="EH126" i="7"/>
  <c r="Y56" i="5" s="1"/>
  <c r="EH118" i="7"/>
  <c r="Y52" i="5" s="1"/>
  <c r="EH144" i="7"/>
  <c r="Y62" i="5" s="1"/>
  <c r="EH100" i="7"/>
  <c r="EH142" i="7"/>
  <c r="O506" i="8"/>
  <c r="J506" i="8"/>
  <c r="O419" i="8"/>
  <c r="J419" i="8"/>
  <c r="J451" i="8"/>
  <c r="O451" i="8"/>
  <c r="J386" i="8"/>
  <c r="O386" i="8"/>
  <c r="J505" i="8"/>
  <c r="O505" i="8"/>
  <c r="I440" i="8"/>
  <c r="I438" i="8"/>
  <c r="I442" i="8"/>
  <c r="I439" i="8"/>
  <c r="I441" i="8"/>
  <c r="O412" i="8"/>
  <c r="J412" i="8"/>
  <c r="J454" i="8" l="1"/>
  <c r="V70" i="5"/>
  <c r="W70" i="5" s="1"/>
  <c r="J491" i="8"/>
  <c r="J253" i="8"/>
  <c r="O253" i="8"/>
  <c r="J187" i="8"/>
  <c r="O187" i="8"/>
  <c r="O35" i="9" s="1"/>
  <c r="J181" i="8"/>
  <c r="O181" i="8"/>
  <c r="O29" i="9" s="1"/>
  <c r="O190" i="8"/>
  <c r="O38" i="9" s="1"/>
  <c r="J190" i="8"/>
  <c r="J452" i="8"/>
  <c r="I512" i="8"/>
  <c r="J512" i="8" s="1"/>
  <c r="J453" i="8"/>
  <c r="J455" i="8"/>
  <c r="O470" i="8"/>
  <c r="J470" i="8"/>
  <c r="O544" i="8"/>
  <c r="O85" i="9" s="1"/>
  <c r="J544" i="8"/>
  <c r="I469" i="8"/>
  <c r="I508" i="8"/>
  <c r="J467" i="8"/>
  <c r="O467" i="8"/>
  <c r="O83" i="9" s="1"/>
  <c r="I509" i="8"/>
  <c r="O468" i="8"/>
  <c r="O84" i="9" s="1"/>
  <c r="J468" i="8"/>
  <c r="J437" i="8"/>
  <c r="Y30" i="5"/>
  <c r="I532" i="8" s="1"/>
  <c r="Y45" i="5"/>
  <c r="U73" i="5"/>
  <c r="I510" i="8" s="1"/>
  <c r="V72" i="5"/>
  <c r="Z49" i="5"/>
  <c r="I528" i="8"/>
  <c r="I527" i="8"/>
  <c r="I530" i="8"/>
  <c r="I529" i="8"/>
  <c r="I526" i="8"/>
  <c r="I543" i="8"/>
  <c r="I536" i="8"/>
  <c r="I541" i="8"/>
  <c r="I539" i="8"/>
  <c r="I542" i="8"/>
  <c r="I537" i="8"/>
  <c r="I540" i="8"/>
  <c r="I525" i="8"/>
  <c r="I521" i="8"/>
  <c r="I522" i="8"/>
  <c r="I520" i="8"/>
  <c r="I523" i="8"/>
  <c r="I524" i="8"/>
  <c r="O447" i="8"/>
  <c r="J447" i="8"/>
  <c r="J471" i="8"/>
  <c r="O471" i="8"/>
  <c r="O500" i="8"/>
  <c r="J500" i="8"/>
  <c r="J490" i="8"/>
  <c r="O490" i="8"/>
  <c r="O481" i="8"/>
  <c r="J481" i="8"/>
  <c r="Z58" i="5"/>
  <c r="EI132" i="7"/>
  <c r="B569" i="8"/>
  <c r="B573" i="8"/>
  <c r="Y34" i="5"/>
  <c r="O445" i="8"/>
  <c r="J445" i="8"/>
  <c r="O502" i="8"/>
  <c r="J502" i="8"/>
  <c r="O489" i="8"/>
  <c r="J489" i="8"/>
  <c r="I583" i="8"/>
  <c r="Z32" i="5"/>
  <c r="Y18" i="5"/>
  <c r="J480" i="8"/>
  <c r="O480" i="8"/>
  <c r="O485" i="8"/>
  <c r="J485" i="8"/>
  <c r="Z40" i="5"/>
  <c r="EI134" i="7"/>
  <c r="Z60" i="5" s="1"/>
  <c r="B577" i="8"/>
  <c r="B48" i="9" s="1"/>
  <c r="Y32" i="5"/>
  <c r="O501" i="8"/>
  <c r="J501" i="8"/>
  <c r="O493" i="8"/>
  <c r="J493" i="8"/>
  <c r="Z16" i="5"/>
  <c r="O441" i="8"/>
  <c r="J441" i="8"/>
  <c r="O439" i="8"/>
  <c r="J439" i="8"/>
  <c r="O479" i="8"/>
  <c r="J479" i="8"/>
  <c r="B601" i="8"/>
  <c r="EJ146" i="7"/>
  <c r="EJ138" i="7"/>
  <c r="EJ135" i="7"/>
  <c r="EJ147" i="7"/>
  <c r="EJ85" i="7"/>
  <c r="EJ81" i="7"/>
  <c r="EJ77" i="7"/>
  <c r="EJ133" i="7"/>
  <c r="EJ124" i="7"/>
  <c r="EJ142" i="7"/>
  <c r="EJ91" i="7"/>
  <c r="EJ87" i="7"/>
  <c r="EJ83" i="7"/>
  <c r="EJ57" i="7"/>
  <c r="EJ72" i="7"/>
  <c r="EJ68" i="7"/>
  <c r="EJ84" i="7"/>
  <c r="EJ82" i="7"/>
  <c r="AA38" i="5" s="1"/>
  <c r="EJ80" i="7"/>
  <c r="EJ55" i="7"/>
  <c r="EJ75" i="7"/>
  <c r="EJ70" i="7"/>
  <c r="EJ15" i="7"/>
  <c r="EJ11" i="7"/>
  <c r="EJ7" i="7"/>
  <c r="B21" i="6"/>
  <c r="C20" i="6"/>
  <c r="B603" i="8" s="1"/>
  <c r="EJ13" i="7"/>
  <c r="EJ9" i="7"/>
  <c r="EJ5" i="7"/>
  <c r="EJ16" i="7"/>
  <c r="EJ23" i="7"/>
  <c r="EJ27" i="7"/>
  <c r="EJ32" i="7"/>
  <c r="EJ10" i="7"/>
  <c r="EJ76" i="7"/>
  <c r="EJ108" i="7"/>
  <c r="EJ113" i="7"/>
  <c r="EJ102" i="7"/>
  <c r="EJ112" i="7"/>
  <c r="B604" i="8"/>
  <c r="B600" i="8"/>
  <c r="EJ40" i="7"/>
  <c r="EJ107" i="7"/>
  <c r="EJ41" i="7"/>
  <c r="EJ45" i="7"/>
  <c r="EJ49" i="7"/>
  <c r="EJ53" i="7"/>
  <c r="EJ121" i="7"/>
  <c r="EJ141" i="7"/>
  <c r="EJ25" i="7"/>
  <c r="EJ38" i="7"/>
  <c r="EJ37" i="7"/>
  <c r="EJ129" i="7"/>
  <c r="EJ98" i="7"/>
  <c r="EJ14" i="7"/>
  <c r="EJ30" i="7"/>
  <c r="EJ29" i="7"/>
  <c r="EJ90" i="7"/>
  <c r="EJ97" i="7"/>
  <c r="EJ46" i="7"/>
  <c r="EJ109" i="7"/>
  <c r="EJ117" i="7"/>
  <c r="EJ39" i="7"/>
  <c r="EJ43" i="7"/>
  <c r="EJ47" i="7"/>
  <c r="EJ51" i="7"/>
  <c r="EJ101" i="7"/>
  <c r="EJ120" i="7"/>
  <c r="B602" i="8"/>
  <c r="EJ106" i="7"/>
  <c r="EJ111" i="7"/>
  <c r="EJ114" i="7"/>
  <c r="Z56" i="5"/>
  <c r="O487" i="8"/>
  <c r="J487" i="8"/>
  <c r="O504" i="8"/>
  <c r="J504" i="8"/>
  <c r="O494" i="8"/>
  <c r="J494" i="8"/>
  <c r="J440" i="8"/>
  <c r="O440" i="8"/>
  <c r="X69" i="5"/>
  <c r="Y27" i="5"/>
  <c r="Y36" i="5"/>
  <c r="Y42" i="5"/>
  <c r="O484" i="8"/>
  <c r="J484" i="8"/>
  <c r="O442" i="8"/>
  <c r="J442" i="8"/>
  <c r="Y16" i="5"/>
  <c r="Y26" i="5"/>
  <c r="J482" i="8"/>
  <c r="O482" i="8"/>
  <c r="Z52" i="5"/>
  <c r="Z24" i="5"/>
  <c r="Y255" i="3" a="1"/>
  <c r="Y255" i="3" s="1"/>
  <c r="Y256" i="3" a="1"/>
  <c r="Y256" i="3" s="1"/>
  <c r="Y240" i="3" a="1"/>
  <c r="Y240" i="3" s="1"/>
  <c r="Y120" i="3" a="1"/>
  <c r="Y120" i="3" s="1"/>
  <c r="Y87" i="3" a="1"/>
  <c r="Y87" i="3" s="1"/>
  <c r="Y85" i="3" a="1"/>
  <c r="Y85" i="3" s="1"/>
  <c r="Y54" i="3" a="1"/>
  <c r="Y54" i="3" s="1"/>
  <c r="Y241" i="3" a="1"/>
  <c r="Y241" i="3" s="1"/>
  <c r="Y86" i="3" a="1"/>
  <c r="Y86" i="3" s="1"/>
  <c r="Y55" i="3" a="1"/>
  <c r="Y55" i="3" s="1"/>
  <c r="Y242" i="3" a="1"/>
  <c r="Y242" i="3" s="1"/>
  <c r="Y197" i="3" a="1"/>
  <c r="Y197" i="3" s="1"/>
  <c r="Y193" i="3" a="1"/>
  <c r="Y193" i="3" s="1"/>
  <c r="Y56" i="3" a="1"/>
  <c r="Y56" i="3" s="1"/>
  <c r="Y253" i="3" a="1"/>
  <c r="Y253" i="3" s="1"/>
  <c r="Y243" i="3" a="1"/>
  <c r="Y243" i="3" s="1"/>
  <c r="Y201" i="3" a="1"/>
  <c r="Y201" i="3" s="1"/>
  <c r="Y198" i="3" a="1"/>
  <c r="Y198" i="3" s="1"/>
  <c r="Y194" i="3" a="1"/>
  <c r="Y194" i="3" s="1"/>
  <c r="Y57" i="3" a="1"/>
  <c r="Y57" i="3" s="1"/>
  <c r="Y246" i="3" a="1"/>
  <c r="Y246" i="3" s="1"/>
  <c r="Y244" i="3" a="1"/>
  <c r="Y244" i="3" s="1"/>
  <c r="Y204" i="3" a="1"/>
  <c r="Y204" i="3" s="1"/>
  <c r="Y202" i="3" a="1"/>
  <c r="Y202" i="3" s="1"/>
  <c r="Y199" i="3" a="1"/>
  <c r="Y199" i="3" s="1"/>
  <c r="Y195" i="3" a="1"/>
  <c r="Y195" i="3" s="1"/>
  <c r="Y58" i="3" a="1"/>
  <c r="Y58" i="3" s="1"/>
  <c r="Y245" i="3" a="1"/>
  <c r="Y245" i="3" s="1"/>
  <c r="Y203" i="3" a="1"/>
  <c r="Y203" i="3" s="1"/>
  <c r="Y254" i="3" a="1"/>
  <c r="Y254" i="3" s="1"/>
  <c r="Y118" i="3" a="1"/>
  <c r="Y118" i="3" s="1"/>
  <c r="Y239" i="3" a="1"/>
  <c r="Y239" i="3" s="1"/>
  <c r="Y196" i="3" a="1"/>
  <c r="Y196" i="3" s="1"/>
  <c r="Y119" i="3" a="1"/>
  <c r="Y119" i="3" s="1"/>
  <c r="Y53" i="3" a="1"/>
  <c r="Y53" i="3" s="1"/>
  <c r="Y59" i="3" a="1"/>
  <c r="Y59" i="3" s="1"/>
  <c r="Y121" i="3" a="1"/>
  <c r="Y121" i="3" s="1"/>
  <c r="EI26" i="7"/>
  <c r="Z18" i="5" s="1"/>
  <c r="EI49" i="7"/>
  <c r="Z26" i="5" s="1"/>
  <c r="EI89" i="7"/>
  <c r="Z42" i="5" s="1"/>
  <c r="EI100" i="7"/>
  <c r="Z45" i="5" s="1"/>
  <c r="EI39" i="7"/>
  <c r="Z22" i="5" s="1"/>
  <c r="EI106" i="7"/>
  <c r="Z47" i="5" s="1"/>
  <c r="EI122" i="7"/>
  <c r="Z54" i="5" s="1"/>
  <c r="EI142" i="7"/>
  <c r="B571" i="8"/>
  <c r="J488" i="8"/>
  <c r="O488" i="8"/>
  <c r="Y40" i="5"/>
  <c r="J498" i="8"/>
  <c r="O498" i="8"/>
  <c r="O492" i="8"/>
  <c r="J492" i="8"/>
  <c r="O438" i="8"/>
  <c r="J438" i="8"/>
  <c r="J483" i="8"/>
  <c r="O483" i="8"/>
  <c r="I531" i="8"/>
  <c r="Z20" i="5"/>
  <c r="Z64" i="5"/>
  <c r="O486" i="8"/>
  <c r="J486" i="8"/>
  <c r="O497" i="8"/>
  <c r="J497" i="8"/>
  <c r="J496" i="8"/>
  <c r="O496" i="8"/>
  <c r="O495" i="8"/>
  <c r="J495" i="8"/>
  <c r="Y14" i="5"/>
  <c r="Y71" i="5"/>
  <c r="O503" i="8"/>
  <c r="J503" i="8"/>
  <c r="Z14" i="5"/>
  <c r="Z34" i="5"/>
  <c r="Z36" i="5"/>
  <c r="Z30" i="5"/>
  <c r="Z28" i="5"/>
  <c r="Y47" i="5"/>
  <c r="Y60" i="5"/>
  <c r="O446" i="8"/>
  <c r="J446" i="8"/>
  <c r="I579" i="8" l="1"/>
  <c r="J579" i="8" s="1"/>
  <c r="O512" i="8"/>
  <c r="O510" i="8"/>
  <c r="J510" i="8"/>
  <c r="O469" i="8"/>
  <c r="J469" i="8"/>
  <c r="I474" i="8"/>
  <c r="I475" i="8"/>
  <c r="I472" i="8"/>
  <c r="I473" i="8"/>
  <c r="I476" i="8"/>
  <c r="O509" i="8"/>
  <c r="J509" i="8"/>
  <c r="I511" i="8"/>
  <c r="O508" i="8"/>
  <c r="J508" i="8"/>
  <c r="I581" i="8"/>
  <c r="J581" i="8" s="1"/>
  <c r="X70" i="5"/>
  <c r="V73" i="5"/>
  <c r="W72" i="5"/>
  <c r="I577" i="8"/>
  <c r="I48" i="9" s="1"/>
  <c r="I576" i="8"/>
  <c r="J576" i="8" s="1"/>
  <c r="I582" i="8"/>
  <c r="O582" i="8" s="1"/>
  <c r="I580" i="8"/>
  <c r="J580" i="8" s="1"/>
  <c r="I560" i="8"/>
  <c r="I561" i="8"/>
  <c r="I563" i="8"/>
  <c r="I565" i="8"/>
  <c r="I562" i="8"/>
  <c r="I564" i="8"/>
  <c r="J583" i="8"/>
  <c r="O583" i="8"/>
  <c r="J525" i="8"/>
  <c r="O525" i="8"/>
  <c r="J536" i="8"/>
  <c r="O536" i="8"/>
  <c r="Z71" i="5"/>
  <c r="Z27" i="5"/>
  <c r="Y69" i="5"/>
  <c r="EJ110" i="7"/>
  <c r="EJ33" i="7"/>
  <c r="EJ94" i="7"/>
  <c r="EJ105" i="7"/>
  <c r="EJ116" i="7"/>
  <c r="EJ52" i="7"/>
  <c r="EJ36" i="7"/>
  <c r="EJ103" i="7"/>
  <c r="EJ4" i="7"/>
  <c r="EJ17" i="7"/>
  <c r="EJ19" i="7"/>
  <c r="EJ59" i="7"/>
  <c r="EJ86" i="7"/>
  <c r="AA40" i="5" s="1"/>
  <c r="EJ61" i="7"/>
  <c r="EJ95" i="7"/>
  <c r="EJ136" i="7"/>
  <c r="EJ89" i="7"/>
  <c r="EJ144" i="7"/>
  <c r="O543" i="8"/>
  <c r="J543" i="8"/>
  <c r="I534" i="8"/>
  <c r="I535" i="8"/>
  <c r="I533" i="8"/>
  <c r="EJ125" i="7"/>
  <c r="EJ115" i="7"/>
  <c r="AA49" i="5" s="1"/>
  <c r="EJ24" i="7"/>
  <c r="AA18" i="5" s="1"/>
  <c r="EJ34" i="7"/>
  <c r="EJ99" i="7"/>
  <c r="EJ50" i="7"/>
  <c r="AA26" i="5" s="1"/>
  <c r="EJ48" i="7"/>
  <c r="EJ6" i="7"/>
  <c r="EJ119" i="7"/>
  <c r="EJ8" i="7"/>
  <c r="EJ21" i="7"/>
  <c r="EJ26" i="7"/>
  <c r="EJ63" i="7"/>
  <c r="EJ88" i="7"/>
  <c r="EJ65" i="7"/>
  <c r="EJ100" i="7"/>
  <c r="EJ143" i="7"/>
  <c r="EJ134" i="7"/>
  <c r="EJ148" i="7"/>
  <c r="AA64" i="5" s="1"/>
  <c r="O540" i="8"/>
  <c r="J540" i="8"/>
  <c r="I568" i="8"/>
  <c r="I566" i="8"/>
  <c r="I567" i="8"/>
  <c r="I569" i="8"/>
  <c r="I570" i="8"/>
  <c r="EJ145" i="7"/>
  <c r="EJ92" i="7"/>
  <c r="EJ28" i="7"/>
  <c r="EJ74" i="7"/>
  <c r="EJ35" i="7"/>
  <c r="EJ18" i="7"/>
  <c r="EJ44" i="7"/>
  <c r="AA24" i="5" s="1"/>
  <c r="EJ118" i="7"/>
  <c r="EJ31" i="7"/>
  <c r="EJ12" i="7"/>
  <c r="EJ22" i="7"/>
  <c r="EJ58" i="7"/>
  <c r="EJ67" i="7"/>
  <c r="EJ56" i="7"/>
  <c r="AA30" i="5" s="1"/>
  <c r="EJ69" i="7"/>
  <c r="EJ104" i="7"/>
  <c r="EJ123" i="7"/>
  <c r="EJ137" i="7"/>
  <c r="EJ122" i="7"/>
  <c r="J524" i="8"/>
  <c r="O524" i="8"/>
  <c r="J537" i="8"/>
  <c r="O537" i="8"/>
  <c r="O526" i="8"/>
  <c r="J526" i="8"/>
  <c r="O531" i="8"/>
  <c r="J531" i="8"/>
  <c r="I571" i="8"/>
  <c r="I572" i="8"/>
  <c r="EJ62" i="7"/>
  <c r="EJ71" i="7"/>
  <c r="EJ60" i="7"/>
  <c r="EJ73" i="7"/>
  <c r="EJ132" i="7"/>
  <c r="EJ126" i="7"/>
  <c r="EJ140" i="7"/>
  <c r="EJ127" i="7"/>
  <c r="O523" i="8"/>
  <c r="J523" i="8"/>
  <c r="O542" i="8"/>
  <c r="J542" i="8"/>
  <c r="O529" i="8"/>
  <c r="J529" i="8"/>
  <c r="J532" i="8"/>
  <c r="O532" i="8"/>
  <c r="EJ54" i="7"/>
  <c r="EJ93" i="7"/>
  <c r="EJ42" i="7"/>
  <c r="AA22" i="5" s="1"/>
  <c r="EJ20" i="7"/>
  <c r="B609" i="8"/>
  <c r="B607" i="8"/>
  <c r="EK135" i="7"/>
  <c r="EK111" i="7"/>
  <c r="EK143" i="7"/>
  <c r="EK139" i="7"/>
  <c r="EK116" i="7"/>
  <c r="EK104" i="7"/>
  <c r="EK76" i="7"/>
  <c r="EK72" i="7"/>
  <c r="EK68" i="7"/>
  <c r="EK56" i="7"/>
  <c r="EK44" i="7"/>
  <c r="EK40" i="7"/>
  <c r="EK99" i="7"/>
  <c r="EK29" i="7"/>
  <c r="EK10" i="7"/>
  <c r="EK6" i="7"/>
  <c r="EK39" i="7"/>
  <c r="EK13" i="7"/>
  <c r="EK24" i="7"/>
  <c r="EK27" i="7"/>
  <c r="EK26" i="7"/>
  <c r="C21" i="6"/>
  <c r="EK115" i="7" s="1"/>
  <c r="EK7" i="7"/>
  <c r="EK85" i="7"/>
  <c r="EK93" i="7"/>
  <c r="EK54" i="7"/>
  <c r="EK73" i="7"/>
  <c r="EK110" i="7"/>
  <c r="EK49" i="7"/>
  <c r="EK53" i="7"/>
  <c r="EK59" i="7"/>
  <c r="EK50" i="7"/>
  <c r="EK55" i="7"/>
  <c r="EK25" i="7"/>
  <c r="EK121" i="7"/>
  <c r="EK84" i="7"/>
  <c r="EK137" i="7"/>
  <c r="EK148" i="7"/>
  <c r="EK37" i="7"/>
  <c r="EK36" i="7"/>
  <c r="EK71" i="7"/>
  <c r="EK69" i="7"/>
  <c r="EK106" i="7"/>
  <c r="EK114" i="7"/>
  <c r="EK120" i="7"/>
  <c r="EK81" i="7"/>
  <c r="EK70" i="7"/>
  <c r="EK74" i="7"/>
  <c r="EK89" i="7"/>
  <c r="EK98" i="7"/>
  <c r="EK75" i="7"/>
  <c r="EK83" i="7"/>
  <c r="EK109" i="7"/>
  <c r="EK4" i="7"/>
  <c r="EK8" i="7"/>
  <c r="EK12" i="7"/>
  <c r="EK16" i="7"/>
  <c r="EK63" i="7"/>
  <c r="EK66" i="7"/>
  <c r="EK90" i="7"/>
  <c r="EK118" i="7"/>
  <c r="EK77" i="7"/>
  <c r="EK145" i="7"/>
  <c r="EK15" i="7"/>
  <c r="EK42" i="7"/>
  <c r="EK31" i="7"/>
  <c r="EK22" i="7"/>
  <c r="EK43" i="7"/>
  <c r="EK62" i="7"/>
  <c r="EK92" i="7"/>
  <c r="EK127" i="7"/>
  <c r="EK11" i="7"/>
  <c r="EK46" i="7"/>
  <c r="EK58" i="7"/>
  <c r="EK78" i="7"/>
  <c r="EK129" i="7"/>
  <c r="EK102" i="7"/>
  <c r="EK79" i="7"/>
  <c r="EK82" i="7"/>
  <c r="EK87" i="7"/>
  <c r="EK113" i="7"/>
  <c r="EK128" i="7"/>
  <c r="AB58" i="5" s="1"/>
  <c r="EK122" i="7"/>
  <c r="B606" i="8"/>
  <c r="EK133" i="7"/>
  <c r="EK141" i="7"/>
  <c r="EK126" i="7"/>
  <c r="EJ66" i="7"/>
  <c r="EJ78" i="7"/>
  <c r="EJ64" i="7"/>
  <c r="EJ79" i="7"/>
  <c r="AA36" i="5" s="1"/>
  <c r="EJ139" i="7"/>
  <c r="EJ131" i="7"/>
  <c r="EJ128" i="7"/>
  <c r="AA58" i="5" s="1"/>
  <c r="EJ130" i="7"/>
  <c r="J520" i="8"/>
  <c r="O520" i="8"/>
  <c r="J539" i="8"/>
  <c r="O539" i="8"/>
  <c r="O530" i="8"/>
  <c r="J530" i="8"/>
  <c r="O522" i="8"/>
  <c r="J522" i="8"/>
  <c r="J527" i="8"/>
  <c r="O527" i="8"/>
  <c r="J521" i="8"/>
  <c r="O521" i="8"/>
  <c r="J541" i="8"/>
  <c r="O541" i="8"/>
  <c r="J528" i="8"/>
  <c r="O528" i="8"/>
  <c r="O579" i="8" l="1"/>
  <c r="AA47" i="5"/>
  <c r="I514" i="8"/>
  <c r="O514" i="8" s="1"/>
  <c r="I478" i="8"/>
  <c r="O478" i="8" s="1"/>
  <c r="I477" i="8"/>
  <c r="O477" i="8" s="1"/>
  <c r="O511" i="8"/>
  <c r="J511" i="8"/>
  <c r="O474" i="8"/>
  <c r="J474" i="8"/>
  <c r="I513" i="8"/>
  <c r="J475" i="8"/>
  <c r="O475" i="8"/>
  <c r="I517" i="8"/>
  <c r="O476" i="8"/>
  <c r="J476" i="8"/>
  <c r="I515" i="8"/>
  <c r="I516" i="8"/>
  <c r="O473" i="8"/>
  <c r="J473" i="8"/>
  <c r="O472" i="8"/>
  <c r="J472" i="8"/>
  <c r="AA16" i="5"/>
  <c r="AA28" i="5"/>
  <c r="I604" i="8" s="1"/>
  <c r="AA52" i="5"/>
  <c r="O581" i="8"/>
  <c r="AA45" i="5"/>
  <c r="Y70" i="5"/>
  <c r="J577" i="8"/>
  <c r="J48" i="9" s="1"/>
  <c r="J582" i="8"/>
  <c r="O580" i="8"/>
  <c r="O576" i="8"/>
  <c r="O577" i="8"/>
  <c r="O48" i="9"/>
  <c r="D12" i="8"/>
  <c r="D15" i="9" s="1"/>
  <c r="H12" i="8"/>
  <c r="H15" i="9" s="1"/>
  <c r="F12" i="8"/>
  <c r="F15" i="9" s="1"/>
  <c r="W73" i="5"/>
  <c r="X72" i="5"/>
  <c r="AB56" i="5"/>
  <c r="Z227" i="3" s="1"/>
  <c r="AA227" i="3" s="1"/>
  <c r="AA56" i="5"/>
  <c r="AA54" i="5"/>
  <c r="EK95" i="7"/>
  <c r="EK130" i="7"/>
  <c r="EK101" i="7"/>
  <c r="EK47" i="7"/>
  <c r="EK136" i="7"/>
  <c r="EK65" i="7"/>
  <c r="EK117" i="7"/>
  <c r="EK146" i="7"/>
  <c r="EK123" i="7"/>
  <c r="EK23" i="7"/>
  <c r="EK57" i="7"/>
  <c r="AB30" i="5" s="1"/>
  <c r="EK41" i="7"/>
  <c r="EK33" i="7"/>
  <c r="EK9" i="7"/>
  <c r="EK18" i="7"/>
  <c r="EK52" i="7"/>
  <c r="EK100" i="7"/>
  <c r="EK107" i="7"/>
  <c r="J569" i="8"/>
  <c r="O569" i="8"/>
  <c r="J567" i="8"/>
  <c r="O567" i="8"/>
  <c r="AA42" i="5"/>
  <c r="O564" i="8"/>
  <c r="J564" i="8"/>
  <c r="AB34" i="5"/>
  <c r="AA60" i="5"/>
  <c r="EK138" i="7"/>
  <c r="EK142" i="7"/>
  <c r="EK144" i="7"/>
  <c r="EK32" i="7"/>
  <c r="EK125" i="7"/>
  <c r="EK132" i="7"/>
  <c r="EK20" i="7"/>
  <c r="EK91" i="7"/>
  <c r="EK88" i="7"/>
  <c r="EK105" i="7"/>
  <c r="EK124" i="7"/>
  <c r="EK97" i="7"/>
  <c r="EK80" i="7"/>
  <c r="AB36" i="5" s="1"/>
  <c r="EK30" i="7"/>
  <c r="EK17" i="7"/>
  <c r="EK35" i="7"/>
  <c r="EK60" i="7"/>
  <c r="EK108" i="7"/>
  <c r="O566" i="8"/>
  <c r="J566" i="8"/>
  <c r="J533" i="8"/>
  <c r="O533" i="8"/>
  <c r="O562" i="8"/>
  <c r="J562" i="8"/>
  <c r="Z231" i="3"/>
  <c r="AA231" i="3" s="1"/>
  <c r="L58" i="5"/>
  <c r="Y75" i="3" a="1"/>
  <c r="Y75" i="3" s="1"/>
  <c r="Y189" i="3" a="1"/>
  <c r="Y189" i="3" s="1"/>
  <c r="Y186" i="3" a="1"/>
  <c r="Y186" i="3" s="1"/>
  <c r="Y77" i="3" a="1"/>
  <c r="Y77" i="3" s="1"/>
  <c r="Y76" i="3" a="1"/>
  <c r="Y76" i="3" s="1"/>
  <c r="Y183" i="3" a="1"/>
  <c r="Y183" i="3" s="1"/>
  <c r="Y78" i="3" a="1"/>
  <c r="Y78" i="3" s="1"/>
  <c r="Y187" i="3" a="1"/>
  <c r="Y187" i="3" s="1"/>
  <c r="Y81" i="3" a="1"/>
  <c r="Y81" i="3" s="1"/>
  <c r="Y80" i="3" a="1"/>
  <c r="Y80" i="3" s="1"/>
  <c r="Y79" i="3" a="1"/>
  <c r="Y79" i="3" s="1"/>
  <c r="Y184" i="3" a="1"/>
  <c r="Y184" i="3" s="1"/>
  <c r="Y188" i="3" a="1"/>
  <c r="Y188" i="3" s="1"/>
  <c r="Y185" i="3" a="1"/>
  <c r="Y185" i="3" s="1"/>
  <c r="Y82" i="3" a="1"/>
  <c r="Y82" i="3" s="1"/>
  <c r="EK21" i="7"/>
  <c r="EK94" i="7"/>
  <c r="EK64" i="7"/>
  <c r="EK112" i="7"/>
  <c r="EK119" i="7"/>
  <c r="AA32" i="5"/>
  <c r="AA34" i="5"/>
  <c r="O568" i="8"/>
  <c r="J568" i="8"/>
  <c r="O535" i="8"/>
  <c r="J535" i="8"/>
  <c r="AA20" i="5"/>
  <c r="O565" i="8"/>
  <c r="J565" i="8"/>
  <c r="J534" i="8"/>
  <c r="O534" i="8"/>
  <c r="AA71" i="5"/>
  <c r="AA14" i="5"/>
  <c r="J563" i="8"/>
  <c r="O563" i="8"/>
  <c r="J561" i="8"/>
  <c r="O561" i="8"/>
  <c r="AB38" i="5"/>
  <c r="AB62" i="5"/>
  <c r="O572" i="8"/>
  <c r="J572" i="8"/>
  <c r="AA62" i="5"/>
  <c r="AA27" i="5"/>
  <c r="Z69" i="5"/>
  <c r="O560" i="8"/>
  <c r="J560" i="8"/>
  <c r="EK134" i="7"/>
  <c r="B608" i="8"/>
  <c r="EK61" i="7"/>
  <c r="EK51" i="7"/>
  <c r="EK140" i="7"/>
  <c r="EK131" i="7"/>
  <c r="EK19" i="7"/>
  <c r="EK28" i="7"/>
  <c r="EK86" i="7"/>
  <c r="AB40" i="5" s="1"/>
  <c r="EK38" i="7"/>
  <c r="AB22" i="5" s="1"/>
  <c r="EK34" i="7"/>
  <c r="EK45" i="7"/>
  <c r="AB24" i="5" s="1"/>
  <c r="EK67" i="7"/>
  <c r="EK5" i="7"/>
  <c r="EK14" i="7"/>
  <c r="EK48" i="7"/>
  <c r="AB26" i="5" s="1"/>
  <c r="EK103" i="7"/>
  <c r="AB47" i="5" s="1"/>
  <c r="EK147" i="7"/>
  <c r="B605" i="8"/>
  <c r="J571" i="8"/>
  <c r="O571" i="8"/>
  <c r="O570" i="8"/>
  <c r="J570" i="8"/>
  <c r="J514" i="8" l="1"/>
  <c r="J478" i="8"/>
  <c r="I518" i="8"/>
  <c r="O518" i="8" s="1"/>
  <c r="J477" i="8"/>
  <c r="AB16" i="5"/>
  <c r="I313" i="8" s="1"/>
  <c r="O313" i="8" s="1"/>
  <c r="O516" i="8"/>
  <c r="J516" i="8"/>
  <c r="J517" i="8"/>
  <c r="O517" i="8"/>
  <c r="O515" i="8"/>
  <c r="J515" i="8"/>
  <c r="I519" i="8"/>
  <c r="J513" i="8"/>
  <c r="O513" i="8"/>
  <c r="AB32" i="5"/>
  <c r="I396" i="8" s="1"/>
  <c r="I602" i="8"/>
  <c r="O602" i="8" s="1"/>
  <c r="I601" i="8"/>
  <c r="J601" i="8" s="1"/>
  <c r="I603" i="8"/>
  <c r="J603" i="8" s="1"/>
  <c r="I600" i="8"/>
  <c r="J600" i="8" s="1"/>
  <c r="AB28" i="5"/>
  <c r="Z82" i="3" s="1"/>
  <c r="AA82" i="3" s="1"/>
  <c r="AB45" i="5"/>
  <c r="I245" i="8"/>
  <c r="O245" i="8" s="1"/>
  <c r="I308" i="8"/>
  <c r="I316" i="8"/>
  <c r="I309" i="8"/>
  <c r="I247" i="8"/>
  <c r="I306" i="8"/>
  <c r="I315" i="8"/>
  <c r="Z70" i="5"/>
  <c r="I312" i="8"/>
  <c r="I305" i="8"/>
  <c r="I310" i="8"/>
  <c r="I307" i="8"/>
  <c r="I311" i="8"/>
  <c r="I304" i="8"/>
  <c r="I244" i="8"/>
  <c r="I206" i="8"/>
  <c r="J206" i="8" s="1"/>
  <c r="L56" i="5"/>
  <c r="I160" i="8"/>
  <c r="I218" i="8"/>
  <c r="I344" i="8"/>
  <c r="I286" i="8"/>
  <c r="I337" i="8"/>
  <c r="I339" i="8"/>
  <c r="I402" i="8"/>
  <c r="I331" i="8"/>
  <c r="I273" i="8"/>
  <c r="I209" i="8"/>
  <c r="I399" i="8"/>
  <c r="I278" i="8"/>
  <c r="I280" i="8"/>
  <c r="I151" i="8"/>
  <c r="I334" i="8"/>
  <c r="I207" i="8"/>
  <c r="I272" i="8"/>
  <c r="I397" i="8"/>
  <c r="I336" i="8"/>
  <c r="I394" i="8"/>
  <c r="I400" i="8"/>
  <c r="I395" i="8"/>
  <c r="I208" i="8"/>
  <c r="I152" i="8"/>
  <c r="I276" i="8"/>
  <c r="I332" i="8"/>
  <c r="I335" i="8"/>
  <c r="I150" i="8"/>
  <c r="I210" i="8"/>
  <c r="I148" i="8"/>
  <c r="I211" i="8"/>
  <c r="I398" i="8"/>
  <c r="I213" i="8"/>
  <c r="I274" i="8"/>
  <c r="I204" i="8"/>
  <c r="I205" i="8"/>
  <c r="I333" i="8"/>
  <c r="I275" i="8"/>
  <c r="X73" i="5"/>
  <c r="Y72" i="5"/>
  <c r="AB54" i="5"/>
  <c r="Z223" i="3" s="1"/>
  <c r="AA223" i="3" s="1"/>
  <c r="AB71" i="5"/>
  <c r="Z72" i="3"/>
  <c r="AA72" i="3" s="1"/>
  <c r="L26" i="5"/>
  <c r="L36" i="5"/>
  <c r="Z121" i="3"/>
  <c r="AA121" i="3" s="1"/>
  <c r="L24" i="5"/>
  <c r="Z64" i="3"/>
  <c r="AA64" i="3" s="1"/>
  <c r="Z180" i="3"/>
  <c r="AA180" i="3" s="1"/>
  <c r="L47" i="5"/>
  <c r="Z133" i="3"/>
  <c r="AA133" i="3" s="1"/>
  <c r="L40" i="5"/>
  <c r="AB49" i="5"/>
  <c r="I574" i="8" s="1"/>
  <c r="AB18" i="5"/>
  <c r="AB60" i="5"/>
  <c r="I607" i="8"/>
  <c r="I606" i="8"/>
  <c r="I608" i="8"/>
  <c r="I609" i="8"/>
  <c r="I605" i="8"/>
  <c r="Z115" i="3"/>
  <c r="AA115" i="3" s="1"/>
  <c r="L34" i="5"/>
  <c r="Z251" i="3"/>
  <c r="AA251" i="3" s="1"/>
  <c r="L62" i="5"/>
  <c r="Z172" i="3"/>
  <c r="AA172" i="3" s="1"/>
  <c r="L45" i="5"/>
  <c r="AB64" i="5"/>
  <c r="Z59" i="3"/>
  <c r="AA59" i="3" s="1"/>
  <c r="L22" i="5"/>
  <c r="AB52" i="5"/>
  <c r="L38" i="5"/>
  <c r="Z127" i="3"/>
  <c r="AA127" i="3" s="1"/>
  <c r="AB14" i="5"/>
  <c r="AB42" i="5"/>
  <c r="AB20" i="5"/>
  <c r="AA69" i="5"/>
  <c r="AB27" i="5"/>
  <c r="AB69" i="5" s="1"/>
  <c r="Z87" i="3"/>
  <c r="AA87" i="3" s="1"/>
  <c r="L30" i="5"/>
  <c r="J604" i="8"/>
  <c r="O604" i="8"/>
  <c r="L54" i="5" l="1"/>
  <c r="O600" i="8"/>
  <c r="L32" i="5"/>
  <c r="Z106" i="3"/>
  <c r="AA106" i="3" s="1"/>
  <c r="L28" i="5"/>
  <c r="Z29" i="3"/>
  <c r="AA29" i="3" s="1"/>
  <c r="L16" i="5"/>
  <c r="I556" i="8"/>
  <c r="J556" i="8" s="1"/>
  <c r="J518" i="8"/>
  <c r="O603" i="8"/>
  <c r="O601" i="8"/>
  <c r="J602" i="8"/>
  <c r="J313" i="8"/>
  <c r="I573" i="8"/>
  <c r="O573" i="8" s="1"/>
  <c r="I555" i="8"/>
  <c r="I575" i="8"/>
  <c r="J575" i="8" s="1"/>
  <c r="J519" i="8"/>
  <c r="O519" i="8"/>
  <c r="I401" i="8"/>
  <c r="J401" i="8" s="1"/>
  <c r="I281" i="8"/>
  <c r="J281" i="8" s="1"/>
  <c r="I403" i="8"/>
  <c r="O403" i="8" s="1"/>
  <c r="I149" i="8"/>
  <c r="J149" i="8" s="1"/>
  <c r="J55" i="9" s="1"/>
  <c r="I338" i="8"/>
  <c r="J338" i="8" s="1"/>
  <c r="I279" i="8"/>
  <c r="J279" i="8" s="1"/>
  <c r="I277" i="8"/>
  <c r="J277" i="8" s="1"/>
  <c r="I330" i="8"/>
  <c r="J330" i="8" s="1"/>
  <c r="AA70" i="5"/>
  <c r="AB70" i="5" s="1"/>
  <c r="I254" i="8"/>
  <c r="I255" i="8"/>
  <c r="I257" i="8"/>
  <c r="I249" i="8"/>
  <c r="J245" i="8"/>
  <c r="O247" i="8"/>
  <c r="J247" i="8"/>
  <c r="J307" i="8"/>
  <c r="O307" i="8"/>
  <c r="J310" i="8"/>
  <c r="O310" i="8"/>
  <c r="O305" i="8"/>
  <c r="J305" i="8"/>
  <c r="O309" i="8"/>
  <c r="J309" i="8"/>
  <c r="O311" i="8"/>
  <c r="J311" i="8"/>
  <c r="O312" i="8"/>
  <c r="J312" i="8"/>
  <c r="J316" i="8"/>
  <c r="O316" i="8"/>
  <c r="O308" i="8"/>
  <c r="J308" i="8"/>
  <c r="J244" i="8"/>
  <c r="O244" i="8"/>
  <c r="J315" i="8"/>
  <c r="O315" i="8"/>
  <c r="O304" i="8"/>
  <c r="J304" i="8"/>
  <c r="O306" i="8"/>
  <c r="J306" i="8"/>
  <c r="O206" i="8"/>
  <c r="O54" i="9" s="1"/>
  <c r="I578" i="8"/>
  <c r="I538" i="8"/>
  <c r="I499" i="8"/>
  <c r="O574" i="8"/>
  <c r="J574" i="8"/>
  <c r="O286" i="8"/>
  <c r="J286" i="8"/>
  <c r="O344" i="8"/>
  <c r="J344" i="8"/>
  <c r="O218" i="8"/>
  <c r="O66" i="9" s="1"/>
  <c r="J218" i="8"/>
  <c r="I66" i="9"/>
  <c r="J160" i="8"/>
  <c r="J66" i="9" s="1"/>
  <c r="O160" i="8"/>
  <c r="J402" i="8"/>
  <c r="O402" i="8"/>
  <c r="J397" i="8"/>
  <c r="O397" i="8"/>
  <c r="I55" i="9"/>
  <c r="O213" i="8"/>
  <c r="O61" i="9" s="1"/>
  <c r="J213" i="8"/>
  <c r="O276" i="8"/>
  <c r="J276" i="8"/>
  <c r="J272" i="8"/>
  <c r="O272" i="8"/>
  <c r="O335" i="8"/>
  <c r="J335" i="8"/>
  <c r="O398" i="8"/>
  <c r="J398" i="8"/>
  <c r="I58" i="9"/>
  <c r="O152" i="8"/>
  <c r="J152" i="8"/>
  <c r="J58" i="9" s="1"/>
  <c r="J207" i="8"/>
  <c r="O207" i="8"/>
  <c r="J209" i="8"/>
  <c r="O209" i="8"/>
  <c r="O57" i="9" s="1"/>
  <c r="J339" i="8"/>
  <c r="O339" i="8"/>
  <c r="O204" i="8"/>
  <c r="J204" i="8"/>
  <c r="J332" i="8"/>
  <c r="O332" i="8"/>
  <c r="J211" i="8"/>
  <c r="O211" i="8"/>
  <c r="O59" i="9" s="1"/>
  <c r="O208" i="8"/>
  <c r="J208" i="8"/>
  <c r="O334" i="8"/>
  <c r="J334" i="8"/>
  <c r="O336" i="8"/>
  <c r="J336" i="8"/>
  <c r="O275" i="8"/>
  <c r="J275" i="8"/>
  <c r="I54" i="9"/>
  <c r="O148" i="8"/>
  <c r="J148" i="8"/>
  <c r="J54" i="9" s="1"/>
  <c r="O395" i="8"/>
  <c r="J395" i="8"/>
  <c r="I57" i="9"/>
  <c r="J151" i="8"/>
  <c r="J57" i="9" s="1"/>
  <c r="O151" i="8"/>
  <c r="O273" i="8"/>
  <c r="J273" i="8"/>
  <c r="O337" i="8"/>
  <c r="J337" i="8"/>
  <c r="J399" i="8"/>
  <c r="O399" i="8"/>
  <c r="J274" i="8"/>
  <c r="O274" i="8"/>
  <c r="J333" i="8"/>
  <c r="O333" i="8"/>
  <c r="O210" i="8"/>
  <c r="J210" i="8"/>
  <c r="O400" i="8"/>
  <c r="J400" i="8"/>
  <c r="O280" i="8"/>
  <c r="J280" i="8"/>
  <c r="O396" i="8"/>
  <c r="J396" i="8"/>
  <c r="O205" i="8"/>
  <c r="J205" i="8"/>
  <c r="I56" i="9"/>
  <c r="O150" i="8"/>
  <c r="J150" i="8"/>
  <c r="J56" i="9" s="1"/>
  <c r="J394" i="8"/>
  <c r="O394" i="8"/>
  <c r="O278" i="8"/>
  <c r="J278" i="8"/>
  <c r="O331" i="8"/>
  <c r="J331" i="8"/>
  <c r="Y73" i="5"/>
  <c r="I559" i="8" s="1"/>
  <c r="Z72" i="5"/>
  <c r="J609" i="8"/>
  <c r="O609" i="8"/>
  <c r="Z50" i="3"/>
  <c r="AA50" i="3" s="1"/>
  <c r="L20" i="5"/>
  <c r="Z144" i="3"/>
  <c r="AA144" i="3" s="1"/>
  <c r="L42" i="5"/>
  <c r="Z216" i="3"/>
  <c r="AA216" i="3" s="1"/>
  <c r="L52" i="5"/>
  <c r="O608" i="8"/>
  <c r="J608" i="8"/>
  <c r="O606" i="8"/>
  <c r="J606" i="8"/>
  <c r="O607" i="8"/>
  <c r="J607" i="8"/>
  <c r="L14" i="5"/>
  <c r="Z14" i="3"/>
  <c r="AA14" i="3" s="1"/>
  <c r="Z246" i="3"/>
  <c r="AA246" i="3" s="1"/>
  <c r="L60" i="5"/>
  <c r="L18" i="5"/>
  <c r="Z42" i="3"/>
  <c r="AA42" i="3" s="1"/>
  <c r="L64" i="5"/>
  <c r="Z256" i="3"/>
  <c r="AA256" i="3" s="1"/>
  <c r="O605" i="8"/>
  <c r="J605" i="8"/>
  <c r="Z204" i="3"/>
  <c r="AA204" i="3" s="1"/>
  <c r="L49" i="5"/>
  <c r="O556" i="8" l="1"/>
  <c r="J559" i="8"/>
  <c r="O559" i="8"/>
  <c r="I558" i="8"/>
  <c r="I557" i="8"/>
  <c r="O281" i="8"/>
  <c r="O149" i="8"/>
  <c r="J573" i="8"/>
  <c r="J403" i="8"/>
  <c r="O575" i="8"/>
  <c r="O279" i="8"/>
  <c r="O401" i="8"/>
  <c r="O338" i="8"/>
  <c r="J555" i="8"/>
  <c r="O555" i="8"/>
  <c r="O330" i="8"/>
  <c r="O277" i="8"/>
  <c r="J249" i="8"/>
  <c r="O249" i="8"/>
  <c r="O257" i="8"/>
  <c r="J257" i="8"/>
  <c r="J255" i="8"/>
  <c r="O255" i="8"/>
  <c r="J254" i="8"/>
  <c r="O254" i="8"/>
  <c r="J499" i="8"/>
  <c r="O499" i="8"/>
  <c r="O538" i="8"/>
  <c r="J538" i="8"/>
  <c r="J578" i="8"/>
  <c r="O578" i="8"/>
  <c r="Z73" i="5"/>
  <c r="I598" i="8" s="1"/>
  <c r="AA72" i="5"/>
  <c r="E8" i="10"/>
  <c r="E12" i="10"/>
  <c r="E10" i="10"/>
  <c r="E11" i="10"/>
  <c r="E9" i="10"/>
  <c r="E7" i="10"/>
  <c r="E6" i="10"/>
  <c r="E5" i="10"/>
  <c r="I597" i="8" l="1"/>
  <c r="J597" i="8" s="1"/>
  <c r="O598" i="8"/>
  <c r="J598" i="8"/>
  <c r="J557" i="8"/>
  <c r="O557" i="8"/>
  <c r="O558" i="8"/>
  <c r="J558" i="8"/>
  <c r="I599" i="8"/>
  <c r="AA73" i="5"/>
  <c r="I591" i="8" s="1"/>
  <c r="AB72" i="5"/>
  <c r="AB73" i="5" s="1"/>
  <c r="G9" i="10"/>
  <c r="H9" i="10"/>
  <c r="G11" i="10"/>
  <c r="H11" i="10"/>
  <c r="H10" i="10"/>
  <c r="G10" i="10"/>
  <c r="H12" i="10"/>
  <c r="G12" i="10"/>
  <c r="H8" i="10"/>
  <c r="G8" i="10"/>
  <c r="O597" i="8" l="1"/>
  <c r="J599" i="8"/>
  <c r="O599" i="8"/>
  <c r="O591" i="8"/>
  <c r="J591" i="8"/>
  <c r="I589" i="8"/>
  <c r="I596" i="8"/>
  <c r="I554" i="8"/>
  <c r="I549" i="8"/>
  <c r="I584" i="8"/>
  <c r="I547" i="8"/>
  <c r="I587" i="8"/>
  <c r="I552" i="8"/>
  <c r="I592" i="8"/>
  <c r="I588" i="8"/>
  <c r="I593" i="8"/>
  <c r="I590" i="8"/>
  <c r="I585" i="8"/>
  <c r="I551" i="8"/>
  <c r="I545" i="8"/>
  <c r="I553" i="8"/>
  <c r="I548" i="8"/>
  <c r="I546" i="8"/>
  <c r="I586" i="8"/>
  <c r="I594" i="8"/>
  <c r="I550" i="8"/>
  <c r="I595" i="8"/>
  <c r="J553" i="8" l="1"/>
  <c r="O553" i="8"/>
  <c r="O595" i="8"/>
  <c r="J595" i="8"/>
  <c r="O551" i="8"/>
  <c r="J551" i="8"/>
  <c r="J547" i="8"/>
  <c r="O547" i="8"/>
  <c r="O588" i="8"/>
  <c r="J588" i="8"/>
  <c r="O550" i="8"/>
  <c r="J550" i="8"/>
  <c r="O585" i="8"/>
  <c r="J585" i="8"/>
  <c r="O584" i="8"/>
  <c r="J584" i="8"/>
  <c r="J546" i="8"/>
  <c r="O546" i="8"/>
  <c r="J590" i="8"/>
  <c r="O590" i="8"/>
  <c r="O549" i="8"/>
  <c r="J549" i="8"/>
  <c r="O594" i="8"/>
  <c r="J594" i="8"/>
  <c r="O586" i="8"/>
  <c r="J586" i="8"/>
  <c r="O593" i="8"/>
  <c r="J593" i="8"/>
  <c r="O554" i="8"/>
  <c r="J554" i="8"/>
  <c r="O596" i="8"/>
  <c r="J596" i="8"/>
  <c r="J548" i="8"/>
  <c r="O548" i="8"/>
  <c r="O592" i="8"/>
  <c r="J592" i="8"/>
  <c r="O589" i="8"/>
  <c r="J589" i="8"/>
  <c r="J552" i="8"/>
  <c r="O552" i="8"/>
  <c r="J545" i="8"/>
  <c r="O545" i="8"/>
  <c r="J587" i="8"/>
  <c r="O587" i="8"/>
</calcChain>
</file>

<file path=xl/sharedStrings.xml><?xml version="1.0" encoding="utf-8"?>
<sst xmlns="http://schemas.openxmlformats.org/spreadsheetml/2006/main" count="2586" uniqueCount="788">
  <si>
    <t>ARTABOGA GATSU - WORKFLOW (BOBOT PEK = MASTER JADWAL)</t>
  </si>
  <si>
    <t>1. ALUR DATA (siapa menentukan apa)</t>
  </si>
  <si>
    <t xml:space="preserve">   RAB UPDATE = daftar pekerjaan + bobot + nilai (APA pekerjaannya). BOBOT PEK = salinan RAB sekaligus MASTER JADWAL (KAPAN dikerjakan). TS = referensi Time Schedule + kalender. RENCANA MINGGUAN = tampilan mingguan otomatis. CETAK RENCANA MINGGUAN = layout cetak. PDF = output final. Alur: RAB -&gt; BOBOT PEK (jadwal) -&gt; RENCANA MINGGUAN (filter minggu aktif) -&gt; CETAK -&gt; PDF.</t>
  </si>
  <si>
    <t>2. MENGATUR JADWAL PEKERJAAN (SATU TEMPAT: BOBOT PEK)</t>
  </si>
  <si>
    <t xml:space="preserve">   Buka sheet BOBOT PEK, geser ke kanan ke blok 'MASTER JADWAL PEKERJAAN' (kolom U ke kanan). Di baris subtotal tiap seksi, ubah START WEEK dan FINISH WEEK (sel kuning, dropdown 1-16). Jangan mengubah jadwal di sheet lain. DURASI, START DATE, FINISH DATE, GANTT (blok hitam di W1..W16), PROGRESS, STATUS = otomatis.</t>
  </si>
  <si>
    <t>3. JADWAL AWAL (auto-fill dari TS)</t>
  </si>
  <si>
    <t xml:space="preserve">   Saat pertama dibuat, START WEEK / FINISH WEEK diisi otomatis mengikuti jadwal yang sudah ada di TS/Time Schedule. User tinggal menyesuaikan bila kondisi lapangan berbeda (override manual).</t>
  </si>
  <si>
    <t>4. PILIH MINGGU + CETAK</t>
  </si>
  <si>
    <t xml:space="preserve">   Di sheet 'CETAK RENCANA MINGGUAN' pilih minggu pada kotak kuning B10. Tabel otomatis menampilkan hanya item yang aktif minggu itu (START WEEK &lt;= minggu &lt;= FINISH WEEK). Ctrl+P untuk cetak; PDF: scripts/generate_pdf.py (simpan file dulu, Ctrl+S).</t>
  </si>
  <si>
    <t>5. MENGEDIT DATA PERENCANAAN (RENCANA MINGGUAN)</t>
  </si>
  <si>
    <t xml:space="preserve">   Kolom D (uraian/sub item), K (volume), L (satuan), M (lokasi), N (PIC), P (catatan) = input manual (sel kuning). Kolom A (minggu) sebaiknya sesuai jadwal BOBOT PEK - baris di luar jadwal ditandai MERAH otomatis. Kolom E-J, O, Q = formula, jangan ditimpa.</t>
  </si>
  <si>
    <t>6. TAMBAH / SISIP BARIS</t>
  </si>
  <si>
    <t xml:space="preserve">   Klik kanan nomor baris di RENCANA MINGGUAN -&gt; Insert, atau Ctrl+C baris terdekat -&gt; Insert Copied Cells. Ubah kolom A (minggu), C (ID), D (uraian). Error 'would move cells in a table' tidak akan muncul (tabel sudah dihapus).</t>
  </si>
  <si>
    <t>7. ITEM K (Finishing Tiang sudah Dihapus)</t>
  </si>
  <si>
    <t xml:space="preserve">   'Perbaikan dan refinishing tiang watertoren' tidak ada lagi. Baris bekasnya dibiarkan kosong (pengaman referensi) - JANGAN dihapus/geser. Item K dimulai dari K2, bobot menyesuaikan otomatis (subtotal K = SUM(H91:H105)).</t>
  </si>
  <si>
    <t>8. ARTI WARNA</t>
  </si>
  <si>
    <t xml:space="preserve">   KUNING = input yang boleh diedit. BIRU = header/otomatis. MERAH = peringatan (baris di luar jadwal, atau START &gt; FINISH). Status: hijau=COMPLETED, biru=ON SCHEDULE, kuning=DELAYED, merah=CRITICAL, abu-abu=NOT STARTED.</t>
  </si>
  <si>
    <t>9. YANG TIDAK BOLEH DIEDIT</t>
  </si>
  <si>
    <t xml:space="preserve">   Jangan edit START WEEK/FINISH WEEK selain di BOBOT PEK (kolom U/V). RAB UPDATE, TS, KALENDER MINGGU, PRODUKTIVITAS HARIAN = database (input progres harian di PRODUKTIVITAS HARIAN). TS INTERNAL LAPANGAN = legacy, abaikan.</t>
  </si>
  <si>
    <t>10. TROUBLESHOOTING</t>
  </si>
  <si>
    <t xml:space="preserve">   - Angka tidak berubah: tekan F9. - Muncul '####': tarik tepi kolom. - Baris RENCANA merah: minggu baris itu di luar jadwal BOBOT PEK - ubah START/FINISH WEEK di BOBOT PEK atau pindahkan baris ke minggu yang sesuai. - Perlu minggu baru: tambahkan pilihan 'Minggu Ke-N' di Data Validation B10 CETAK.</t>
  </si>
  <si>
    <t>PT Artaboga Cemerlang</t>
  </si>
  <si>
    <t>QUOTATION</t>
  </si>
  <si>
    <t>Kawasan Industri Candi Jl. Gatot Subroto No.1</t>
  </si>
  <si>
    <t>Q-0009VI26 Rev4</t>
  </si>
  <si>
    <t>Purwoyoso, Kec. Ngaliyan, Kota Semarang</t>
  </si>
  <si>
    <t>Tanggal</t>
  </si>
  <si>
    <t>: 13 JULI 2026</t>
  </si>
  <si>
    <t>Pekerjaan Gudang Umum</t>
  </si>
  <si>
    <t>No</t>
  </si>
  <si>
    <t>Uraian Pekerjaan</t>
  </si>
  <si>
    <t>Spesifikasi</t>
  </si>
  <si>
    <t>Volume</t>
  </si>
  <si>
    <t>Sat.</t>
  </si>
  <si>
    <t>Harga satuan</t>
  </si>
  <si>
    <t>Jumlah harga</t>
  </si>
  <si>
    <t>Grand total</t>
  </si>
  <si>
    <t>Bobot pekerjaan</t>
  </si>
  <si>
    <t>A</t>
  </si>
  <si>
    <t>Pekerjaan Persiapan</t>
  </si>
  <si>
    <t>Termasuk Pembuatan Gudang</t>
  </si>
  <si>
    <t>Is</t>
  </si>
  <si>
    <t>1,00</t>
  </si>
  <si>
    <t>Pembersihan Lahan</t>
  </si>
  <si>
    <t>Direksi Kit+Gudang Sementara</t>
  </si>
  <si>
    <t>Skafolding dan Alat Bantu Pekerjaan</t>
  </si>
  <si>
    <t>Administrasi Lapangan</t>
  </si>
  <si>
    <t>Biaya gambar</t>
  </si>
  <si>
    <t>Sewa Skafolding 40 set Selama 2 bulan</t>
  </si>
  <si>
    <t>B</t>
  </si>
  <si>
    <t>Pekerjaan Struktur - pondasi</t>
  </si>
  <si>
    <t>Pekerjaan Area Gudang Umum+Gudang SPM Uk.46x54 M</t>
  </si>
  <si>
    <t>Pekerjaan Bak Kontrol</t>
  </si>
  <si>
    <t>Rangka siku 40x40x3mm + besi beton</t>
  </si>
  <si>
    <t>unit</t>
  </si>
  <si>
    <t>Pasang aluminium bubble dibawah atap+plat strip</t>
  </si>
  <si>
    <t>Aluminium bubble tebal 10 mm + plat strip 2mm x 3cm</t>
  </si>
  <si>
    <t>m²</t>
  </si>
  <si>
    <t>Pekerjaan finishing cat sisi luar samping dan belakang</t>
  </si>
  <si>
    <t>Cat dinding exterior ex. Dulux Catylac setara</t>
  </si>
  <si>
    <t>Pasang turbin ventilator 32"</t>
  </si>
  <si>
    <t>Turbin Ventilator 32 "</t>
  </si>
  <si>
    <t>Bongkar atap existing</t>
  </si>
  <si>
    <t>diganti bening</t>
  </si>
  <si>
    <t>Pasang atap fiber bening</t>
  </si>
  <si>
    <t>Fiber bening ex. Clandianplast Setara</t>
  </si>
  <si>
    <t>pekerjaan refinishing kanopi loading dock</t>
  </si>
  <si>
    <t>Cat Ftalit  Royal Blue</t>
  </si>
  <si>
    <t>Perbaikan loading dock</t>
  </si>
  <si>
    <t>Penambahan besi siku 70 x 70 mm</t>
  </si>
  <si>
    <t>m</t>
  </si>
  <si>
    <t>Perbaikan dinding dan cat dinding loading dock</t>
  </si>
  <si>
    <t>Servis kebocoran pipa talang</t>
  </si>
  <si>
    <t>ls</t>
  </si>
  <si>
    <t>Cor ulang lantai gudang utama sisi pintu dalam (4mx5m)</t>
  </si>
  <si>
    <t>inc kupas, pembesian M8, cor</t>
  </si>
  <si>
    <t>Pembongkaran pintu rolling door</t>
  </si>
  <si>
    <t>inc buang</t>
  </si>
  <si>
    <t>Perapian kabel  dalam gudang</t>
  </si>
  <si>
    <t>cable tray custom</t>
  </si>
  <si>
    <t>C</t>
  </si>
  <si>
    <t>PEKERJAAN AREA GUDANG PARKIR SISI SAMPING UK.4,75X37M</t>
  </si>
  <si>
    <t>Perbaikan atap existing</t>
  </si>
  <si>
    <t>Pekerjaan bongkaran lantai paving block existing</t>
  </si>
  <si>
    <t>Termasuk pembuangan bekas bongkaran</t>
  </si>
  <si>
    <t>Pekerjaan pasang rangka kolom dan atap area parkir + penutup + talang</t>
  </si>
  <si>
    <t>Rangka menggunakan besi CNP 100
double+talang+cat ftalit royal blue+atap zincalum 0,3 mm ex. Kencana</t>
  </si>
  <si>
    <t>Pemasangan atap transparan di area tambahan</t>
  </si>
  <si>
    <t>polycarbonate transparan</t>
  </si>
  <si>
    <t>Pemadatan dan peninggian lantai parkir</t>
  </si>
  <si>
    <t>Peninggian dengan pasir 10cm + pemadatan</t>
  </si>
  <si>
    <t>Pasang paving block lantai parkir</t>
  </si>
  <si>
    <t>Paving blok K-150 tebal 6 cm</t>
  </si>
  <si>
    <t>Instalasi penerangan + downlight exposed + bohlam 12 w</t>
  </si>
  <si>
    <t>Kabel ex. Eterna+rumah lampu</t>
  </si>
  <si>
    <t>Perapian kabel existing dan dinding existing</t>
  </si>
  <si>
    <t>Pasang kabel tray + perapian dinding</t>
  </si>
  <si>
    <t>Pembuatan saluran bawah paving</t>
  </si>
  <si>
    <t>sudetan 4"</t>
  </si>
  <si>
    <t>Pembongkaran besi kerangkeng motor</t>
  </si>
  <si>
    <t>D</t>
  </si>
  <si>
    <t>PEKERJAAN PAGAR SAMPING P 40M x T 2,1M</t>
  </si>
  <si>
    <t>Pekerjaan bongkaran dinding pagar existing</t>
  </si>
  <si>
    <t>Pekerjaan pasangan pagar precast sisi barat</t>
  </si>
  <si>
    <t>Perbaikan dinding lama diluruskan kembali</t>
  </si>
  <si>
    <t>Pasang rangka kawat razor</t>
  </si>
  <si>
    <t>ex. Besi siku Uk. 40x40x4 mm</t>
  </si>
  <si>
    <t>Ex. Besi siku uk. 40x40x4 mm +fin cat</t>
  </si>
  <si>
    <t>titik</t>
  </si>
  <si>
    <t>Pasang kawat razor (diameter gulungan 45-50 cm)</t>
  </si>
  <si>
    <t>Kawat razor (diameter gulungan 45-50 cm)</t>
  </si>
  <si>
    <t>m'</t>
  </si>
  <si>
    <t>E</t>
  </si>
  <si>
    <t>PEKERJAAN PAGAR DEPAN PJ,70 M, TINGGI 150 CM</t>
  </si>
  <si>
    <t>Pekerjaan refinishing pagar depan</t>
  </si>
  <si>
    <t>Pekerjaan refinishing pintu dan tralis pagar depan</t>
  </si>
  <si>
    <t>Cat ftalit royal blue</t>
  </si>
  <si>
    <t>Pekerjaan pintu boom gate pintu utama</t>
  </si>
  <si>
    <t>pondasi struktur boom gate</t>
  </si>
  <si>
    <t>Boom gate 6m</t>
  </si>
  <si>
    <t>button manual</t>
  </si>
  <si>
    <t xml:space="preserve">instalasi listrik </t>
  </si>
  <si>
    <t>F</t>
  </si>
  <si>
    <t xml:space="preserve">PEKERJAAN KANOPI GENSET UK. 5.5 X4 M DAN JEMBATAN TIMBANG </t>
  </si>
  <si>
    <t>Pekerjaan refinishing kanopi genset</t>
  </si>
  <si>
    <t>Cat rangka kolom dan atap jembatan timbang</t>
  </si>
  <si>
    <t>G</t>
  </si>
  <si>
    <t>PEKERJAAN TAMAN DEPAN UK. 5X8 / 17X8 M, 17X30M, BELAKANG 21X28 / 5X36 M</t>
  </si>
  <si>
    <t>Kansteen dan ban-banan area dalam taman</t>
  </si>
  <si>
    <t>Kansteen dan ban-banan area dalam taman fin.
Cat minyak</t>
  </si>
  <si>
    <t>Instalasi penerangan lampu taman</t>
  </si>
  <si>
    <t>Kabel supreme NYY 3x2,5 mm + konduit</t>
  </si>
  <si>
    <t>Reposisi pintu tempat sampah</t>
  </si>
  <si>
    <t>dari hadap selatan ke hadap timur</t>
  </si>
  <si>
    <t>Cat ulang area luar tempat sampah (dinding)</t>
  </si>
  <si>
    <t>m2</t>
  </si>
  <si>
    <t>Cat paving untuk jalur truk sampah</t>
  </si>
  <si>
    <t>cat minyak</t>
  </si>
  <si>
    <t>H</t>
  </si>
  <si>
    <t>PEKERJAAN JALAN</t>
  </si>
  <si>
    <t>Area 2 (parkir truk)</t>
  </si>
  <si>
    <t>beban truk 15-20ton</t>
  </si>
  <si>
    <t>Pekerjaan jalan beton</t>
  </si>
  <si>
    <t>metode kupas lalu cor ulang</t>
  </si>
  <si>
    <t xml:space="preserve">Pengupasan aspal existing </t>
  </si>
  <si>
    <t>kupas 10cm</t>
  </si>
  <si>
    <t>management minta turun 900jt - 1M</t>
  </si>
  <si>
    <t xml:space="preserve">Pengupasan beton existing </t>
  </si>
  <si>
    <t>kupas 15cm</t>
  </si>
  <si>
    <t>Pembuangan puing sewa truk</t>
  </si>
  <si>
    <t>pengupasan minim</t>
  </si>
  <si>
    <t>Besi 13 ulir , kotak 30x30cm</t>
  </si>
  <si>
    <t>1 lapis</t>
  </si>
  <si>
    <t>kg</t>
  </si>
  <si>
    <t>arah selokan mungkin 12cm, tengah 15cm</t>
  </si>
  <si>
    <t>Cor ready mix K-350 (tanpa trowel dan line cutting)</t>
  </si>
  <si>
    <t>Tebal rata rata 13,5 cm, (tengah 15cm, pinggir 12cm)</t>
  </si>
  <si>
    <t>m³</t>
  </si>
  <si>
    <t>J</t>
  </si>
  <si>
    <t>PEKERJAAN PAGAR PERIMETER P 215M + 91M x T 2,4M</t>
  </si>
  <si>
    <t>Pekerjaan refinishing dinding pagar timur &amp; utara</t>
  </si>
  <si>
    <t>Cat dinding eksterior ex. Dulux catylac setara</t>
  </si>
  <si>
    <t>Pekerjaan refinishing dinding barat</t>
  </si>
  <si>
    <t>K</t>
  </si>
  <si>
    <t>PEKERJAAN WATER TORN UK 4X4 M, BENGKEL UK. 12X7 M,. dan GUDANG BELAKANG</t>
  </si>
  <si>
    <t>Ganti rangka atap toilet ( rangka lama sudah lapuk )</t>
  </si>
  <si>
    <t xml:space="preserve">Rangka atap baja ringan 0,75, atap galvalum 0.3mm + kerpus, bongkar atap lama </t>
  </si>
  <si>
    <t>Perbaikan plafond + refinishing cat</t>
  </si>
  <si>
    <t>Plafond grc  4mm + cat catylac eksterior</t>
  </si>
  <si>
    <t>Cat ulang exterior musholla</t>
  </si>
  <si>
    <t>ex catylac exterior</t>
  </si>
  <si>
    <t>Penggantian pintu  musholla</t>
  </si>
  <si>
    <t>pintu engineering + cat kusen</t>
  </si>
  <si>
    <t>Penggantian keramik teras</t>
  </si>
  <si>
    <t>ex platinum 50x50</t>
  </si>
  <si>
    <t>Pembuatan tempat wudhu</t>
  </si>
  <si>
    <t>3 kran wudhu, 1 kran service</t>
  </si>
  <si>
    <t>Pembuatan instalasi wastafel</t>
  </si>
  <si>
    <t>wastafel existing</t>
  </si>
  <si>
    <t>Pekerjaan lantai bengkel</t>
  </si>
  <si>
    <t>480m2</t>
  </si>
  <si>
    <t>-</t>
  </si>
  <si>
    <t>Land clearing</t>
  </si>
  <si>
    <t>inc penebangan pohon dan buang</t>
  </si>
  <si>
    <t>Perataan dan pemadatan tanah taman belakang</t>
  </si>
  <si>
    <t>stamper</t>
  </si>
  <si>
    <t xml:space="preserve">Finishing paving </t>
  </si>
  <si>
    <t>tipe Holland K300 8cm, inc pasir dan abu batu</t>
  </si>
  <si>
    <t>Terminasi cor keliling</t>
  </si>
  <si>
    <t>Pondasi Struktur bengkel</t>
  </si>
  <si>
    <t>footplate 60x60</t>
  </si>
  <si>
    <t>Atap bengkel dan cucian mobil</t>
  </si>
  <si>
    <t>Rangka hollow besi, fin biru silver, atap galvalum pasir biru  0,3mm, miring 1 sisi</t>
  </si>
  <si>
    <t>Instalasi air bersih ke arah bengkel</t>
  </si>
  <si>
    <t>pvc AW 1"</t>
  </si>
  <si>
    <t>pompa by owner</t>
  </si>
  <si>
    <t>L</t>
  </si>
  <si>
    <t>PEKERJAAN PAVING BLOCK UK. 1,85X169 M DAN SALURAN GOT Timur P 215M</t>
  </si>
  <si>
    <t>Pemadatan dan peninggian lantai ex. Taman samping</t>
  </si>
  <si>
    <t>Pembuatan garis kuning lebar 10cm</t>
  </si>
  <si>
    <t>jarak 1,2m dari kanstin</t>
  </si>
  <si>
    <t>Pekerjaan got samping</t>
  </si>
  <si>
    <t>Refinishing saluran</t>
  </si>
  <si>
    <t>plester aci ulang</t>
  </si>
  <si>
    <t>Pembuatan dinding batu kali</t>
  </si>
  <si>
    <t>Got batu kali1:4 + plester dan acian sisi dalam got</t>
  </si>
  <si>
    <t>M</t>
  </si>
  <si>
    <t>PEKERJAAN PENERANGAN JALAN</t>
  </si>
  <si>
    <t>Instalasi penerangan lampu PJU</t>
  </si>
  <si>
    <t>Kabel Supreme NYY 3x2,5 mm + konduit 20mm</t>
  </si>
  <si>
    <t>Pasang lampu PJU</t>
  </si>
  <si>
    <t>Lampu PJU 6500K 50 watt + tiang</t>
  </si>
  <si>
    <t>Terminasi kabel ke panel dan test merger</t>
  </si>
  <si>
    <t>Galian tanah dan langsir</t>
  </si>
  <si>
    <t>3,90</t>
  </si>
  <si>
    <t>N</t>
  </si>
  <si>
    <t>PEKERJAAN SALURAN GOT UTAMA (SEKELILING GUDANG) P156+46+98+17</t>
  </si>
  <si>
    <t>urugan kembali dan pemadatan tanah</t>
  </si>
  <si>
    <t>Perbaikan dan leveling dasar got</t>
  </si>
  <si>
    <t>Plester + aci dasar got + pembersihan</t>
  </si>
  <si>
    <t>Lantai kerja 5 cm</t>
  </si>
  <si>
    <t>3,00</t>
  </si>
  <si>
    <t>pembuatan sumur resapan (biopori)</t>
  </si>
  <si>
    <t>pvc 5" , depth 2m</t>
  </si>
  <si>
    <t>Beton dan lantai kerja</t>
  </si>
  <si>
    <t>Pembuatan selokan tepi teras sisi selatan office &amp; loading dock</t>
  </si>
  <si>
    <t>pvc 4"</t>
  </si>
  <si>
    <t>Pembesian</t>
  </si>
  <si>
    <t>bekesting</t>
  </si>
  <si>
    <t>sloof</t>
  </si>
  <si>
    <t>rolag bata</t>
  </si>
  <si>
    <t>2,3</t>
  </si>
  <si>
    <t>O</t>
  </si>
  <si>
    <t>Pekerjaan lain - lain</t>
  </si>
  <si>
    <t>Barrier parkir motor</t>
  </si>
  <si>
    <t>barrier tiang bulat dan rantai</t>
  </si>
  <si>
    <t>Pekerjaan Struktur - kolom dan balok</t>
  </si>
  <si>
    <t>Pengecatan rangka atap sebelah pos satpam</t>
  </si>
  <si>
    <t>Kolom tipe 1</t>
  </si>
  <si>
    <t>CNP 150 double</t>
  </si>
  <si>
    <t>280,00</t>
  </si>
  <si>
    <t>Sudetan pembuangan air ke arah utara dan perapian saluran belakang</t>
  </si>
  <si>
    <t>buis beton</t>
  </si>
  <si>
    <t>ring balok</t>
  </si>
  <si>
    <t>P</t>
  </si>
  <si>
    <t>Pekerjaan Interior</t>
  </si>
  <si>
    <t>Pekerjaan Struktur - atap</t>
  </si>
  <si>
    <t>Neon Box Artaboga Facade</t>
  </si>
  <si>
    <t>facade atas entrance</t>
  </si>
  <si>
    <t>set</t>
  </si>
  <si>
    <t>Rangka + atap upvc</t>
  </si>
  <si>
    <t>baja ringan C75 0.75mm</t>
  </si>
  <si>
    <t>60,00</t>
  </si>
  <si>
    <t>Huruf timbul dan logo backdrop 55 cm dan 27 cm "artaboga", akrilik warna, timbul 2 cm, dengan lampu</t>
  </si>
  <si>
    <t>area resepsionis</t>
  </si>
  <si>
    <t>hollow 4x4 canopy</t>
  </si>
  <si>
    <t>12,00</t>
  </si>
  <si>
    <t>Jasa Pasang lokasi tinggi</t>
  </si>
  <si>
    <t>Backdrop WPC, Kombinasi wallboard marble</t>
  </si>
  <si>
    <t>Pekerjaan Arsitektur</t>
  </si>
  <si>
    <t>Repair meja receptionist, lapis hpl, spek taco</t>
  </si>
  <si>
    <t>Pasangan dinding hebel</t>
  </si>
  <si>
    <t>7,5cm fin plester aci</t>
  </si>
  <si>
    <t>56,00</t>
  </si>
  <si>
    <t>Repair lemari bawah tangga, lapis hpl, spek taco</t>
  </si>
  <si>
    <t>cat exterior</t>
  </si>
  <si>
    <t>Neon Box 140 x 30 cm</t>
  </si>
  <si>
    <t>pcs</t>
  </si>
  <si>
    <t>cat interior</t>
  </si>
  <si>
    <t>ex catylac interior</t>
  </si>
  <si>
    <t xml:space="preserve">Cover Meja kantor </t>
  </si>
  <si>
    <t>area rg meeting</t>
  </si>
  <si>
    <t>keramik lantai interior</t>
  </si>
  <si>
    <t>ex platinum 60x60</t>
  </si>
  <si>
    <t>48,00</t>
  </si>
  <si>
    <t>keramik lantai teras</t>
  </si>
  <si>
    <t>plafon</t>
  </si>
  <si>
    <t>rangka hollow + gypsum 9mm</t>
  </si>
  <si>
    <t>kusen aluminium + kaca mati</t>
  </si>
  <si>
    <t>aluminium 3" putih + kaca bening 8mm</t>
  </si>
  <si>
    <t>Kusen pintu floor hinge</t>
  </si>
  <si>
    <t>2,00</t>
  </si>
  <si>
    <t>Lighting</t>
  </si>
  <si>
    <t>LED T8 18w 6500K</t>
  </si>
  <si>
    <t>10,00</t>
  </si>
  <si>
    <t>saklar dan stop kontak</t>
  </si>
  <si>
    <t>ex panasonic outbow</t>
  </si>
  <si>
    <t>14,00</t>
  </si>
  <si>
    <t>Pengadaan dan pemasangan AC</t>
  </si>
  <si>
    <t>ex gree 1pk</t>
  </si>
  <si>
    <t>4,00</t>
  </si>
  <si>
    <t>Fasad</t>
  </si>
  <si>
    <t>rangka + MMT + lighting 50w</t>
  </si>
  <si>
    <t>4,50</t>
  </si>
  <si>
    <t>Signage</t>
  </si>
  <si>
    <t>neon box</t>
  </si>
  <si>
    <t>Pekerjaan lain-lain</t>
  </si>
  <si>
    <t>Pemasangan paving area parkir</t>
  </si>
  <si>
    <t>K150 6cm</t>
  </si>
  <si>
    <t>20,00</t>
  </si>
  <si>
    <t>cat garis parkir</t>
  </si>
  <si>
    <t>GRAND TOTAL</t>
  </si>
  <si>
    <t>Pekerjaan Gudang Atas</t>
  </si>
  <si>
    <t>opsi 1 = Gym Ac Split</t>
  </si>
  <si>
    <t>opsi 2 = Badminton</t>
  </si>
  <si>
    <t>Jumlah harga opsi 2</t>
  </si>
  <si>
    <t>Lapangan Badminton</t>
  </si>
  <si>
    <t>perbaikan area tidak rata</t>
  </si>
  <si>
    <t>perataan naik turun lantai</t>
  </si>
  <si>
    <t>Pengacian ulang lantai kurang rata</t>
  </si>
  <si>
    <t>Plester + bonding agent</t>
  </si>
  <si>
    <t>leveling MU410</t>
  </si>
  <si>
    <t>8mm fin inc primer</t>
  </si>
  <si>
    <t>cat permukaan lapangan</t>
  </si>
  <si>
    <t>tennokote hijau</t>
  </si>
  <si>
    <t>marking garis</t>
  </si>
  <si>
    <t>catminyak</t>
  </si>
  <si>
    <t>Area Gym</t>
  </si>
  <si>
    <t>Pembuatan partisi gym</t>
  </si>
  <si>
    <t>rangka baja ringan, GRC 6mm 2sisi, cat ex catylac</t>
  </si>
  <si>
    <t>"Kusen pintu floor hinge
aluminium 3"" putih + kaca bening 8mm"		ex alexindo, FH dorma	2.00	pcs	5,200,000</t>
  </si>
  <si>
    <t>ex alexindo, FH dorma</t>
  </si>
  <si>
    <t>Pemasangan plafon</t>
  </si>
  <si>
    <t>rangka hollow, gypsum 9mm</t>
  </si>
  <si>
    <t>Pemasangan AC area gym</t>
  </si>
  <si>
    <t>gree 2pk</t>
  </si>
  <si>
    <t>Pemasangan Lighting</t>
  </si>
  <si>
    <t>LED 14w 6500K ex inlite</t>
  </si>
  <si>
    <t>Pekerjaan Area Gudang atas</t>
  </si>
  <si>
    <t>Pembuatan partisi gudang</t>
  </si>
  <si>
    <t>Pembuatan pintu gudang (kupu tarung)</t>
  </si>
  <si>
    <t>pintu gypsum kamuflase</t>
  </si>
  <si>
    <t>Pemasangan gypsum 1 sisi</t>
  </si>
  <si>
    <t>rangka existing</t>
  </si>
  <si>
    <t>Penggantian plafon akustik + rangka</t>
  </si>
  <si>
    <t>ganti rangka dan panel</t>
  </si>
  <si>
    <t>penggantian lighting</t>
  </si>
  <si>
    <t>E27 50W 6500K + kap</t>
  </si>
  <si>
    <t>lampu sorot 100W 6500K ex inlite</t>
  </si>
  <si>
    <t>kabel 2x15 NYM</t>
  </si>
  <si>
    <t>Pengadaan dan pemasangan turbin ventilator 32"</t>
  </si>
  <si>
    <t>ventilator 32"</t>
  </si>
  <si>
    <t>Pekerjaan finishing cat dinding dan partisi</t>
  </si>
  <si>
    <t>Cat dinding interior ex. Dulux Catylac setara</t>
  </si>
  <si>
    <t>Toko OT 24 Jam</t>
  </si>
  <si>
    <t>Item Pekerjaan</t>
  </si>
  <si>
    <t>Spek</t>
  </si>
  <si>
    <t>Pembersihan Lahan
tebang pohon dan buang puing</t>
  </si>
  <si>
    <t>tebang pohon dan buang puing</t>
  </si>
  <si>
    <t xml:space="preserve">Skafolding dan Alat Bantu Pekerjaan
</t>
  </si>
  <si>
    <t>Sewa Skafolding 6 set Selama 1 bulan</t>
  </si>
  <si>
    <t xml:space="preserve">Biaya gambar
</t>
  </si>
  <si>
    <t>Pekerjaan Struktur</t>
  </si>
  <si>
    <t>m3</t>
  </si>
  <si>
    <t>Cor lantai 8cm</t>
  </si>
  <si>
    <t>wiremesh M8-200, beton K250, 8cm</t>
  </si>
  <si>
    <t>sloof
rolag bata</t>
  </si>
  <si>
    <t>Kolom tipe 1CNP 150 double</t>
  </si>
  <si>
    <t>ring balok
CNP 150 double</t>
  </si>
  <si>
    <t>Rangka + atap upvc
baja ringan C75 0.75mm</t>
  </si>
  <si>
    <t>ex rooftop</t>
  </si>
  <si>
    <t>Rangka + atap upvc
hollow 4x4 canopy</t>
  </si>
  <si>
    <t>Pasangan dinding hebel
7,5cm fin plester aci</t>
  </si>
  <si>
    <t>cat exterior
ex catylac exterior</t>
  </si>
  <si>
    <t>cat interior
ex catylac interior</t>
  </si>
  <si>
    <t>keramik lantai interior
ex platinum 60x60</t>
  </si>
  <si>
    <t>keramik lantai teras
ex platinum 60x60</t>
  </si>
  <si>
    <t>plafon
rangka hollow + gypsum 9mm</t>
  </si>
  <si>
    <t>fin cat</t>
  </si>
  <si>
    <t>kusen aluminium + kaca mati
aluminium 3" putih + kaca bening 8mm</t>
  </si>
  <si>
    <t>ex alexindo</t>
  </si>
  <si>
    <t>Kusen pintu floor hinge
aluminium 3" putih + kaca bening 8mm</t>
  </si>
  <si>
    <t>Lighting
LED T8 18w 6500K</t>
  </si>
  <si>
    <t>saklar dan stop kontak
ex schneider classic</t>
  </si>
  <si>
    <t>Pengadaan dan pemasangan AC
ex gree 2pk</t>
  </si>
  <si>
    <t>pc</t>
  </si>
  <si>
    <t>Fasad
rangka + MMT + lighting 50w</t>
  </si>
  <si>
    <t>Signage
neon box</t>
  </si>
  <si>
    <t>Pemasangan paving area parkir
K150 6cm</t>
  </si>
  <si>
    <t>penggantian atap rg tunggu driver</t>
  </si>
  <si>
    <t>spandek pasir</t>
  </si>
  <si>
    <t>Pekerjaan Interior Pos Satpam</t>
  </si>
  <si>
    <t>Repair Rak Helm area sekuriti</t>
  </si>
  <si>
    <t>pernis kayu</t>
  </si>
  <si>
    <t>Repair meja sekuriti</t>
  </si>
  <si>
    <t>Repair lemari sekuriti</t>
  </si>
  <si>
    <t>TOTAL PEK UMUM</t>
  </si>
  <si>
    <t>TOTAL PEK ATAS OPS 1</t>
  </si>
  <si>
    <t>TOTAL PEK TOKO 24 OT</t>
  </si>
  <si>
    <t xml:space="preserve">GRAND TOTAL </t>
  </si>
  <si>
    <t>MASTER JADWAL PEKERJAAN (single source of truth) - setiap baris ITEM PEKERJAAN punya START WEEK / FINISH WEEK sendiri (sel kuning kolom U/V). Baris SUBTOTAL section (angka MIN/MAX) dihitung otomatis dari item-nya. DURASI, tanggal, Gantt, progress mengikuti otomatis.</t>
  </si>
  <si>
    <t>START WEEK</t>
  </si>
  <si>
    <t>FINISH WEEK</t>
  </si>
  <si>
    <t>DURASI (MGG)</t>
  </si>
  <si>
    <t>START DATE</t>
  </si>
  <si>
    <t>FINISH DATE</t>
  </si>
  <si>
    <t>PROGRESS %</t>
  </si>
  <si>
    <t>STATUS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</si>
  <si>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</si>
  <si>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</si>
  <si>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</si>
  <si>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</si>
  <si>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</si>
  <si>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</si>
  <si>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</si>
  <si>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</si>
  <si>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</si>
  <si>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</si>
  <si>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</si>
  <si>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</si>
  <si>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</si>
  <si>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</si>
  <si>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</si>
  <si>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</si>
  <si>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ID Pekerjaan</t>
  </si>
  <si>
    <t>Keterangan : setiap baris item = START WEEK/FINISH WEEK sendiri (kuning, pilihan 1-16). Baris subtotal section = MIN/MAX otomatis dari seluruh item section tsb. DURASI, START/FINISH DATE, GANTT mengikuti otomatis di baris masing-masing. PROGRESS/STATUS hanya tersedia di baris subtotal (sumber data mingguan per section, bukan per item).</t>
  </si>
  <si>
    <t>PEKERJAAN PERSIAPAN</t>
  </si>
  <si>
    <t>A-1</t>
  </si>
  <si>
    <t>A-2</t>
  </si>
  <si>
    <t>A-3</t>
  </si>
  <si>
    <t>A-4</t>
  </si>
  <si>
    <t>A-5</t>
  </si>
  <si>
    <t>PEKERJAAN AREA GUDANG UMUM+GUDANG SPM UK.46X54 M</t>
  </si>
  <si>
    <t>B-1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</si>
  <si>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</si>
  <si>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</si>
  <si>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</si>
  <si>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</si>
  <si>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</si>
  <si>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</si>
  <si>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</si>
  <si>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</si>
  <si>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</si>
  <si>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</si>
  <si>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</si>
  <si>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B-13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</si>
  <si>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</si>
  <si>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</si>
  <si>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</si>
  <si>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</si>
  <si>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</si>
  <si>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</si>
  <si>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</si>
  <si>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</si>
  <si>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</si>
  <si>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</si>
  <si>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D-1</t>
  </si>
  <si>
    <t>D-2</t>
  </si>
  <si>
    <t>D-3</t>
  </si>
  <si>
    <t>D-4</t>
  </si>
  <si>
    <t>D-5</t>
  </si>
  <si>
    <t>E-1</t>
  </si>
  <si>
    <t>E-2</t>
  </si>
  <si>
    <t>E-3</t>
  </si>
  <si>
    <t>E-4</t>
  </si>
  <si>
    <t>E-5</t>
  </si>
  <si>
    <t>E-6</t>
  </si>
  <si>
    <t>F-1</t>
  </si>
  <si>
    <t>F-2</t>
  </si>
  <si>
    <t>G-1</t>
  </si>
  <si>
    <t>G-2</t>
  </si>
  <si>
    <t>G-3</t>
  </si>
  <si>
    <t>G-4</t>
  </si>
  <si>
    <t>G-5</t>
  </si>
  <si>
    <t>H-1</t>
  </si>
  <si>
    <t>H-2</t>
  </si>
  <si>
    <t>H-3</t>
  </si>
  <si>
    <t>H-4</t>
  </si>
  <si>
    <t>H-5</t>
  </si>
  <si>
    <t>J-1</t>
  </si>
  <si>
    <t>J-2</t>
  </si>
  <si>
    <t>K-1</t>
  </si>
  <si>
    <t>K-2</t>
  </si>
  <si>
    <t>K-3</t>
  </si>
  <si>
    <t>K-4</t>
  </si>
  <si>
    <t>K-5</t>
  </si>
  <si>
    <t>K-6</t>
  </si>
  <si>
    <t>K-7</t>
  </si>
  <si>
    <t>K-8</t>
  </si>
  <si>
    <t>K-9</t>
  </si>
  <si>
    <t>K-10</t>
  </si>
  <si>
    <t>K-11</t>
  </si>
  <si>
    <t>K-12</t>
  </si>
  <si>
    <t>K-13</t>
  </si>
  <si>
    <t>K-14</t>
  </si>
  <si>
    <t>K-15</t>
  </si>
  <si>
    <t>L-1</t>
  </si>
  <si>
    <t>L-2</t>
  </si>
  <si>
    <t>L-3</t>
  </si>
  <si>
    <t>L-4</t>
  </si>
  <si>
    <t>L-5</t>
  </si>
  <si>
    <t>M-1</t>
  </si>
  <si>
    <t>M-2</t>
  </si>
  <si>
    <t>M-3</t>
  </si>
  <si>
    <t>N-1</t>
  </si>
  <si>
    <t>N-2</t>
  </si>
  <si>
    <t>N-3</t>
  </si>
  <si>
    <t>PEKERJAAN LAIN LAIN</t>
  </si>
  <si>
    <t>O-1</t>
  </si>
  <si>
    <t>O-2</t>
  </si>
  <si>
    <t>O-3</t>
  </si>
  <si>
    <t>PEKERJAAN INTERIOR</t>
  </si>
  <si>
    <t>P-1</t>
  </si>
  <si>
    <t>P-2</t>
  </si>
  <si>
    <t>P-3</t>
  </si>
  <si>
    <t>P-4</t>
  </si>
  <si>
    <t>P-5</t>
  </si>
  <si>
    <t>P-6</t>
  </si>
  <si>
    <t>P-7</t>
  </si>
  <si>
    <t>P-8</t>
  </si>
  <si>
    <t>II-A-1</t>
  </si>
  <si>
    <t>II-A-2</t>
  </si>
  <si>
    <t>II-A-3</t>
  </si>
  <si>
    <t>II-A-4</t>
  </si>
  <si>
    <t>II-A-5</t>
  </si>
  <si>
    <t>LAPANGAN BADMINTOON</t>
  </si>
  <si>
    <t>II-B-1</t>
  </si>
  <si>
    <t>II-B-2</t>
  </si>
  <si>
    <t>II-B-3</t>
  </si>
  <si>
    <t>II-B-4</t>
  </si>
  <si>
    <t>II-B-5</t>
  </si>
  <si>
    <t>AREA GYM</t>
  </si>
  <si>
    <t>PEKERJAAN AREA GUDANG ATAS</t>
  </si>
  <si>
    <t>II-C-1</t>
  </si>
  <si>
    <t>II-C-2</t>
  </si>
  <si>
    <t>II-C-3</t>
  </si>
  <si>
    <t>II-C-4</t>
  </si>
  <si>
    <t>II-C-5</t>
  </si>
  <si>
    <t>II-C-6</t>
  </si>
  <si>
    <t>II-C-7</t>
  </si>
  <si>
    <t>II-C-8</t>
  </si>
  <si>
    <t>III-A-1</t>
  </si>
  <si>
    <t>III-A-2</t>
  </si>
  <si>
    <t>III-A-3</t>
  </si>
  <si>
    <t>III-A-4</t>
  </si>
  <si>
    <t>III-B-1</t>
  </si>
  <si>
    <t>III-B-2</t>
  </si>
  <si>
    <t>III-B-3</t>
  </si>
  <si>
    <t>III-B-4</t>
  </si>
  <si>
    <t>III-B-5</t>
  </si>
  <si>
    <t>Pekerjaan Struktur - kolom</t>
  </si>
  <si>
    <t>III-C-1</t>
  </si>
  <si>
    <t>III-C-2</t>
  </si>
  <si>
    <t>Pekerjaan Atap</t>
  </si>
  <si>
    <t>III-D-1</t>
  </si>
  <si>
    <t>III-D-2</t>
  </si>
  <si>
    <t>III-E-1</t>
  </si>
  <si>
    <t>III-E-2</t>
  </si>
  <si>
    <t>III-E-3</t>
  </si>
  <si>
    <t>III-E-4</t>
  </si>
  <si>
    <t>III-E-5</t>
  </si>
  <si>
    <t>III-E-6</t>
  </si>
  <si>
    <t>III-E-7</t>
  </si>
  <si>
    <t>III-E-8</t>
  </si>
  <si>
    <t>III-E-9</t>
  </si>
  <si>
    <t>III-E-10</t>
  </si>
  <si>
    <t>III-E-11</t>
  </si>
  <si>
    <t>III-E-12</t>
  </si>
  <si>
    <t>III-E-13</t>
  </si>
  <si>
    <t>Pekerjaan Lain lain</t>
  </si>
  <si>
    <t>III-F-1</t>
  </si>
  <si>
    <t>III-F-2</t>
  </si>
  <si>
    <t>III-F-3</t>
  </si>
  <si>
    <t>III-G-1</t>
  </si>
  <si>
    <t>III-G-2</t>
  </si>
  <si>
    <t>III-G-3</t>
  </si>
  <si>
    <t>TIME SCHEDULE</t>
  </si>
  <si>
    <t>PEKERJAAN        : ARTABOGA GATSU</t>
  </si>
  <si>
    <t>Periode  : Juli 2026 s/d Oktober 2026</t>
  </si>
  <si>
    <t>NO</t>
  </si>
  <si>
    <t>URAIAN PEKERJAAN</t>
  </si>
  <si>
    <t>BOBOT</t>
  </si>
  <si>
    <t>JULI</t>
  </si>
  <si>
    <t>AGUSTUS</t>
  </si>
  <si>
    <t>SEPTEMBER</t>
  </si>
  <si>
    <t>OKTOBER</t>
  </si>
  <si>
    <t>KET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</si>
  <si>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</si>
  <si>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</si>
  <si>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</si>
  <si>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</si>
  <si>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</si>
  <si>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</si>
  <si>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</si>
  <si>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</si>
  <si>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</si>
  <si>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</si>
  <si>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</si>
  <si>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</si>
  <si>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</si>
  <si>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</si>
  <si>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I</t>
  </si>
  <si>
    <t>II</t>
  </si>
  <si>
    <t>III</t>
  </si>
  <si>
    <t>TOTAL</t>
  </si>
  <si>
    <t>Rencana progress mingguan</t>
  </si>
  <si>
    <t>Rencana komulatif progress mingguan</t>
  </si>
  <si>
    <t>Realisasi progress mingguan</t>
  </si>
  <si>
    <t>Realisasi komulatif progress mingguan</t>
  </si>
  <si>
    <t>Periode  : Juli 2026 s/d November 2026</t>
  </si>
  <si>
    <t>Author :</t>
  </si>
  <si>
    <t>Ryan</t>
  </si>
  <si>
    <t>NOVEMBER</t>
  </si>
  <si>
    <t>Week 15</t>
  </si>
  <si>
    <t>Week 16</t>
  </si>
  <si>
    <t>plan</t>
  </si>
  <si>
    <t>aktual</t>
  </si>
  <si>
    <t>Rencana kumulatif progress mingguan</t>
  </si>
  <si>
    <t>Realisasi kumulatif progress mingguan</t>
  </si>
  <si>
    <t>Termin pembayaran</t>
  </si>
  <si>
    <t>Nilai kontrak pekerjaan</t>
  </si>
  <si>
    <t>Prestasi pekerjaan</t>
  </si>
  <si>
    <t>Pekan</t>
  </si>
  <si>
    <t>Keterangan</t>
  </si>
  <si>
    <t>Dp - 10%</t>
  </si>
  <si>
    <t>27,Juli 2026</t>
  </si>
  <si>
    <t xml:space="preserve">Setelah action pekerjaan </t>
  </si>
  <si>
    <t>Termin 1 - 5%</t>
  </si>
  <si>
    <t>3,Agustus 2026</t>
  </si>
  <si>
    <t>Pekerjaan persiapan</t>
  </si>
  <si>
    <t>Termin 2 - 15%</t>
  </si>
  <si>
    <t>17,Agustus 2026</t>
  </si>
  <si>
    <t>Progress pekerjaan 20%</t>
  </si>
  <si>
    <t>Termin 3 - 15%</t>
  </si>
  <si>
    <t>1,September 2026</t>
  </si>
  <si>
    <t>Progress pekerjaan 35%</t>
  </si>
  <si>
    <t>Termin 4 - 15%</t>
  </si>
  <si>
    <t>14,September 2026</t>
  </si>
  <si>
    <t>Progress pekerjaan 50%</t>
  </si>
  <si>
    <t>Termin 5 - 15%</t>
  </si>
  <si>
    <t>28,September 2026</t>
  </si>
  <si>
    <t>Progress pekerjaan 65%</t>
  </si>
  <si>
    <t>Termin 6 - 15%</t>
  </si>
  <si>
    <t>12,Oktober 2026</t>
  </si>
  <si>
    <t>Progress pekerjaan 80%</t>
  </si>
  <si>
    <t>Termin 7 - 5%</t>
  </si>
  <si>
    <t>9,November 2026</t>
  </si>
  <si>
    <t>Progress pekerjaan 100%</t>
  </si>
  <si>
    <t>Maintanance 5%</t>
  </si>
  <si>
    <t>Terhitung 3 bulan dari BAST 1</t>
  </si>
  <si>
    <t>KALENDER MINGGU — DASAR PERHITUNGAN TANGGAL TIME SCHEDULE</t>
  </si>
  <si>
    <t>Tanggal Mulai Proyek (awal Week 1):</t>
  </si>
  <si>
    <t>&lt;&lt; ASUMSI/INPUT — ubah di sini, seluruh Week 1-16 &amp; TS ikut bergeser otomatis</t>
  </si>
  <si>
    <t>Minggu</t>
  </si>
  <si>
    <t>Tanggal Mulai</t>
  </si>
  <si>
    <t>Tanggal Selesai</t>
  </si>
  <si>
    <t>PRODUKTIVITAS HARIAN &amp; DISTRIBUSI BOBOT PEKERJAAN (sumber dinamis untuk sheet TS)</t>
  </si>
  <si>
    <t>Isi volume pekerjaan HARIAN (bukan persen) pada kolom Hari 1..112 (kuning=area input). Tanggal di bawah H1..H112 = asumsi Tanggal Mulai Proyek (KALENDER MINGGU!B3). Jika kolom I (Tanggal Mulai Item) suatu baris diubah manual, tanggal aktual baris itu bergeser mengikuti kolom I, bukan tanggal di header.</t>
  </si>
  <si>
    <t>Ref
BOBOT PEK</t>
  </si>
  <si>
    <t>Paket Pekerjaan</t>
  </si>
  <si>
    <t>Sec</t>
  </si>
  <si>
    <t>Volume
Target</t>
  </si>
  <si>
    <t>Bobot
Item (%)</t>
  </si>
  <si>
    <t>Tanggal
Mulai Item</t>
  </si>
  <si>
    <t>Total
Realisasi</t>
  </si>
  <si>
    <t>Sisa
Volume</t>
  </si>
  <si>
    <t>Progres
Item (%)</t>
  </si>
  <si>
    <t>Validasi</t>
  </si>
  <si>
    <t>Mgg1</t>
  </si>
  <si>
    <t>Mgg2</t>
  </si>
  <si>
    <t>Mgg3</t>
  </si>
  <si>
    <t>Mgg4</t>
  </si>
  <si>
    <t>Mgg5</t>
  </si>
  <si>
    <t>Mgg6</t>
  </si>
  <si>
    <t>Mgg7</t>
  </si>
  <si>
    <t>Mgg8</t>
  </si>
  <si>
    <t>Mgg9</t>
  </si>
  <si>
    <t>Mgg10</t>
  </si>
  <si>
    <t>Mgg11</t>
  </si>
  <si>
    <t>Mgg12</t>
  </si>
  <si>
    <t>Mgg13</t>
  </si>
  <si>
    <t>Mgg14</t>
  </si>
  <si>
    <t>Mgg15</t>
  </si>
  <si>
    <t>Mgg16</t>
  </si>
  <si>
    <t>RENCANA MINGGUAN — ARTABOGA GATSU</t>
  </si>
  <si>
    <t>RENCANA MINGGUAN</t>
  </si>
  <si>
    <t>Proyek        : ARTABOGA GATSU</t>
  </si>
  <si>
    <t>MINGGU AKTIF</t>
  </si>
  <si>
    <t>Tahun</t>
  </si>
  <si>
    <t>Minggu Berjalan (hari ini)</t>
  </si>
  <si>
    <t>No. Minggu (otomatis)</t>
  </si>
  <si>
    <t>DASHBOARD MINGGU TERPILIH</t>
  </si>
  <si>
    <t>Planned Progress Minggu Ini (%)</t>
  </si>
  <si>
    <t>Actual Progress Minggu Ini (%)</t>
  </si>
  <si>
    <t>Planned Kumulatif (%)</t>
  </si>
  <si>
    <t>Actual Kumulatif (%)</t>
  </si>
  <si>
    <t>Deviasi Kumulatif (%)</t>
  </si>
  <si>
    <t>Jml Pekerjaan Direncanakan</t>
  </si>
  <si>
    <t>Jml Completed</t>
  </si>
  <si>
    <t>Jml Delayed/Critical</t>
  </si>
  <si>
    <t>Jml Not Started</t>
  </si>
  <si>
    <t>Catatan : Minggu aktif dikendalikan dari sheet CETAK RENCANA MINGGUAN (kotak kuning B10). JADWAL pekerjaan (kapan dikerjakan) diatur SATU tempat: sheet BOBOT PEK (kolom U/V = START WEEK / FINISH WEEK, dropdown). Rencana Mingguan otomatis hanya menampilkan item yang aktif pada minggu terpilih. Kolom D sekarang OTOMATIS: menampilkan daftar item pekerjaan dari sheet BOBOT PEK (kolom C) yang aktif pada minggu tsb (berdasarkan START WEEK/FINISH WEEK kolom U/V), sesuai section ID pekerjaan. Sel kuning di kolom K, L, M, N, P = input manual lapangan.</t>
  </si>
  <si>
    <t>REF ITEM (internal - jangan diedit)</t>
  </si>
  <si>
    <t>Periode</t>
  </si>
  <si>
    <t>Pekerjaan / Sub Item (Breakdown Mingguan, sinkron progres aktual)</t>
  </si>
  <si>
    <t>Bobot RAB (%)</t>
  </si>
  <si>
    <t>Target Mingguan Item (%)</t>
  </si>
  <si>
    <t>Kontribusi Proyek (%)</t>
  </si>
  <si>
    <t>Kumulatif Rencana Item (%)</t>
  </si>
  <si>
    <t>Kumulatif Aktual Item (%)</t>
  </si>
  <si>
    <t>Sisa Pekerjaan (%)</t>
  </si>
  <si>
    <t>Volume Target</t>
  </si>
  <si>
    <t>Satuan</t>
  </si>
  <si>
    <t>Lokasi</t>
  </si>
  <si>
    <t>PIC</t>
  </si>
  <si>
    <t>Status</t>
  </si>
  <si>
    <t>Catatan</t>
  </si>
  <si>
    <t>ID</t>
  </si>
  <si>
    <t>Nama Pekerjaan</t>
  </si>
  <si>
    <t>PlanRow</t>
  </si>
  <si>
    <t>AktualRow</t>
  </si>
  <si>
    <t>StartWeek</t>
  </si>
  <si>
    <t>EndWeek</t>
  </si>
  <si>
    <t>ItemStartRow</t>
  </si>
  <si>
    <t>ItemEndRow</t>
  </si>
  <si>
    <t>I-A</t>
  </si>
  <si>
    <t>I-B</t>
  </si>
  <si>
    <t>I-C</t>
  </si>
  <si>
    <t>I-D</t>
  </si>
  <si>
    <t>I-E</t>
  </si>
  <si>
    <t>Pak Jasmin</t>
  </si>
  <si>
    <t>I-F</t>
  </si>
  <si>
    <t>I-G</t>
  </si>
  <si>
    <t>I-H</t>
  </si>
  <si>
    <t>I-J</t>
  </si>
  <si>
    <t>I-K</t>
  </si>
  <si>
    <t>I-L</t>
  </si>
  <si>
    <t>I-M</t>
  </si>
  <si>
    <t>I-N</t>
  </si>
  <si>
    <t>I-O</t>
  </si>
  <si>
    <t>I-P</t>
  </si>
  <si>
    <t>II-A</t>
  </si>
  <si>
    <t>II-B</t>
  </si>
  <si>
    <t>II-C</t>
  </si>
  <si>
    <t>III-A</t>
  </si>
  <si>
    <t>III-B</t>
  </si>
  <si>
    <t>Pak Suko</t>
  </si>
  <si>
    <t>III-C</t>
  </si>
  <si>
    <t>III-D</t>
  </si>
  <si>
    <t>III-E</t>
  </si>
  <si>
    <t>III-F</t>
  </si>
  <si>
    <t>III-G</t>
  </si>
  <si>
    <t>Petunjuk : Pilih minggu pada kotak kuning (B10) di bawah, lalu cetak dengan Ctrl+P / File &gt; Print. Hanya minggu terpilih yang tercetak. Data semua minggu tetap aman di sheet RENCANA MINGGUAN.</t>
  </si>
  <si>
    <t>MINGGU AKTIF :</t>
  </si>
  <si>
    <t>■ COMPLETED</t>
  </si>
  <si>
    <t>■ ON SCHEDULE</t>
  </si>
  <si>
    <t>■ DELAYED</t>
  </si>
  <si>
    <t>■ CRITICAL</t>
  </si>
  <si>
    <t>■ NOT STARTED</t>
  </si>
  <si>
    <t>No. Minggu :</t>
  </si>
  <si>
    <t>PLANNED PROGRESS MINGGU INI (%)</t>
  </si>
  <si>
    <t>ACTUAL PROGRESS MINGGU INI (%)</t>
  </si>
  <si>
    <t>PLANNED KUMULATIF (%)</t>
  </si>
  <si>
    <t>ACTUAL KUMULATIF (%)</t>
  </si>
  <si>
    <t>DEVIASI KUMULATIF (%)</t>
  </si>
  <si>
    <t>JML PEKERJAAN DIRENCANAKAN</t>
  </si>
  <si>
    <t>JML COMPLETED</t>
  </si>
  <si>
    <t>JML DELAYED / CRITICAL</t>
  </si>
  <si>
    <t>JML NOT STARTED</t>
  </si>
  <si>
    <t>VALIDASI TARGET TERMIN — ARTABOGA GATSU (dihitung dari BOBOT PEK, bukan TS)</t>
  </si>
  <si>
    <t>Planned Cumulative = spread linear tiap ITEM PEKERJAAN antara START WEEK dan FINISH WEEK (kolom U/V di BOBOT PEK), dikali bobot RAB (kolom J).</t>
  </si>
  <si>
    <t>Milestone</t>
  </si>
  <si>
    <t>Minggu (KALENDER MINGGU)</t>
  </si>
  <si>
    <t>Target (%)</t>
  </si>
  <si>
    <t>Planned Cumulative (%)</t>
  </si>
  <si>
    <t>Actual Cumulative (%) *</t>
  </si>
  <si>
    <t>Selisih Planned vs Target</t>
  </si>
  <si>
    <t>DP1+DP2 (Persiapan)</t>
  </si>
  <si>
    <t>2026-08-03</t>
  </si>
  <si>
    <t>Termin 1 (Persiapan)</t>
  </si>
  <si>
    <t>2026-08-10</t>
  </si>
  <si>
    <t>Termin 2</t>
  </si>
  <si>
    <t>2026-08-17</t>
  </si>
  <si>
    <t>Termin 3</t>
  </si>
  <si>
    <t>2026-09-01</t>
  </si>
  <si>
    <t>Termin 4</t>
  </si>
  <si>
    <t>2026-09-14</t>
  </si>
  <si>
    <t>Termin 5</t>
  </si>
  <si>
    <t>2026-09-28</t>
  </si>
  <si>
    <t>Termin 6</t>
  </si>
  <si>
    <t>2026-10-12</t>
  </si>
  <si>
    <t>Termin 7</t>
  </si>
  <si>
    <t>2026-11-09</t>
  </si>
  <si>
    <t>* Actual Cumulative diambil dari data realisasi terakhir (RENCANA MINGGUAN!H10) - hanya valid untuk milestone yang tanggalnya sudah lewat dari minggu berjalan saat ini (Minggu 4 / 19 Agu 2026).</t>
  </si>
  <si>
    <t>Catatan: TS dan RAB UPDATE tidak diubah. Planned Cumulative dihitung langsung dari master jadwal BOBOT PEK (kolom U/V), bukan dari baris plan statis di sheet TS.</t>
  </si>
  <si>
    <t>Status pakai ACTUAL untuk milestone yang tanggalnya sudah lewat minggu berjalan (Minggu 4); pakai PLANNED (dari jadwal BOBOT PEK) untuk milestone yang akan datang.</t>
  </si>
  <si>
    <t>Minggu Ke-6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</si>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</sst>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-&quot;Rp&quot;* #,##0_-;&quot;-Rp&quot;* #,##0_-;_-&quot;Rp&quot;* \-_-;_-@"/>
    <numFmt numFmtId="165" formatCode="_(* #,##0_);_(* \(#,##0\);_(* \-??_);_(@_)"/>
    <numFmt numFmtId="166" formatCode="0.000"/>
    <numFmt numFmtId="167" formatCode="0.0"/>
    <numFmt numFmtId="168" formatCode="_-* #,##0_-;\-* #,##0_-;_-* \-??_-;_-@"/>
    <numFmt numFmtId="169" formatCode="_-&quot;Rp&quot;* #,##0.00_-;&quot;-Rp&quot;* #,##0.00_-;_-&quot;Rp&quot;* \-??_-;_-@"/>
    <numFmt numFmtId="170" formatCode="_-* #,##0_-;\-* #,##0_-;_-* \-_-;_-@"/>
    <numFmt numFmtId="171" formatCode="m/d/yyyy"/>
    <numFmt numFmtId="172" formatCode="0.00\%"/>
    <numFmt numFmtId="173" formatCode="_(* #,##0.00_);_(* \(#,##0.00\);_(* \-??_);_(@_)"/>
    <numFmt numFmtId="174" formatCode="dd\-mmm\-yyyy"/>
    <numFmt numFmtId="175" formatCode="0.0000\%"/>
    <numFmt numFmtId="176" formatCode="#,##0.00;;&quot;&quot;"/>
    <numFmt numFmtId="177" formatCode="0.0000"/>
    <numFmt numFmtId="178" formatCode="0.0%"/>
  </numFmts>
  <fonts count="49" x14ac:knownFonts="1">
    <font>
      <sz val="10"/>
      <color rgb="FF000000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sz val="11"/>
      <color rgb="FF000000"/>
      <name val="Calibri"/>
      <charset val="1"/>
    </font>
    <font>
      <b/>
      <sz val="14"/>
      <color rgb="FF000000"/>
      <name val="Calibri"/>
      <charset val="1"/>
    </font>
    <font>
      <sz val="12"/>
      <color rgb="FF000000"/>
      <name val="Calibri"/>
      <charset val="1"/>
    </font>
    <font>
      <b/>
      <sz val="11"/>
      <color rgb="FF000000"/>
      <name val="Calibri"/>
      <charset val="1"/>
    </font>
    <font>
      <b/>
      <sz val="12"/>
      <color rgb="FF000000"/>
      <name val="Calibri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8"/>
      <color rgb="FF000000"/>
      <name val="Arial"/>
      <charset val="1"/>
    </font>
    <font>
      <sz val="11"/>
      <color rgb="FF000000"/>
      <name val="Arial"/>
      <charset val="1"/>
    </font>
    <font>
      <sz val="8"/>
      <color rgb="FF000000"/>
      <name val="Arial"/>
      <charset val="1"/>
    </font>
    <font>
      <sz val="10"/>
      <color rgb="FF000000"/>
      <name val="Times New Roman"/>
      <charset val="1"/>
    </font>
    <font>
      <b/>
      <sz val="10"/>
      <color rgb="FF1F3864"/>
      <name val="Arial"/>
      <charset val="1"/>
    </font>
    <font>
      <b/>
      <sz val="8"/>
      <name val="Arial"/>
      <charset val="1"/>
    </font>
    <font>
      <b/>
      <sz val="7"/>
      <name val="Arial"/>
      <charset val="1"/>
    </font>
    <font>
      <i/>
      <sz val="8"/>
      <color rgb="FF595959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2"/>
      <color rgb="FF000000"/>
      <name val="Arial"/>
      <charset val="1"/>
    </font>
    <font>
      <b/>
      <sz val="14"/>
      <color rgb="FF000000"/>
      <name val="Arial"/>
      <charset val="1"/>
    </font>
    <font>
      <i/>
      <sz val="8"/>
      <color rgb="FF000000"/>
      <name val="Arial"/>
      <charset val="1"/>
    </font>
    <font>
      <sz val="10"/>
      <color theme="5"/>
      <name val="Arial"/>
      <family val="2"/>
      <charset val="1"/>
    </font>
    <font>
      <i/>
      <sz val="8"/>
      <color theme="5"/>
      <name val="Arial"/>
      <family val="2"/>
      <charset val="1"/>
    </font>
    <font>
      <sz val="11"/>
      <color theme="5"/>
      <name val="Arial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0"/>
      <color rgb="FF0000FF"/>
      <name val="Arial"/>
      <charset val="1"/>
    </font>
    <font>
      <i/>
      <sz val="9"/>
      <color rgb="FFFF0000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sz val="9"/>
      <color rgb="FF0000FF"/>
      <name val="Arial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b/>
      <sz val="11"/>
      <color rgb="FF1F3864"/>
      <name val="Arial"/>
      <charset val="1"/>
    </font>
    <font>
      <b/>
      <i/>
      <sz val="9"/>
      <name val="Arial"/>
      <charset val="1"/>
    </font>
    <font>
      <b/>
      <sz val="10"/>
      <color rgb="FFFFFFFF"/>
      <name val="Arial"/>
      <charset val="1"/>
    </font>
    <font>
      <sz val="9"/>
      <color rgb="FF404040"/>
      <name val="Arial"/>
      <charset val="1"/>
    </font>
    <font>
      <i/>
      <sz val="8"/>
      <color theme="0"/>
      <name val="Arial"/>
      <family val="2"/>
      <charset val="1"/>
    </font>
    <font>
      <b/>
      <sz val="12"/>
      <name val="Arial"/>
      <charset val="1"/>
    </font>
    <font>
      <b/>
      <sz val="8"/>
      <color theme="0"/>
      <name val="Arial"/>
      <family val="2"/>
      <charset val="1"/>
    </font>
    <font>
      <b/>
      <sz val="8"/>
      <color rgb="FF1F4E78"/>
      <name val="Arial"/>
      <charset val="1"/>
    </font>
    <font>
      <b/>
      <sz val="8"/>
      <color rgb="FF9C6500"/>
      <name val="Arial"/>
      <charset val="1"/>
    </font>
    <font>
      <b/>
      <sz val="8"/>
      <color rgb="FF9C0006"/>
      <name val="Arial"/>
      <charset val="1"/>
    </font>
    <font>
      <b/>
      <sz val="8"/>
      <color rgb="FF808080"/>
      <name val="Arial"/>
      <charset val="1"/>
    </font>
    <font>
      <b/>
      <sz val="8"/>
      <name val="Arial"/>
      <family val="2"/>
      <charset val="1"/>
    </font>
    <font>
      <sz val="9"/>
      <color rgb="FF0000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D0CECE"/>
        <bgColor rgb="FFD9D9D9"/>
      </patternFill>
    </fill>
    <fill>
      <patternFill patternType="solid">
        <fgColor rgb="FFBDD6EE"/>
        <bgColor rgb="FFB3CEFA"/>
      </patternFill>
    </fill>
    <fill>
      <patternFill patternType="solid">
        <fgColor rgb="FFFFFF00"/>
        <bgColor rgb="FFCCFF33"/>
      </patternFill>
    </fill>
    <fill>
      <patternFill patternType="solid">
        <fgColor rgb="FFB3CEFA"/>
        <bgColor rgb="FFBDD6EE"/>
      </patternFill>
    </fill>
    <fill>
      <patternFill patternType="solid">
        <fgColor rgb="FFDDEBF7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CCFF33"/>
        <bgColor rgb="FFFFFF00"/>
      </patternFill>
    </fill>
    <fill>
      <patternFill patternType="solid">
        <fgColor rgb="FFFFFF99"/>
        <bgColor rgb="FFFFEB9C"/>
      </patternFill>
    </fill>
    <fill>
      <patternFill patternType="solid">
        <fgColor rgb="FFD9D9D9"/>
        <bgColor rgb="FFD0CECE"/>
      </patternFill>
    </fill>
    <fill>
      <patternFill patternType="solid">
        <fgColor rgb="FF305496"/>
        <bgColor rgb="FF1F4E78"/>
      </patternFill>
    </fill>
    <fill>
      <patternFill patternType="solid">
        <fgColor rgb="FF548235"/>
        <bgColor rgb="FF595959"/>
      </patternFill>
    </fill>
    <fill>
      <patternFill patternType="solid">
        <fgColor rgb="FF262626"/>
        <bgColor rgb="FF1F3864"/>
      </patternFill>
    </fill>
    <fill>
      <patternFill patternType="solid">
        <fgColor rgb="FF0C0C0C"/>
        <bgColor rgb="FF000000"/>
      </patternFill>
    </fill>
    <fill>
      <patternFill patternType="solid">
        <fgColor rgb="FFF2F2F2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F9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CCFF33"/>
      </patternFill>
    </fill>
    <fill>
      <patternFill patternType="solid">
        <fgColor theme="8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305">
    <xf numFmtId="0" fontId="0" fillId="0" borderId="0" xfId="0"/>
    <xf numFmtId="0" fontId="8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0" fontId="39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left"/>
    </xf>
    <xf numFmtId="165" fontId="9" fillId="0" borderId="1" xfId="0" applyNumberFormat="1" applyFont="1" applyBorder="1" applyAlignment="1">
      <alignment horizontal="left"/>
    </xf>
    <xf numFmtId="0" fontId="10" fillId="0" borderId="0" xfId="0" applyFont="1" applyAlignment="1">
      <alignment horizontal="right" vertical="top"/>
    </xf>
    <xf numFmtId="0" fontId="10" fillId="0" borderId="2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" fontId="11" fillId="0" borderId="1" xfId="0" applyNumberFormat="1" applyFont="1" applyBorder="1" applyAlignment="1">
      <alignment horizontal="right" vertical="top"/>
    </xf>
    <xf numFmtId="0" fontId="11" fillId="0" borderId="1" xfId="0" applyFont="1" applyBorder="1" applyAlignment="1">
      <alignment horizontal="left" vertical="top"/>
    </xf>
    <xf numFmtId="4" fontId="11" fillId="0" borderId="1" xfId="0" applyNumberFormat="1" applyFont="1" applyBorder="1" applyAlignment="1">
      <alignment horizontal="left" wrapText="1"/>
    </xf>
    <xf numFmtId="2" fontId="11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3" fontId="11" fillId="0" borderId="1" xfId="0" applyNumberFormat="1" applyFont="1" applyBorder="1" applyAlignment="1">
      <alignment horizontal="right"/>
    </xf>
    <xf numFmtId="165" fontId="11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0" fontId="12" fillId="0" borderId="0" xfId="0" applyFont="1" applyAlignment="1">
      <alignment horizontal="right" vertical="top"/>
    </xf>
    <xf numFmtId="0" fontId="12" fillId="0" borderId="2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2" xfId="0" applyFont="1" applyBorder="1" applyAlignment="1">
      <alignment horizontal="right"/>
    </xf>
    <xf numFmtId="4" fontId="11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right" vertical="top"/>
    </xf>
    <xf numFmtId="4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165" fontId="9" fillId="4" borderId="1" xfId="0" applyNumberFormat="1" applyFont="1" applyFill="1" applyBorder="1" applyAlignment="1">
      <alignment horizontal="right"/>
    </xf>
    <xf numFmtId="166" fontId="8" fillId="4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2" fillId="0" borderId="0" xfId="0" applyFont="1" applyAlignment="1">
      <alignment horizontal="right"/>
    </xf>
    <xf numFmtId="0" fontId="11" fillId="0" borderId="1" xfId="0" applyFont="1" applyBorder="1" applyAlignment="1">
      <alignment horizontal="left" vertical="top" wrapText="1"/>
    </xf>
    <xf numFmtId="2" fontId="11" fillId="0" borderId="1" xfId="0" applyNumberFormat="1" applyFont="1" applyBorder="1" applyAlignment="1">
      <alignment horizontal="right" wrapText="1"/>
    </xf>
    <xf numFmtId="1" fontId="11" fillId="0" borderId="1" xfId="0" applyNumberFormat="1" applyFont="1" applyBorder="1" applyAlignment="1">
      <alignment horizontal="right" wrapText="1"/>
    </xf>
    <xf numFmtId="165" fontId="11" fillId="4" borderId="1" xfId="0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right" vertical="top"/>
    </xf>
    <xf numFmtId="4" fontId="11" fillId="0" borderId="1" xfId="0" applyNumberFormat="1" applyFont="1" applyBorder="1" applyAlignment="1">
      <alignment horizontal="right" wrapText="1"/>
    </xf>
    <xf numFmtId="167" fontId="11" fillId="0" borderId="1" xfId="0" applyNumberFormat="1" applyFont="1" applyBorder="1" applyAlignment="1">
      <alignment horizontal="right" wrapText="1"/>
    </xf>
    <xf numFmtId="168" fontId="11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4" fontId="9" fillId="0" borderId="1" xfId="0" applyNumberFormat="1" applyFont="1" applyBorder="1" applyAlignment="1">
      <alignment horizontal="left" wrapText="1"/>
    </xf>
    <xf numFmtId="4" fontId="9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2" fillId="0" borderId="1" xfId="0" applyFont="1" applyBorder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4" fontId="12" fillId="0" borderId="1" xfId="0" applyNumberFormat="1" applyFont="1" applyBorder="1" applyAlignment="1">
      <alignment horizontal="left" wrapText="1"/>
    </xf>
    <xf numFmtId="4" fontId="12" fillId="0" borderId="1" xfId="0" applyNumberFormat="1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3" fontId="12" fillId="0" borderId="1" xfId="0" applyNumberFormat="1" applyFont="1" applyBorder="1" applyAlignment="1">
      <alignment horizontal="right"/>
    </xf>
    <xf numFmtId="165" fontId="12" fillId="0" borderId="1" xfId="0" applyNumberFormat="1" applyFont="1" applyBorder="1" applyAlignment="1">
      <alignment horizontal="right"/>
    </xf>
    <xf numFmtId="169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70" fontId="6" fillId="5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right" vertical="top"/>
    </xf>
    <xf numFmtId="2" fontId="9" fillId="0" borderId="1" xfId="0" applyNumberFormat="1" applyFont="1" applyBorder="1" applyAlignment="1">
      <alignment horizontal="right"/>
    </xf>
    <xf numFmtId="3" fontId="11" fillId="4" borderId="1" xfId="0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left" vertical="top"/>
    </xf>
    <xf numFmtId="4" fontId="11" fillId="0" borderId="1" xfId="0" applyNumberFormat="1" applyFont="1" applyBorder="1" applyAlignment="1">
      <alignment horizontal="left" vertical="top" wrapText="1"/>
    </xf>
    <xf numFmtId="4" fontId="11" fillId="0" borderId="1" xfId="0" applyNumberFormat="1" applyFont="1" applyBorder="1" applyAlignment="1">
      <alignment horizontal="left" vertical="top"/>
    </xf>
    <xf numFmtId="165" fontId="9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2" fontId="11" fillId="0" borderId="1" xfId="0" applyNumberFormat="1" applyFont="1" applyBorder="1" applyAlignment="1">
      <alignment horizontal="left" vertical="center"/>
    </xf>
    <xf numFmtId="2" fontId="11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2" fontId="11" fillId="0" borderId="1" xfId="0" applyNumberFormat="1" applyFont="1" applyBorder="1"/>
    <xf numFmtId="3" fontId="11" fillId="0" borderId="1" xfId="0" applyNumberFormat="1" applyFont="1" applyBorder="1"/>
    <xf numFmtId="3" fontId="11" fillId="4" borderId="1" xfId="0" applyNumberFormat="1" applyFont="1" applyFill="1" applyBorder="1"/>
    <xf numFmtId="170" fontId="9" fillId="0" borderId="1" xfId="0" applyNumberFormat="1" applyFont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70" fontId="9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70" fontId="8" fillId="0" borderId="1" xfId="0" applyNumberFormat="1" applyFont="1" applyBorder="1"/>
    <xf numFmtId="165" fontId="3" fillId="0" borderId="0" xfId="0" applyNumberFormat="1" applyFont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71" fontId="19" fillId="0" borderId="3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20" fillId="0" borderId="0" xfId="0" applyFont="1"/>
    <xf numFmtId="0" fontId="6" fillId="0" borderId="0" xfId="0" applyFo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4" borderId="14" xfId="0" applyFill="1" applyBorder="1" applyAlignment="1">
      <alignment horizont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0" fontId="0" fillId="0" borderId="14" xfId="0" applyBorder="1" applyAlignment="1">
      <alignment horizontal="center"/>
    </xf>
    <xf numFmtId="166" fontId="0" fillId="0" borderId="20" xfId="0" applyNumberFormat="1" applyBorder="1"/>
    <xf numFmtId="166" fontId="0" fillId="0" borderId="16" xfId="0" applyNumberFormat="1" applyBorder="1"/>
    <xf numFmtId="0" fontId="0" fillId="4" borderId="20" xfId="0" applyFill="1" applyBorder="1" applyAlignment="1">
      <alignment horizontal="left"/>
    </xf>
    <xf numFmtId="0" fontId="0" fillId="4" borderId="21" xfId="0" applyFill="1" applyBorder="1" applyAlignment="1">
      <alignment horizontal="left"/>
    </xf>
    <xf numFmtId="0" fontId="0" fillId="4" borderId="22" xfId="0" applyFill="1" applyBorder="1" applyAlignment="1">
      <alignment horizontal="left"/>
    </xf>
    <xf numFmtId="2" fontId="0" fillId="0" borderId="20" xfId="0" applyNumberFormat="1" applyBorder="1"/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1" fontId="0" fillId="0" borderId="20" xfId="0" applyNumberFormat="1" applyBorder="1" applyAlignment="1">
      <alignment horizontal="left"/>
    </xf>
    <xf numFmtId="166" fontId="0" fillId="0" borderId="23" xfId="0" applyNumberFormat="1" applyBorder="1"/>
    <xf numFmtId="2" fontId="0" fillId="0" borderId="24" xfId="0" applyNumberFormat="1" applyBorder="1"/>
    <xf numFmtId="2" fontId="0" fillId="0" borderId="25" xfId="0" applyNumberFormat="1" applyBorder="1"/>
    <xf numFmtId="2" fontId="0" fillId="0" borderId="26" xfId="0" applyNumberFormat="1" applyBorder="1"/>
    <xf numFmtId="1" fontId="0" fillId="4" borderId="20" xfId="0" applyNumberForma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2" fontId="0" fillId="0" borderId="14" xfId="0" applyNumberFormat="1" applyBorder="1"/>
    <xf numFmtId="166" fontId="0" fillId="0" borderId="1" xfId="0" applyNumberFormat="1" applyBorder="1"/>
    <xf numFmtId="0" fontId="0" fillId="0" borderId="20" xfId="0" applyBorder="1"/>
    <xf numFmtId="2" fontId="9" fillId="0" borderId="1" xfId="0" applyNumberFormat="1" applyFont="1" applyBorder="1"/>
    <xf numFmtId="2" fontId="0" fillId="0" borderId="27" xfId="0" applyNumberFormat="1" applyBorder="1"/>
    <xf numFmtId="0" fontId="21" fillId="0" borderId="0" xfId="0" applyFont="1"/>
    <xf numFmtId="0" fontId="0" fillId="0" borderId="0" xfId="0" applyAlignment="1">
      <alignment horizontal="right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1" xfId="0" applyBorder="1"/>
    <xf numFmtId="0" fontId="22" fillId="0" borderId="21" xfId="0" applyFont="1" applyBorder="1"/>
    <xf numFmtId="0" fontId="0" fillId="0" borderId="22" xfId="0" applyBorder="1"/>
    <xf numFmtId="172" fontId="0" fillId="0" borderId="16" xfId="0" applyNumberFormat="1" applyBorder="1"/>
    <xf numFmtId="172" fontId="0" fillId="0" borderId="17" xfId="0" applyNumberFormat="1" applyBorder="1"/>
    <xf numFmtId="172" fontId="0" fillId="0" borderId="1" xfId="0" applyNumberFormat="1" applyBorder="1"/>
    <xf numFmtId="172" fontId="0" fillId="0" borderId="18" xfId="0" applyNumberFormat="1" applyBorder="1"/>
    <xf numFmtId="172" fontId="0" fillId="0" borderId="20" xfId="0" applyNumberFormat="1" applyBorder="1"/>
    <xf numFmtId="0" fontId="23" fillId="0" borderId="14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3" fillId="0" borderId="21" xfId="0" applyFont="1" applyBorder="1"/>
    <xf numFmtId="0" fontId="24" fillId="0" borderId="21" xfId="0" applyFont="1" applyBorder="1"/>
    <xf numFmtId="0" fontId="23" fillId="0" borderId="22" xfId="0" applyFont="1" applyBorder="1"/>
    <xf numFmtId="166" fontId="23" fillId="0" borderId="20" xfId="0" applyNumberFormat="1" applyFont="1" applyBorder="1"/>
    <xf numFmtId="172" fontId="23" fillId="0" borderId="16" xfId="0" applyNumberFormat="1" applyFont="1" applyBorder="1"/>
    <xf numFmtId="172" fontId="23" fillId="0" borderId="17" xfId="0" applyNumberFormat="1" applyFont="1" applyBorder="1"/>
    <xf numFmtId="172" fontId="23" fillId="0" borderId="1" xfId="0" applyNumberFormat="1" applyFont="1" applyBorder="1"/>
    <xf numFmtId="172" fontId="23" fillId="0" borderId="18" xfId="0" applyNumberFormat="1" applyFont="1" applyBorder="1"/>
    <xf numFmtId="172" fontId="23" fillId="0" borderId="20" xfId="0" applyNumberFormat="1" applyFont="1" applyBorder="1"/>
    <xf numFmtId="2" fontId="23" fillId="0" borderId="19" xfId="0" applyNumberFormat="1" applyFont="1" applyBorder="1"/>
    <xf numFmtId="0" fontId="23" fillId="0" borderId="0" xfId="0" applyFont="1"/>
    <xf numFmtId="0" fontId="25" fillId="0" borderId="1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3" fillId="0" borderId="22" xfId="0" applyFont="1" applyBorder="1" applyAlignment="1">
      <alignment horizontal="left"/>
    </xf>
    <xf numFmtId="172" fontId="23" fillId="0" borderId="30" xfId="0" applyNumberFormat="1" applyFont="1" applyBorder="1"/>
    <xf numFmtId="172" fontId="23" fillId="0" borderId="31" xfId="0" applyNumberFormat="1" applyFont="1" applyBorder="1"/>
    <xf numFmtId="172" fontId="23" fillId="0" borderId="32" xfId="0" applyNumberFormat="1" applyFont="1" applyBorder="1"/>
    <xf numFmtId="172" fontId="23" fillId="0" borderId="33" xfId="0" applyNumberFormat="1" applyFont="1" applyBorder="1"/>
    <xf numFmtId="172" fontId="23" fillId="0" borderId="34" xfId="0" applyNumberFormat="1" applyFont="1" applyBorder="1"/>
    <xf numFmtId="2" fontId="23" fillId="0" borderId="35" xfId="0" applyNumberFormat="1" applyFont="1" applyBorder="1"/>
    <xf numFmtId="172" fontId="0" fillId="0" borderId="30" xfId="0" applyNumberFormat="1" applyBorder="1"/>
    <xf numFmtId="172" fontId="0" fillId="0" borderId="31" xfId="0" applyNumberFormat="1" applyBorder="1"/>
    <xf numFmtId="172" fontId="0" fillId="0" borderId="32" xfId="0" applyNumberFormat="1" applyBorder="1"/>
    <xf numFmtId="172" fontId="0" fillId="0" borderId="33" xfId="0" applyNumberFormat="1" applyBorder="1"/>
    <xf numFmtId="172" fontId="0" fillId="0" borderId="34" xfId="0" applyNumberFormat="1" applyBorder="1"/>
    <xf numFmtId="2" fontId="0" fillId="0" borderId="35" xfId="0" applyNumberFormat="1" applyBorder="1"/>
    <xf numFmtId="172" fontId="0" fillId="0" borderId="1" xfId="0" applyNumberFormat="1" applyBorder="1" applyAlignment="1">
      <alignment horizontal="center"/>
    </xf>
    <xf numFmtId="0" fontId="0" fillId="8" borderId="20" xfId="0" applyFill="1" applyBorder="1"/>
    <xf numFmtId="172" fontId="0" fillId="8" borderId="1" xfId="0" applyNumberFormat="1" applyFill="1" applyBorder="1"/>
    <xf numFmtId="172" fontId="8" fillId="8" borderId="1" xfId="0" applyNumberFormat="1" applyFont="1" applyFill="1" applyBorder="1"/>
    <xf numFmtId="0" fontId="8" fillId="0" borderId="1" xfId="0" applyFont="1" applyBorder="1"/>
    <xf numFmtId="0" fontId="0" fillId="0" borderId="1" xfId="0" applyBorder="1" applyAlignment="1">
      <alignment horizontal="center"/>
    </xf>
    <xf numFmtId="0" fontId="26" fillId="0" borderId="0" xfId="0" applyFont="1"/>
    <xf numFmtId="0" fontId="27" fillId="0" borderId="0" xfId="0" applyFont="1"/>
    <xf numFmtId="174" fontId="28" fillId="9" borderId="36" xfId="0" applyNumberFormat="1" applyFont="1" applyFill="1" applyBorder="1"/>
    <xf numFmtId="0" fontId="29" fillId="0" borderId="0" xfId="0" applyFont="1"/>
    <xf numFmtId="0" fontId="27" fillId="10" borderId="36" xfId="0" applyFont="1" applyFill="1" applyBorder="1"/>
    <xf numFmtId="0" fontId="2" fillId="0" borderId="36" xfId="0" applyFont="1" applyBorder="1"/>
    <xf numFmtId="174" fontId="0" fillId="0" borderId="36" xfId="0" applyNumberFormat="1" applyBorder="1"/>
    <xf numFmtId="0" fontId="30" fillId="11" borderId="3" xfId="0" applyFont="1" applyFill="1" applyBorder="1" applyAlignment="1">
      <alignment horizontal="center" vertical="center" wrapText="1"/>
    </xf>
    <xf numFmtId="0" fontId="31" fillId="11" borderId="3" xfId="0" applyFont="1" applyFill="1" applyBorder="1" applyAlignment="1">
      <alignment horizontal="center" vertical="center" wrapText="1"/>
    </xf>
    <xf numFmtId="0" fontId="30" fillId="12" borderId="3" xfId="0" applyFont="1" applyFill="1" applyBorder="1" applyAlignment="1">
      <alignment horizontal="center"/>
    </xf>
    <xf numFmtId="0" fontId="19" fillId="0" borderId="3" xfId="0" applyFont="1" applyBorder="1"/>
    <xf numFmtId="4" fontId="19" fillId="0" borderId="3" xfId="0" applyNumberFormat="1" applyFont="1" applyBorder="1"/>
    <xf numFmtId="175" fontId="19" fillId="0" borderId="3" xfId="0" applyNumberFormat="1" applyFont="1" applyBorder="1"/>
    <xf numFmtId="174" fontId="32" fillId="9" borderId="3" xfId="0" applyNumberFormat="1" applyFont="1" applyFill="1" applyBorder="1"/>
    <xf numFmtId="10" fontId="19" fillId="0" borderId="3" xfId="0" applyNumberFormat="1" applyFont="1" applyBorder="1"/>
    <xf numFmtId="176" fontId="32" fillId="0" borderId="3" xfId="0" applyNumberFormat="1" applyFont="1" applyBorder="1"/>
    <xf numFmtId="0" fontId="19" fillId="0" borderId="3" xfId="0" applyFont="1" applyBorder="1" applyAlignment="1">
      <alignment wrapText="1"/>
    </xf>
    <xf numFmtId="0" fontId="33" fillId="0" borderId="0" xfId="0" applyFont="1" applyAlignment="1">
      <alignment horizontal="left" vertical="center"/>
    </xf>
    <xf numFmtId="0" fontId="18" fillId="0" borderId="0" xfId="0" applyFont="1" applyAlignment="1">
      <alignment horizontal="right"/>
    </xf>
    <xf numFmtId="0" fontId="3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18" fillId="0" borderId="0" xfId="0" applyFont="1"/>
    <xf numFmtId="171" fontId="0" fillId="0" borderId="3" xfId="0" applyNumberFormat="1" applyBorder="1"/>
    <xf numFmtId="0" fontId="0" fillId="0" borderId="3" xfId="0" applyBorder="1" applyAlignment="1">
      <alignment horizontal="center"/>
    </xf>
    <xf numFmtId="0" fontId="35" fillId="0" borderId="0" xfId="0" applyFont="1" applyAlignment="1">
      <alignment horizontal="center" vertical="center"/>
    </xf>
    <xf numFmtId="0" fontId="36" fillId="0" borderId="0" xfId="0" applyFont="1"/>
    <xf numFmtId="0" fontId="18" fillId="0" borderId="0" xfId="0" applyFont="1" applyAlignment="1">
      <alignment horizontal="right" wrapText="1"/>
    </xf>
    <xf numFmtId="2" fontId="0" fillId="6" borderId="3" xfId="0" applyNumberFormat="1" applyFill="1" applyBorder="1" applyAlignment="1">
      <alignment horizontal="center"/>
    </xf>
    <xf numFmtId="0" fontId="18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6" borderId="3" xfId="0" applyFill="1" applyBorder="1" applyAlignment="1">
      <alignment horizontal="center"/>
    </xf>
    <xf numFmtId="0" fontId="37" fillId="0" borderId="0" xfId="0" applyFont="1"/>
    <xf numFmtId="0" fontId="38" fillId="14" borderId="3" xfId="0" applyFont="1" applyFill="1" applyBorder="1" applyAlignment="1">
      <alignment horizontal="center" vertical="center" wrapText="1"/>
    </xf>
    <xf numFmtId="0" fontId="0" fillId="14" borderId="0" xfId="0" applyFill="1"/>
    <xf numFmtId="0" fontId="18" fillId="14" borderId="0" xfId="0" applyFont="1" applyFill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vertical="top" wrapText="1"/>
    </xf>
    <xf numFmtId="2" fontId="2" fillId="0" borderId="3" xfId="0" applyNumberFormat="1" applyFont="1" applyBorder="1"/>
    <xf numFmtId="0" fontId="2" fillId="4" borderId="3" xfId="0" applyFont="1" applyFill="1" applyBorder="1"/>
    <xf numFmtId="177" fontId="0" fillId="0" borderId="0" xfId="0" applyNumberFormat="1"/>
    <xf numFmtId="1" fontId="0" fillId="0" borderId="0" xfId="0" applyNumberFormat="1"/>
    <xf numFmtId="166" fontId="0" fillId="0" borderId="0" xfId="0" applyNumberFormat="1"/>
    <xf numFmtId="0" fontId="39" fillId="0" borderId="0" xfId="0" applyFont="1" applyAlignment="1">
      <alignment horizontal="right"/>
    </xf>
    <xf numFmtId="0" fontId="35" fillId="0" borderId="0" xfId="0" applyFont="1" applyAlignment="1">
      <alignment horizontal="right" vertical="center" wrapText="1"/>
    </xf>
    <xf numFmtId="0" fontId="41" fillId="4" borderId="37" xfId="0" applyFont="1" applyFill="1" applyBorder="1" applyAlignment="1">
      <alignment horizontal="center" vertical="center"/>
    </xf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 applyAlignment="1">
      <alignment horizontal="right" vertical="center"/>
    </xf>
    <xf numFmtId="0" fontId="18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2" fontId="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8" fontId="0" fillId="0" borderId="0" xfId="0" applyNumberFormat="1"/>
    <xf numFmtId="2" fontId="0" fillId="0" borderId="0" xfId="0" applyNumberFormat="1"/>
    <xf numFmtId="0" fontId="2" fillId="18" borderId="36" xfId="0" applyFont="1" applyFill="1" applyBorder="1"/>
    <xf numFmtId="0" fontId="2" fillId="19" borderId="36" xfId="0" applyFont="1" applyFill="1" applyBorder="1"/>
    <xf numFmtId="0" fontId="0" fillId="20" borderId="9" xfId="0" applyFill="1" applyBorder="1" applyAlignment="1">
      <alignment horizontal="center"/>
    </xf>
    <xf numFmtId="0" fontId="0" fillId="20" borderId="10" xfId="0" applyFill="1" applyBorder="1" applyAlignment="1">
      <alignment horizontal="center"/>
    </xf>
    <xf numFmtId="0" fontId="0" fillId="20" borderId="11" xfId="0" applyFill="1" applyBorder="1" applyAlignment="1">
      <alignment horizontal="center"/>
    </xf>
    <xf numFmtId="0" fontId="0" fillId="20" borderId="12" xfId="0" applyFill="1" applyBorder="1" applyAlignment="1">
      <alignment horizontal="center"/>
    </xf>
    <xf numFmtId="176" fontId="48" fillId="0" borderId="3" xfId="0" applyNumberFormat="1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14" xfId="0" applyFill="1" applyBorder="1" applyAlignment="1">
      <alignment horizontal="left"/>
    </xf>
    <xf numFmtId="0" fontId="11" fillId="0" borderId="20" xfId="0" applyFont="1" applyBorder="1" applyAlignment="1">
      <alignment horizontal="center" vertical="center" wrapText="1"/>
    </xf>
    <xf numFmtId="0" fontId="0" fillId="4" borderId="20" xfId="0" applyFill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wrapText="1"/>
    </xf>
    <xf numFmtId="0" fontId="4" fillId="0" borderId="0" xfId="0" applyFont="1" applyAlignment="1">
      <alignment horizontal="center" vertical="center"/>
    </xf>
    <xf numFmtId="0" fontId="14" fillId="6" borderId="0" xfId="0" applyFont="1" applyFill="1" applyAlignment="1">
      <alignment vertical="center" wrapText="1"/>
    </xf>
    <xf numFmtId="0" fontId="17" fillId="0" borderId="0" xfId="0" applyFont="1"/>
    <xf numFmtId="1" fontId="0" fillId="4" borderId="20" xfId="0" applyNumberFormat="1" applyFill="1" applyBorder="1" applyAlignment="1">
      <alignment horizontal="left"/>
    </xf>
    <xf numFmtId="1" fontId="0" fillId="0" borderId="20" xfId="0" applyNumberFormat="1" applyBorder="1" applyAlignment="1">
      <alignment horizontal="left"/>
    </xf>
    <xf numFmtId="0" fontId="0" fillId="0" borderId="20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33" fillId="13" borderId="0" xfId="0" applyFont="1" applyFill="1" applyAlignment="1">
      <alignment horizontal="left" vertical="center"/>
    </xf>
    <xf numFmtId="0" fontId="34" fillId="0" borderId="0" xfId="0" applyFont="1"/>
    <xf numFmtId="0" fontId="15" fillId="15" borderId="3" xfId="0" applyFont="1" applyFill="1" applyBorder="1" applyAlignment="1">
      <alignment horizontal="center" vertical="center" wrapText="1"/>
    </xf>
    <xf numFmtId="0" fontId="15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2" fontId="27" fillId="0" borderId="3" xfId="0" applyNumberFormat="1" applyFont="1" applyBorder="1" applyAlignment="1">
      <alignment horizontal="center" vertical="center"/>
    </xf>
    <xf numFmtId="0" fontId="33" fillId="13" borderId="0" xfId="0" applyFont="1" applyFill="1" applyAlignment="1">
      <alignment horizontal="center" vertical="center"/>
    </xf>
    <xf numFmtId="0" fontId="40" fillId="0" borderId="0" xfId="0" applyFont="1"/>
    <xf numFmtId="0" fontId="39" fillId="0" borderId="0" xfId="0" applyFont="1"/>
    <xf numFmtId="0" fontId="15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1">
    <dxf>
      <font>
        <b/>
        <color rgb="FF808080"/>
      </font>
    </dxf>
    <dxf>
      <font>
        <b/>
        <color rgb="FF9C0006"/>
      </font>
    </dxf>
    <dxf>
      <font>
        <b/>
        <color rgb="FF9C6500"/>
      </font>
    </dxf>
    <dxf>
      <font>
        <b/>
        <color rgb="FF1F4E78"/>
      </font>
    </dxf>
    <dxf>
      <font>
        <b/>
        <color rgb="FF006100"/>
      </font>
    </dxf>
    <dxf>
      <font>
        <b/>
        <color rgb="FF9C0006"/>
      </font>
    </dxf>
    <dxf>
      <font>
        <color rgb="FF808080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9C0006"/>
      </font>
      <fill>
        <patternFill>
          <bgColor rgb="FFFFC7CE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1F4E78"/>
      <rgbColor rgb="FFBDD6EE"/>
      <rgbColor rgb="FF000080"/>
      <rgbColor rgb="FFFF00FF"/>
      <rgbColor rgb="FFCCFF33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F99"/>
      <rgbColor rgb="FFB3CEFA"/>
      <rgbColor rgb="FFD0CECE"/>
      <rgbColor rgb="FFB3B3B3"/>
      <rgbColor rgb="FFFFC7CE"/>
      <rgbColor rgb="FF4285F4"/>
      <rgbColor rgb="FF33CCCC"/>
      <rgbColor rgb="FFFFEB9C"/>
      <rgbColor rgb="FFFFC000"/>
      <rgbColor rgb="FFFF9900"/>
      <rgbColor rgb="FFEA4335"/>
      <rgbColor rgb="FF595959"/>
      <rgbColor rgb="FF999999"/>
      <rgbColor rgb="FF1F3864"/>
      <rgbColor rgb="FF548235"/>
      <rgbColor rgb="FF0C0C0C"/>
      <rgbColor rgb="FF404040"/>
      <rgbColor rgb="FF993300"/>
      <rgbColor rgb="FF993366"/>
      <rgbColor rgb="FF305496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xMode val="edge"/>
          <c:yMode val="edge"/>
          <c:x val="2.26224574008447E-2"/>
          <c:y val="6.4230201040529303E-4"/>
          <c:w val="0.97606679935919205"/>
          <c:h val="0.95330464384353497"/>
        </c:manualLayout>
      </c:layout>
      <c:lineChart>
        <c:grouping val="standard"/>
        <c:varyColors val="0"/>
        <c:ser>
          <c:idx val="0"/>
          <c:order val="0"/>
          <c:spPr>
            <a:ln w="1908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'TS INTERNAL LAPANGAN'!$M$39:$Z$39</c:f>
              <c:numCache>
                <c:formatCode>0.000</c:formatCode>
                <c:ptCount val="14"/>
                <c:pt idx="0" formatCode="0.00">
                  <c:v>1954365847</c:v>
                </c:pt>
                <c:pt idx="1">
                  <c:v>4209403362.7692308</c:v>
                </c:pt>
                <c:pt idx="2">
                  <c:v>6953032340.2884617</c:v>
                </c:pt>
                <c:pt idx="3">
                  <c:v>14093984473.557693</c:v>
                </c:pt>
                <c:pt idx="4">
                  <c:v>21234936606.826923</c:v>
                </c:pt>
                <c:pt idx="5">
                  <c:v>33913258639.929489</c:v>
                </c:pt>
                <c:pt idx="6">
                  <c:v>44637214826.032051</c:v>
                </c:pt>
                <c:pt idx="7">
                  <c:v>51452439318.134613</c:v>
                </c:pt>
                <c:pt idx="8">
                  <c:v>54358932116.237175</c:v>
                </c:pt>
                <c:pt idx="9">
                  <c:v>56288241990.839737</c:v>
                </c:pt>
                <c:pt idx="10">
                  <c:v>58706143327.192299</c:v>
                </c:pt>
                <c:pt idx="11" formatCode="0.00">
                  <c:v>59983997919.461533</c:v>
                </c:pt>
                <c:pt idx="12" formatCode="0.00">
                  <c:v>63216218358.730766</c:v>
                </c:pt>
                <c:pt idx="13" formatCode="0.00">
                  <c:v>66448438798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06-44E3-A77A-73BC906A2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339077"/>
        <c:axId val="53900912"/>
      </c:lineChart>
      <c:catAx>
        <c:axId val="933390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id-ID"/>
          </a:p>
        </c:txPr>
        <c:crossAx val="53900912"/>
        <c:crosses val="autoZero"/>
        <c:auto val="1"/>
        <c:lblAlgn val="ctr"/>
        <c:lblOffset val="100"/>
        <c:noMultiLvlLbl val="0"/>
      </c:catAx>
      <c:valAx>
        <c:axId val="5390091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id-ID"/>
          </a:p>
        </c:txPr>
        <c:crossAx val="933390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1.8949048604219546E-2"/>
          <c:y val="4.4405395333955235E-4"/>
          <c:w val="0.97658981572415327"/>
          <c:h val="0.95394561727605143"/>
        </c:manualLayout>
      </c:layout>
      <c:lineChart>
        <c:grouping val="standard"/>
        <c:varyColors val="0"/>
        <c:ser>
          <c:idx val="0"/>
          <c:order val="0"/>
          <c:tx>
            <c:v>Rencana kumulatif progress mingguan</c:v>
          </c:tx>
          <c:spPr>
            <a:ln w="1908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TS!$M$11:$AB$11</c:f>
              <c:strCache>
                <c:ptCount val="1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</c:strCache>
            </c:strRef>
          </c:cat>
          <c:val>
            <c:numRef>
              <c:f>TS!$M$70:$AB$70</c:f>
              <c:numCache>
                <c:formatCode>0.00</c:formatCode>
                <c:ptCount val="16"/>
                <c:pt idx="0">
                  <c:v>2.9939662034724912</c:v>
                </c:pt>
                <c:pt idx="1">
                  <c:v>5.9879324069449824</c:v>
                </c:pt>
                <c:pt idx="2">
                  <c:v>11.775426244141007</c:v>
                </c:pt>
                <c:pt idx="3">
                  <c:v>20.152361373901741</c:v>
                </c:pt>
                <c:pt idx="4">
                  <c:v>28.209499674957453</c:v>
                </c:pt>
                <c:pt idx="5">
                  <c:v>35.752852391015679</c:v>
                </c:pt>
                <c:pt idx="6">
                  <c:v>43.617025285630781</c:v>
                </c:pt>
                <c:pt idx="7">
                  <c:v>50.654395459311928</c:v>
                </c:pt>
                <c:pt idx="8">
                  <c:v>59.638091772068989</c:v>
                </c:pt>
                <c:pt idx="9">
                  <c:v>65.5283976247201</c:v>
                </c:pt>
                <c:pt idx="10">
                  <c:v>73.465147343620373</c:v>
                </c:pt>
                <c:pt idx="11">
                  <c:v>80.508018555749956</c:v>
                </c:pt>
                <c:pt idx="12">
                  <c:v>87.579839908792778</c:v>
                </c:pt>
                <c:pt idx="13">
                  <c:v>94.651661261835599</c:v>
                </c:pt>
                <c:pt idx="14">
                  <c:v>97.325830636603072</c:v>
                </c:pt>
                <c:pt idx="15">
                  <c:v>100.00000001137055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F-4251-A413-19C78F695039}"/>
            </c:ext>
          </c:extLst>
        </c:ser>
        <c:ser>
          <c:idx val="1"/>
          <c:order val="1"/>
          <c:tx>
            <c:v>Realisasi kumulatif progress mingguan</c:v>
          </c:tx>
          <c:spPr>
            <a:ln w="1908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TS!$M$11:$AB$11</c:f>
              <c:strCache>
                <c:ptCount val="1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</c:strCache>
            </c:strRef>
          </c:cat>
          <c:val>
            <c:numRef>
              <c:f>TS!$M$72:$AB$72</c:f>
              <c:numCache>
                <c:formatCode>0.00\%</c:formatCode>
                <c:ptCount val="16"/>
                <c:pt idx="0">
                  <c:v>2.3933594660283681</c:v>
                </c:pt>
                <c:pt idx="1">
                  <c:v>8.5549489240537255</c:v>
                </c:pt>
                <c:pt idx="2">
                  <c:v>11.801564704686532</c:v>
                </c:pt>
                <c:pt idx="3">
                  <c:v>22.785843842061368</c:v>
                </c:pt>
                <c:pt idx="4">
                  <c:v>29.029889714400028</c:v>
                </c:pt>
                <c:pt idx="5">
                  <c:v>35.228375320369878</c:v>
                </c:pt>
                <c:pt idx="6">
                  <c:v>42.521950892149711</c:v>
                </c:pt>
                <c:pt idx="7">
                  <c:v>54.320992470923727</c:v>
                </c:pt>
                <c:pt idx="8">
                  <c:v>67.738797556012287</c:v>
                </c:pt>
                <c:pt idx="9">
                  <c:v>72.087823360493616</c:v>
                </c:pt>
                <c:pt idx="10">
                  <c:v>72.087823360493616</c:v>
                </c:pt>
                <c:pt idx="11">
                  <c:v>72.087823360493616</c:v>
                </c:pt>
                <c:pt idx="12">
                  <c:v>72.087823360493616</c:v>
                </c:pt>
                <c:pt idx="13">
                  <c:v>72.087823360493616</c:v>
                </c:pt>
                <c:pt idx="14">
                  <c:v>72.087823360493616</c:v>
                </c:pt>
                <c:pt idx="15">
                  <c:v>72.087823360493616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F-4251-A413-19C78F695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56478"/>
        <c:axId val="10372884"/>
      </c:lineChart>
      <c:catAx>
        <c:axId val="815647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372884"/>
        <c:crosses val="autoZero"/>
        <c:auto val="1"/>
        <c:lblAlgn val="ctr"/>
        <c:lblOffset val="100"/>
        <c:noMultiLvlLbl val="0"/>
      </c:catAx>
      <c:valAx>
        <c:axId val="1037288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1564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29391083789829697"/>
          <c:y val="0.97747452657317002"/>
          <c:w val="0.43641218830547401"/>
          <c:h val="2.0162235362694202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id-ID"/>
        </a:p>
      </c:txPr>
    </c:legend>
    <c:plotVisOnly val="1"/>
    <c:dispBlanksAs val="gap"/>
    <c:showDLblsOverMax val="1"/>
  </c:chart>
  <c:spPr>
    <a:noFill/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3435</xdr:colOff>
      <xdr:row>0</xdr:row>
      <xdr:rowOff>22680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63760" y="0"/>
          <a:ext cx="241560" cy="2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3435</xdr:colOff>
      <xdr:row>0</xdr:row>
      <xdr:rowOff>22680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63760" y="0"/>
          <a:ext cx="241560" cy="2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3435</xdr:colOff>
      <xdr:row>0</xdr:row>
      <xdr:rowOff>22680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63760" y="0"/>
          <a:ext cx="241560" cy="2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57240</xdr:colOff>
      <xdr:row>2</xdr:row>
      <xdr:rowOff>142920</xdr:rowOff>
    </xdr:from>
    <xdr:to>
      <xdr:col>25</xdr:col>
      <xdr:colOff>6120</xdr:colOff>
      <xdr:row>37</xdr:row>
      <xdr:rowOff>80280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529273</xdr:colOff>
      <xdr:row>1</xdr:row>
      <xdr:rowOff>13607</xdr:rowOff>
    </xdr:from>
    <xdr:to>
      <xdr:col>29</xdr:col>
      <xdr:colOff>133633</xdr:colOff>
      <xdr:row>67</xdr:row>
      <xdr:rowOff>7487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231480</xdr:colOff>
      <xdr:row>4</xdr:row>
      <xdr:rowOff>40680</xdr:rowOff>
    </xdr:from>
    <xdr:to>
      <xdr:col>27</xdr:col>
      <xdr:colOff>734760</xdr:colOff>
      <xdr:row>8</xdr:row>
      <xdr:rowOff>88561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6935120" y="2145600"/>
          <a:ext cx="3010320" cy="762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104760</xdr:colOff>
      <xdr:row>0</xdr:row>
      <xdr:rowOff>123840</xdr:rowOff>
    </xdr:from>
    <xdr:to>
      <xdr:col>3</xdr:col>
      <xdr:colOff>15960</xdr:colOff>
      <xdr:row>4</xdr:row>
      <xdr:rowOff>123480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4760" y="123840"/>
          <a:ext cx="2516040" cy="647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showGridLines="0" zoomScaleNormal="100" workbookViewId="0"/>
  </sheetViews>
  <sheetFormatPr defaultColWidth="14.42578125" defaultRowHeight="12.75" x14ac:dyDescent="0.2"/>
  <cols>
    <col min="1" max="1" width="130" customWidth="1"/>
    <col min="2" max="11" width="8.7109375" customWidth="1"/>
  </cols>
  <sheetData>
    <row r="1" spans="1:1" ht="19.5" customHeight="1" x14ac:dyDescent="0.2">
      <c r="A1" s="4" t="s">
        <v>0</v>
      </c>
    </row>
    <row r="2" spans="1:1" ht="15.75" customHeight="1" x14ac:dyDescent="0.2">
      <c r="A2" s="5"/>
    </row>
    <row r="3" spans="1:1" ht="19.5" customHeight="1" x14ac:dyDescent="0.2">
      <c r="A3" s="4" t="s">
        <v>1</v>
      </c>
    </row>
    <row r="4" spans="1:1" ht="60" customHeight="1" x14ac:dyDescent="0.2">
      <c r="A4" s="5" t="s">
        <v>2</v>
      </c>
    </row>
    <row r="5" spans="1:1" ht="19.5" customHeight="1" x14ac:dyDescent="0.2">
      <c r="A5" s="4" t="s">
        <v>3</v>
      </c>
    </row>
    <row r="6" spans="1:1" ht="45.75" customHeight="1" x14ac:dyDescent="0.2">
      <c r="A6" s="5" t="s">
        <v>4</v>
      </c>
    </row>
    <row r="7" spans="1:1" ht="19.5" customHeight="1" x14ac:dyDescent="0.2">
      <c r="A7" s="4" t="s">
        <v>5</v>
      </c>
    </row>
    <row r="8" spans="1:1" ht="31.5" customHeight="1" x14ac:dyDescent="0.2">
      <c r="A8" s="5" t="s">
        <v>6</v>
      </c>
    </row>
    <row r="9" spans="1:1" ht="19.5" customHeight="1" x14ac:dyDescent="0.2">
      <c r="A9" s="4" t="s">
        <v>7</v>
      </c>
    </row>
    <row r="10" spans="1:1" ht="45.75" customHeight="1" x14ac:dyDescent="0.2">
      <c r="A10" s="5" t="s">
        <v>8</v>
      </c>
    </row>
    <row r="11" spans="1:1" ht="19.5" customHeight="1" x14ac:dyDescent="0.2">
      <c r="A11" s="4" t="s">
        <v>9</v>
      </c>
    </row>
    <row r="12" spans="1:1" ht="45.75" customHeight="1" x14ac:dyDescent="0.2">
      <c r="A12" s="5" t="s">
        <v>10</v>
      </c>
    </row>
    <row r="13" spans="1:1" ht="19.5" customHeight="1" x14ac:dyDescent="0.2">
      <c r="A13" s="4" t="s">
        <v>11</v>
      </c>
    </row>
    <row r="14" spans="1:1" ht="31.5" customHeight="1" x14ac:dyDescent="0.2">
      <c r="A14" s="5" t="s">
        <v>12</v>
      </c>
    </row>
    <row r="15" spans="1:1" ht="19.5" customHeight="1" x14ac:dyDescent="0.2">
      <c r="A15" s="4" t="s">
        <v>13</v>
      </c>
    </row>
    <row r="16" spans="1:1" ht="31.5" customHeight="1" x14ac:dyDescent="0.2">
      <c r="A16" s="5" t="s">
        <v>14</v>
      </c>
    </row>
    <row r="17" spans="1:1" ht="19.5" customHeight="1" x14ac:dyDescent="0.2">
      <c r="A17" s="4" t="s">
        <v>15</v>
      </c>
    </row>
    <row r="18" spans="1:1" ht="31.5" customHeight="1" x14ac:dyDescent="0.2">
      <c r="A18" s="5" t="s">
        <v>16</v>
      </c>
    </row>
    <row r="19" spans="1:1" ht="19.5" customHeight="1" x14ac:dyDescent="0.2">
      <c r="A19" s="4" t="s">
        <v>17</v>
      </c>
    </row>
    <row r="20" spans="1:1" ht="31.5" customHeight="1" x14ac:dyDescent="0.2">
      <c r="A20" s="5" t="s">
        <v>18</v>
      </c>
    </row>
    <row r="21" spans="1:1" ht="19.5" customHeight="1" x14ac:dyDescent="0.2">
      <c r="A21" s="4" t="s">
        <v>19</v>
      </c>
    </row>
    <row r="22" spans="1:1" ht="45.75" customHeight="1" x14ac:dyDescent="0.2">
      <c r="A22" s="5" t="s">
        <v>20</v>
      </c>
    </row>
    <row r="23" spans="1:1" ht="12.75" customHeight="1" x14ac:dyDescent="0.2"/>
    <row r="24" spans="1:1" ht="12.75" customHeight="1" x14ac:dyDescent="0.2"/>
    <row r="25" spans="1:1" ht="12.75" customHeight="1" x14ac:dyDescent="0.2"/>
    <row r="26" spans="1:1" ht="12.75" customHeight="1" x14ac:dyDescent="0.2"/>
    <row r="27" spans="1:1" ht="12.75" customHeight="1" x14ac:dyDescent="0.2"/>
    <row r="28" spans="1:1" ht="12.75" customHeight="1" x14ac:dyDescent="0.2"/>
    <row r="29" spans="1:1" ht="12.75" customHeight="1" x14ac:dyDescent="0.2"/>
    <row r="30" spans="1:1" ht="12.75" customHeight="1" x14ac:dyDescent="0.2"/>
    <row r="31" spans="1:1" ht="12.75" customHeight="1" x14ac:dyDescent="0.2"/>
    <row r="32" spans="1:1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65"/>
  <sheetViews>
    <sheetView topLeftCell="A171" zoomScaleNormal="100" workbookViewId="0">
      <selection activeCell="H195" sqref="H195"/>
    </sheetView>
  </sheetViews>
  <sheetFormatPr defaultColWidth="14.42578125" defaultRowHeight="12.75" x14ac:dyDescent="0.2"/>
  <cols>
    <col min="1" max="1" width="8" customWidth="1"/>
    <col min="2" max="2" width="3.42578125" customWidth="1"/>
    <col min="3" max="3" width="34.7109375" customWidth="1"/>
    <col min="4" max="4" width="19.42578125" customWidth="1"/>
    <col min="5" max="5" width="8.5703125" customWidth="1"/>
    <col min="6" max="6" width="3.7109375" customWidth="1"/>
    <col min="7" max="7" width="18.85546875" customWidth="1"/>
    <col min="8" max="8" width="16.85546875" customWidth="1"/>
    <col min="9" max="9" width="15.85546875" customWidth="1"/>
    <col min="10" max="10" width="13.5703125" customWidth="1"/>
    <col min="11" max="12" width="8" hidden="1" customWidth="1"/>
    <col min="13" max="13" width="9.28515625" hidden="1" customWidth="1"/>
    <col min="14" max="14" width="21.85546875" hidden="1" customWidth="1"/>
    <col min="15" max="15" width="8" hidden="1" customWidth="1"/>
    <col min="16" max="16" width="9.85546875" hidden="1" customWidth="1"/>
    <col min="17" max="18" width="8" hidden="1" customWidth="1"/>
    <col min="19" max="20" width="8" customWidth="1"/>
  </cols>
  <sheetData>
    <row r="1" spans="1:20" ht="14.25" customHeight="1" x14ac:dyDescent="0.2">
      <c r="A1" s="6"/>
      <c r="B1" s="7" t="s">
        <v>21</v>
      </c>
      <c r="C1" s="8"/>
      <c r="D1" s="6"/>
      <c r="E1" s="6"/>
      <c r="F1" s="6"/>
      <c r="G1" s="287" t="s">
        <v>22</v>
      </c>
      <c r="H1" s="287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4.25" customHeight="1" x14ac:dyDescent="0.2">
      <c r="A2" s="6"/>
      <c r="B2" s="9" t="s">
        <v>23</v>
      </c>
      <c r="C2" s="8"/>
      <c r="D2" s="6"/>
      <c r="E2" s="6"/>
      <c r="F2" s="6"/>
      <c r="G2" s="287" t="s">
        <v>24</v>
      </c>
      <c r="H2" s="287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4.25" customHeight="1" x14ac:dyDescent="0.2">
      <c r="A3" s="6"/>
      <c r="B3" s="9" t="s">
        <v>25</v>
      </c>
      <c r="C3" s="8"/>
      <c r="D3" s="6"/>
      <c r="E3" s="6"/>
      <c r="F3" s="6"/>
      <c r="G3" s="10" t="s">
        <v>26</v>
      </c>
      <c r="H3" s="11" t="s">
        <v>27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4.25" customHeight="1" x14ac:dyDescent="0.2">
      <c r="A4" s="6"/>
      <c r="B4" s="7" t="s">
        <v>28</v>
      </c>
      <c r="C4" s="8"/>
      <c r="D4" s="6"/>
      <c r="E4" s="6"/>
      <c r="F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14.25" customHeight="1" x14ac:dyDescent="0.2">
      <c r="A5" s="6"/>
      <c r="B5" s="12"/>
      <c r="C5" s="1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ht="14.25" customHeight="1" x14ac:dyDescent="0.2">
      <c r="A6" s="14"/>
      <c r="B6" s="284" t="s">
        <v>29</v>
      </c>
      <c r="C6" s="284" t="s">
        <v>30</v>
      </c>
      <c r="D6" s="284" t="s">
        <v>31</v>
      </c>
      <c r="E6" s="284" t="s">
        <v>32</v>
      </c>
      <c r="F6" s="284" t="s">
        <v>33</v>
      </c>
      <c r="G6" s="284" t="s">
        <v>34</v>
      </c>
      <c r="H6" s="284" t="s">
        <v>35</v>
      </c>
      <c r="I6" s="285" t="s">
        <v>36</v>
      </c>
      <c r="J6" s="285" t="s">
        <v>37</v>
      </c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ht="14.25" customHeight="1" x14ac:dyDescent="0.2">
      <c r="A7" s="14"/>
      <c r="B7" s="284"/>
      <c r="C7" s="284"/>
      <c r="D7" s="284"/>
      <c r="E7" s="284"/>
      <c r="F7" s="284"/>
      <c r="G7" s="284"/>
      <c r="H7" s="284"/>
      <c r="I7" s="284"/>
      <c r="J7" s="284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ht="14.25" customHeight="1" x14ac:dyDescent="0.25">
      <c r="A8" s="15"/>
      <c r="B8" s="16" t="s">
        <v>38</v>
      </c>
      <c r="C8" s="16" t="s">
        <v>39</v>
      </c>
      <c r="D8" s="16"/>
      <c r="E8" s="16"/>
      <c r="F8" s="16"/>
      <c r="G8" s="17"/>
      <c r="H8" s="18"/>
      <c r="I8" s="1"/>
      <c r="J8" s="1"/>
      <c r="K8" s="19" t="s">
        <v>38</v>
      </c>
      <c r="L8" s="20" t="s">
        <v>39</v>
      </c>
      <c r="M8" s="21"/>
      <c r="N8" s="21"/>
      <c r="O8" s="21"/>
      <c r="P8" s="15"/>
      <c r="Q8" s="15"/>
      <c r="R8" s="6"/>
      <c r="S8" s="6"/>
      <c r="T8" s="6"/>
    </row>
    <row r="9" spans="1:20" ht="14.25" customHeight="1" x14ac:dyDescent="0.2">
      <c r="A9" s="22"/>
      <c r="B9" s="23">
        <v>1</v>
      </c>
      <c r="C9" s="24" t="s">
        <v>39</v>
      </c>
      <c r="D9" s="25" t="s">
        <v>40</v>
      </c>
      <c r="E9" s="26">
        <v>1</v>
      </c>
      <c r="F9" s="27" t="s">
        <v>41</v>
      </c>
      <c r="G9" s="28">
        <v>20000000</v>
      </c>
      <c r="H9" s="29">
        <f>E9*G9</f>
        <v>20000000</v>
      </c>
      <c r="I9" s="30">
        <v>3908731694</v>
      </c>
      <c r="J9" s="31">
        <f t="shared" ref="J9:J14" si="0">H9/I9*100</f>
        <v>0.51167492592803177</v>
      </c>
      <c r="K9" s="32">
        <v>1</v>
      </c>
      <c r="L9" s="33" t="s">
        <v>39</v>
      </c>
      <c r="M9" s="34"/>
      <c r="N9" s="34"/>
      <c r="O9" s="35" t="s">
        <v>42</v>
      </c>
      <c r="P9" s="22">
        <v>1300000</v>
      </c>
      <c r="Q9" s="22">
        <v>1300000</v>
      </c>
      <c r="R9" s="6"/>
      <c r="S9" s="6"/>
      <c r="T9" s="6"/>
    </row>
    <row r="10" spans="1:20" ht="14.25" customHeight="1" x14ac:dyDescent="0.2">
      <c r="A10" s="22"/>
      <c r="B10" s="23">
        <v>2</v>
      </c>
      <c r="C10" s="24" t="s">
        <v>43</v>
      </c>
      <c r="D10" s="36"/>
      <c r="E10" s="26">
        <v>1</v>
      </c>
      <c r="F10" s="27" t="s">
        <v>41</v>
      </c>
      <c r="G10" s="28">
        <v>10000000</v>
      </c>
      <c r="H10" s="29">
        <f>E10*G10</f>
        <v>10000000</v>
      </c>
      <c r="I10" s="30">
        <v>3908731694</v>
      </c>
      <c r="J10" s="31">
        <f t="shared" si="0"/>
        <v>0.25583746296401588</v>
      </c>
      <c r="K10" s="32">
        <v>2</v>
      </c>
      <c r="L10" s="33" t="s">
        <v>43</v>
      </c>
      <c r="M10" s="34"/>
      <c r="N10" s="34"/>
      <c r="O10" s="35" t="s">
        <v>42</v>
      </c>
      <c r="P10" s="22">
        <v>5000000</v>
      </c>
      <c r="Q10" s="22">
        <v>5000000</v>
      </c>
      <c r="R10" s="6"/>
      <c r="S10" s="6"/>
      <c r="T10" s="6"/>
    </row>
    <row r="11" spans="1:20" ht="14.25" customHeight="1" x14ac:dyDescent="0.2">
      <c r="A11" s="22"/>
      <c r="B11" s="23">
        <v>3</v>
      </c>
      <c r="C11" s="24" t="s">
        <v>44</v>
      </c>
      <c r="D11" s="36"/>
      <c r="E11" s="36"/>
      <c r="F11" s="27"/>
      <c r="G11" s="28"/>
      <c r="H11" s="29">
        <f>E11*G11</f>
        <v>0</v>
      </c>
      <c r="I11" s="30">
        <v>3908731694</v>
      </c>
      <c r="J11" s="31">
        <f t="shared" si="0"/>
        <v>0</v>
      </c>
      <c r="K11" s="32">
        <v>3</v>
      </c>
      <c r="L11" s="33" t="s">
        <v>45</v>
      </c>
      <c r="M11" s="34"/>
      <c r="N11" s="34"/>
      <c r="O11" s="35" t="s">
        <v>42</v>
      </c>
      <c r="P11" s="22">
        <v>2000000</v>
      </c>
      <c r="Q11" s="22">
        <v>2000000</v>
      </c>
      <c r="R11" s="6"/>
      <c r="S11" s="6"/>
      <c r="T11" s="6"/>
    </row>
    <row r="12" spans="1:20" ht="14.25" customHeight="1" x14ac:dyDescent="0.2">
      <c r="A12" s="22"/>
      <c r="B12" s="23">
        <v>4</v>
      </c>
      <c r="C12" s="24" t="s">
        <v>46</v>
      </c>
      <c r="D12" s="36"/>
      <c r="E12" s="26">
        <v>1</v>
      </c>
      <c r="F12" s="27" t="s">
        <v>41</v>
      </c>
      <c r="G12" s="28">
        <v>5000000</v>
      </c>
      <c r="H12" s="29">
        <f>E12*G12</f>
        <v>5000000</v>
      </c>
      <c r="I12" s="30">
        <v>3908731694</v>
      </c>
      <c r="J12" s="31">
        <f t="shared" si="0"/>
        <v>0.12791873148200794</v>
      </c>
      <c r="K12" s="32">
        <v>4</v>
      </c>
      <c r="L12" s="33" t="s">
        <v>47</v>
      </c>
      <c r="M12" s="34"/>
      <c r="N12" s="34"/>
      <c r="O12" s="35" t="s">
        <v>42</v>
      </c>
      <c r="P12" s="22">
        <v>1100000</v>
      </c>
      <c r="Q12" s="22">
        <v>1100000</v>
      </c>
      <c r="R12" s="6"/>
      <c r="S12" s="6"/>
      <c r="T12" s="6"/>
    </row>
    <row r="13" spans="1:20" ht="14.25" customHeight="1" x14ac:dyDescent="0.2">
      <c r="A13" s="22"/>
      <c r="B13" s="23">
        <v>5</v>
      </c>
      <c r="C13" s="24" t="s">
        <v>45</v>
      </c>
      <c r="D13" s="25" t="s">
        <v>48</v>
      </c>
      <c r="E13" s="26">
        <v>1</v>
      </c>
      <c r="F13" s="27" t="s">
        <v>41</v>
      </c>
      <c r="G13" s="28">
        <v>15000000</v>
      </c>
      <c r="H13" s="29">
        <f>E13*G13</f>
        <v>15000000</v>
      </c>
      <c r="I13" s="30">
        <v>3908731694</v>
      </c>
      <c r="J13" s="31">
        <f t="shared" si="0"/>
        <v>0.38375619444602382</v>
      </c>
      <c r="K13" s="37"/>
      <c r="L13" s="22"/>
      <c r="M13" s="22"/>
      <c r="N13" s="22"/>
      <c r="O13" s="22"/>
      <c r="P13" s="22"/>
      <c r="Q13" s="22"/>
      <c r="R13" s="6"/>
      <c r="S13" s="6"/>
      <c r="T13" s="6"/>
    </row>
    <row r="14" spans="1:20" ht="14.25" customHeight="1" x14ac:dyDescent="0.25">
      <c r="A14" s="15"/>
      <c r="B14" s="38"/>
      <c r="C14" s="16"/>
      <c r="D14" s="39"/>
      <c r="E14" s="39"/>
      <c r="F14" s="40"/>
      <c r="G14" s="41"/>
      <c r="H14" s="42">
        <f>SUM(H8:H13)</f>
        <v>50000000</v>
      </c>
      <c r="I14" s="30">
        <v>3908731694</v>
      </c>
      <c r="J14" s="43">
        <f t="shared" si="0"/>
        <v>1.2791873148200794</v>
      </c>
      <c r="K14" s="19" t="s">
        <v>49</v>
      </c>
      <c r="L14" s="21" t="s">
        <v>50</v>
      </c>
      <c r="M14" s="21"/>
      <c r="N14" s="21"/>
      <c r="O14" s="21"/>
      <c r="P14" s="15"/>
      <c r="Q14" s="15"/>
      <c r="R14" s="6"/>
      <c r="S14" s="6"/>
      <c r="T14" s="6"/>
    </row>
    <row r="15" spans="1:20" ht="14.25" customHeight="1" x14ac:dyDescent="0.25">
      <c r="A15" s="22"/>
      <c r="B15" s="16" t="s">
        <v>49</v>
      </c>
      <c r="C15" s="16" t="s">
        <v>51</v>
      </c>
      <c r="D15" s="25"/>
      <c r="E15" s="25"/>
      <c r="F15" s="27"/>
      <c r="G15" s="28"/>
      <c r="H15" s="29"/>
      <c r="I15" s="44"/>
      <c r="J15" s="44"/>
      <c r="K15" s="37"/>
      <c r="L15" s="22"/>
      <c r="M15" s="22"/>
      <c r="N15" s="22"/>
      <c r="O15" s="45"/>
      <c r="P15" s="22"/>
      <c r="Q15" s="22"/>
      <c r="R15" s="6"/>
      <c r="S15" s="6"/>
      <c r="T15" s="6"/>
    </row>
    <row r="16" spans="1:20" ht="14.25" customHeight="1" x14ac:dyDescent="0.2">
      <c r="A16" s="22"/>
      <c r="B16" s="23">
        <v>1</v>
      </c>
      <c r="C16" s="46" t="s">
        <v>52</v>
      </c>
      <c r="D16" s="25" t="s">
        <v>53</v>
      </c>
      <c r="E16" s="47">
        <v>4</v>
      </c>
      <c r="F16" s="27" t="s">
        <v>54</v>
      </c>
      <c r="G16" s="28">
        <v>650000</v>
      </c>
      <c r="H16" s="29">
        <f t="shared" ref="H16:H28" si="1">E16*G16</f>
        <v>2600000</v>
      </c>
      <c r="I16" s="30">
        <v>3908731694</v>
      </c>
      <c r="J16" s="31">
        <f t="shared" ref="J16:J29" si="2">H16/I16*100</f>
        <v>6.6517740370644132E-2</v>
      </c>
      <c r="K16" s="37"/>
      <c r="L16" s="22"/>
      <c r="M16" s="22"/>
      <c r="N16" s="22"/>
      <c r="O16" s="45"/>
      <c r="P16" s="22"/>
      <c r="Q16" s="22"/>
      <c r="R16" s="6"/>
      <c r="S16" s="6"/>
      <c r="T16" s="6"/>
    </row>
    <row r="17" spans="1:20" ht="14.25" customHeight="1" x14ac:dyDescent="0.2">
      <c r="A17" s="22"/>
      <c r="B17" s="23">
        <v>2</v>
      </c>
      <c r="C17" s="46" t="s">
        <v>55</v>
      </c>
      <c r="D17" s="25" t="s">
        <v>56</v>
      </c>
      <c r="E17" s="47">
        <v>2875</v>
      </c>
      <c r="F17" s="27" t="s">
        <v>57</v>
      </c>
      <c r="G17" s="28">
        <v>120000</v>
      </c>
      <c r="H17" s="29">
        <f t="shared" si="1"/>
        <v>345000000</v>
      </c>
      <c r="I17" s="30">
        <v>3908731694</v>
      </c>
      <c r="J17" s="31">
        <f t="shared" si="2"/>
        <v>8.8263924722585472</v>
      </c>
      <c r="K17" s="37"/>
      <c r="L17" s="22"/>
      <c r="M17" s="22"/>
      <c r="N17" s="22"/>
      <c r="O17" s="45"/>
      <c r="P17" s="22"/>
      <c r="Q17" s="22"/>
      <c r="R17" s="6"/>
      <c r="S17" s="6"/>
      <c r="T17" s="6"/>
    </row>
    <row r="18" spans="1:20" ht="14.25" customHeight="1" x14ac:dyDescent="0.2">
      <c r="A18" s="22"/>
      <c r="B18" s="23">
        <v>3</v>
      </c>
      <c r="C18" s="46" t="s">
        <v>58</v>
      </c>
      <c r="D18" s="25" t="s">
        <v>59</v>
      </c>
      <c r="E18" s="47">
        <v>1230</v>
      </c>
      <c r="F18" s="27" t="s">
        <v>57</v>
      </c>
      <c r="G18" s="28">
        <v>57500</v>
      </c>
      <c r="H18" s="29">
        <f t="shared" si="1"/>
        <v>70725000</v>
      </c>
      <c r="I18" s="30">
        <v>3908731694</v>
      </c>
      <c r="J18" s="31">
        <f t="shared" si="2"/>
        <v>1.8094104568130023</v>
      </c>
      <c r="K18" s="37"/>
      <c r="L18" s="22"/>
      <c r="M18" s="22"/>
      <c r="N18" s="22"/>
      <c r="O18" s="45"/>
      <c r="P18" s="22"/>
      <c r="Q18" s="22"/>
      <c r="R18" s="6"/>
      <c r="S18" s="6"/>
      <c r="T18" s="6"/>
    </row>
    <row r="19" spans="1:20" ht="14.25" customHeight="1" x14ac:dyDescent="0.2">
      <c r="A19" s="22"/>
      <c r="B19" s="23">
        <v>4</v>
      </c>
      <c r="C19" s="46" t="s">
        <v>60</v>
      </c>
      <c r="D19" s="25" t="s">
        <v>61</v>
      </c>
      <c r="E19" s="47">
        <v>18</v>
      </c>
      <c r="F19" s="27" t="s">
        <v>54</v>
      </c>
      <c r="G19" s="28">
        <v>2500000</v>
      </c>
      <c r="H19" s="29">
        <f t="shared" si="1"/>
        <v>45000000</v>
      </c>
      <c r="I19" s="30">
        <v>3908731694</v>
      </c>
      <c r="J19" s="31">
        <f t="shared" si="2"/>
        <v>1.1512685833380714</v>
      </c>
      <c r="K19" s="37"/>
      <c r="L19" s="22"/>
      <c r="M19" s="22"/>
      <c r="N19" s="22"/>
      <c r="O19" s="45"/>
      <c r="P19" s="22"/>
      <c r="Q19" s="22"/>
      <c r="R19" s="6"/>
      <c r="S19" s="6"/>
      <c r="T19" s="6"/>
    </row>
    <row r="20" spans="1:20" ht="14.25" customHeight="1" x14ac:dyDescent="0.2">
      <c r="A20" s="22"/>
      <c r="B20" s="23">
        <v>5</v>
      </c>
      <c r="C20" s="46" t="s">
        <v>62</v>
      </c>
      <c r="D20" s="25" t="s">
        <v>63</v>
      </c>
      <c r="E20" s="47">
        <v>196</v>
      </c>
      <c r="F20" s="27" t="s">
        <v>57</v>
      </c>
      <c r="G20" s="28">
        <v>25000</v>
      </c>
      <c r="H20" s="29">
        <f t="shared" si="1"/>
        <v>4900000</v>
      </c>
      <c r="I20" s="30">
        <v>3908731694</v>
      </c>
      <c r="J20" s="31">
        <f t="shared" si="2"/>
        <v>0.12536035685236779</v>
      </c>
      <c r="K20" s="37"/>
      <c r="L20" s="22"/>
      <c r="M20" s="22"/>
      <c r="N20" s="22"/>
      <c r="O20" s="45"/>
      <c r="P20" s="22"/>
      <c r="Q20" s="22"/>
      <c r="R20" s="6"/>
      <c r="S20" s="6"/>
      <c r="T20" s="6"/>
    </row>
    <row r="21" spans="1:20" ht="14.25" customHeight="1" x14ac:dyDescent="0.2">
      <c r="A21" s="22"/>
      <c r="B21" s="23">
        <v>6</v>
      </c>
      <c r="C21" s="46" t="s">
        <v>64</v>
      </c>
      <c r="D21" s="25" t="s">
        <v>65</v>
      </c>
      <c r="E21" s="47">
        <v>196</v>
      </c>
      <c r="F21" s="27" t="s">
        <v>57</v>
      </c>
      <c r="G21" s="28">
        <v>143000</v>
      </c>
      <c r="H21" s="29">
        <f t="shared" si="1"/>
        <v>28028000</v>
      </c>
      <c r="I21" s="30">
        <v>3908731694</v>
      </c>
      <c r="J21" s="31">
        <f t="shared" si="2"/>
        <v>0.71706124119554371</v>
      </c>
      <c r="K21" s="37"/>
      <c r="L21" s="22"/>
      <c r="M21" s="22"/>
      <c r="N21" s="22"/>
      <c r="O21" s="45"/>
      <c r="P21" s="22"/>
      <c r="Q21" s="22"/>
      <c r="R21" s="6"/>
      <c r="S21" s="6"/>
      <c r="T21" s="6"/>
    </row>
    <row r="22" spans="1:20" ht="14.25" customHeight="1" x14ac:dyDescent="0.2">
      <c r="A22" s="22"/>
      <c r="B22" s="23">
        <v>7</v>
      </c>
      <c r="C22" s="46" t="s">
        <v>66</v>
      </c>
      <c r="D22" s="25" t="s">
        <v>67</v>
      </c>
      <c r="E22" s="47">
        <v>290</v>
      </c>
      <c r="F22" s="27" t="s">
        <v>57</v>
      </c>
      <c r="G22" s="28">
        <v>85000</v>
      </c>
      <c r="H22" s="29">
        <f t="shared" si="1"/>
        <v>24650000</v>
      </c>
      <c r="I22" s="30">
        <v>3908731694</v>
      </c>
      <c r="J22" s="31">
        <f t="shared" si="2"/>
        <v>0.63063934620629902</v>
      </c>
      <c r="K22" s="37"/>
      <c r="L22" s="22"/>
      <c r="M22" s="22"/>
      <c r="N22" s="22"/>
      <c r="O22" s="45"/>
      <c r="P22" s="22"/>
      <c r="Q22" s="22"/>
      <c r="R22" s="6"/>
      <c r="S22" s="6"/>
      <c r="T22" s="6"/>
    </row>
    <row r="23" spans="1:20" ht="14.25" customHeight="1" x14ac:dyDescent="0.2">
      <c r="A23" s="22"/>
      <c r="B23" s="23">
        <v>8</v>
      </c>
      <c r="C23" s="46" t="s">
        <v>68</v>
      </c>
      <c r="D23" s="25" t="s">
        <v>69</v>
      </c>
      <c r="E23" s="47">
        <v>45</v>
      </c>
      <c r="F23" s="27" t="s">
        <v>70</v>
      </c>
      <c r="G23" s="28">
        <v>344500</v>
      </c>
      <c r="H23" s="29">
        <f t="shared" si="1"/>
        <v>15502500</v>
      </c>
      <c r="I23" s="30">
        <v>3908731694</v>
      </c>
      <c r="J23" s="31">
        <f t="shared" si="2"/>
        <v>0.39661202695996561</v>
      </c>
      <c r="K23" s="37"/>
      <c r="L23" s="22"/>
      <c r="M23" s="22"/>
      <c r="N23" s="22"/>
      <c r="O23" s="45"/>
      <c r="P23" s="22"/>
      <c r="Q23" s="22"/>
      <c r="R23" s="6"/>
      <c r="S23" s="6"/>
      <c r="T23" s="6"/>
    </row>
    <row r="24" spans="1:20" ht="14.25" customHeight="1" x14ac:dyDescent="0.2">
      <c r="A24" s="22"/>
      <c r="B24" s="23">
        <v>9</v>
      </c>
      <c r="C24" s="46" t="s">
        <v>71</v>
      </c>
      <c r="D24" s="25" t="s">
        <v>59</v>
      </c>
      <c r="E24" s="47">
        <v>37</v>
      </c>
      <c r="F24" s="27" t="s">
        <v>70</v>
      </c>
      <c r="G24" s="28">
        <v>57500</v>
      </c>
      <c r="H24" s="29">
        <f t="shared" si="1"/>
        <v>2127500</v>
      </c>
      <c r="I24" s="30">
        <v>3908731694</v>
      </c>
      <c r="J24" s="31">
        <f t="shared" si="2"/>
        <v>5.4429420245594377E-2</v>
      </c>
      <c r="K24" s="37"/>
      <c r="L24" s="22"/>
      <c r="M24" s="22"/>
      <c r="N24" s="22"/>
      <c r="O24" s="45"/>
      <c r="P24" s="22"/>
      <c r="Q24" s="22"/>
      <c r="R24" s="6"/>
      <c r="S24" s="6"/>
      <c r="T24" s="6"/>
    </row>
    <row r="25" spans="1:20" ht="14.25" customHeight="1" x14ac:dyDescent="0.2">
      <c r="A25" s="22"/>
      <c r="B25" s="23">
        <v>10</v>
      </c>
      <c r="C25" s="46" t="s">
        <v>72</v>
      </c>
      <c r="D25" s="25"/>
      <c r="E25" s="48">
        <v>1</v>
      </c>
      <c r="F25" s="27" t="s">
        <v>73</v>
      </c>
      <c r="G25" s="28">
        <v>5200000</v>
      </c>
      <c r="H25" s="29">
        <f t="shared" si="1"/>
        <v>5200000</v>
      </c>
      <c r="I25" s="30">
        <v>3908731694</v>
      </c>
      <c r="J25" s="31">
        <f t="shared" si="2"/>
        <v>0.13303548074128826</v>
      </c>
      <c r="K25" s="37"/>
      <c r="L25" s="22"/>
      <c r="M25" s="22"/>
      <c r="N25" s="22"/>
      <c r="O25" s="45"/>
      <c r="P25" s="22"/>
      <c r="Q25" s="22"/>
      <c r="R25" s="6"/>
      <c r="S25" s="6"/>
      <c r="T25" s="6"/>
    </row>
    <row r="26" spans="1:20" ht="14.25" customHeight="1" x14ac:dyDescent="0.2">
      <c r="A26" s="22"/>
      <c r="B26" s="23">
        <v>11</v>
      </c>
      <c r="C26" s="46" t="s">
        <v>74</v>
      </c>
      <c r="D26" s="25" t="s">
        <v>75</v>
      </c>
      <c r="E26" s="48">
        <v>60</v>
      </c>
      <c r="F26" s="27" t="s">
        <v>57</v>
      </c>
      <c r="G26" s="28">
        <v>1100000</v>
      </c>
      <c r="H26" s="29">
        <f t="shared" si="1"/>
        <v>66000000</v>
      </c>
      <c r="I26" s="30">
        <v>3908731694</v>
      </c>
      <c r="J26" s="31">
        <f t="shared" si="2"/>
        <v>1.6885272555625046</v>
      </c>
      <c r="K26" s="37"/>
      <c r="L26" s="22"/>
      <c r="M26" s="22"/>
      <c r="N26" s="22"/>
      <c r="O26" s="45"/>
      <c r="P26" s="22"/>
      <c r="Q26" s="22"/>
      <c r="R26" s="6"/>
      <c r="S26" s="6"/>
      <c r="T26" s="6"/>
    </row>
    <row r="27" spans="1:20" ht="14.25" customHeight="1" x14ac:dyDescent="0.2">
      <c r="A27" s="22"/>
      <c r="B27" s="23">
        <v>12</v>
      </c>
      <c r="C27" s="46" t="s">
        <v>76</v>
      </c>
      <c r="D27" s="25" t="s">
        <v>77</v>
      </c>
      <c r="E27" s="48">
        <v>1</v>
      </c>
      <c r="F27" s="27" t="s">
        <v>73</v>
      </c>
      <c r="G27" s="28">
        <v>2500000</v>
      </c>
      <c r="H27" s="29">
        <f t="shared" si="1"/>
        <v>2500000</v>
      </c>
      <c r="I27" s="30">
        <v>3908731694</v>
      </c>
      <c r="J27" s="31">
        <f t="shared" si="2"/>
        <v>6.3959365741003971E-2</v>
      </c>
      <c r="K27" s="37"/>
      <c r="L27" s="22"/>
      <c r="M27" s="22"/>
      <c r="N27" s="22"/>
      <c r="O27" s="45"/>
      <c r="P27" s="22"/>
      <c r="Q27" s="22"/>
      <c r="R27" s="6"/>
      <c r="S27" s="6"/>
      <c r="T27" s="6"/>
    </row>
    <row r="28" spans="1:20" ht="14.25" customHeight="1" x14ac:dyDescent="0.2">
      <c r="A28" s="22"/>
      <c r="B28" s="23">
        <v>13</v>
      </c>
      <c r="C28" s="46" t="s">
        <v>78</v>
      </c>
      <c r="D28" s="25" t="s">
        <v>79</v>
      </c>
      <c r="E28" s="48">
        <v>54</v>
      </c>
      <c r="F28" s="27" t="s">
        <v>70</v>
      </c>
      <c r="G28" s="28">
        <v>360000</v>
      </c>
      <c r="H28" s="29">
        <f t="shared" si="1"/>
        <v>19440000</v>
      </c>
      <c r="I28" s="30">
        <v>3908731694</v>
      </c>
      <c r="J28" s="31">
        <f t="shared" si="2"/>
        <v>0.49734802800204686</v>
      </c>
      <c r="K28" s="37"/>
      <c r="L28" s="22"/>
      <c r="M28" s="22"/>
      <c r="N28" s="22"/>
      <c r="O28" s="45"/>
      <c r="P28" s="22"/>
      <c r="Q28" s="22"/>
      <c r="R28" s="6"/>
      <c r="S28" s="6"/>
      <c r="T28" s="6"/>
    </row>
    <row r="29" spans="1:20" ht="14.25" customHeight="1" x14ac:dyDescent="0.2">
      <c r="A29" s="22"/>
      <c r="B29" s="23"/>
      <c r="C29" s="46"/>
      <c r="D29" s="25"/>
      <c r="E29" s="48"/>
      <c r="F29" s="27"/>
      <c r="G29" s="28"/>
      <c r="H29" s="49">
        <f>SUM(H16:H28)</f>
        <v>631673000</v>
      </c>
      <c r="I29" s="30">
        <v>3908731694</v>
      </c>
      <c r="J29" s="43">
        <f t="shared" si="2"/>
        <v>16.160561774286879</v>
      </c>
      <c r="K29" s="37"/>
      <c r="L29" s="22"/>
      <c r="M29" s="22"/>
      <c r="N29" s="22"/>
      <c r="O29" s="45"/>
      <c r="P29" s="22"/>
      <c r="Q29" s="22"/>
      <c r="R29" s="6"/>
      <c r="S29" s="6"/>
      <c r="T29" s="6"/>
    </row>
    <row r="30" spans="1:20" ht="14.25" customHeight="1" x14ac:dyDescent="0.2">
      <c r="A30" s="22"/>
      <c r="B30" s="50"/>
      <c r="C30" s="46"/>
      <c r="D30" s="25"/>
      <c r="E30" s="51"/>
      <c r="F30" s="27"/>
      <c r="G30" s="28"/>
      <c r="H30" s="29">
        <f t="shared" ref="H30:H41" si="3">E30*G30</f>
        <v>0</v>
      </c>
      <c r="I30" s="44"/>
      <c r="J30" s="44"/>
      <c r="K30" s="37"/>
      <c r="L30" s="22"/>
      <c r="M30" s="22"/>
      <c r="N30" s="22"/>
      <c r="O30" s="45"/>
      <c r="P30" s="22"/>
      <c r="Q30" s="22"/>
      <c r="R30" s="6"/>
      <c r="S30" s="6"/>
      <c r="T30" s="6"/>
    </row>
    <row r="31" spans="1:20" ht="14.25" customHeight="1" x14ac:dyDescent="0.25">
      <c r="A31" s="22"/>
      <c r="B31" s="16" t="s">
        <v>80</v>
      </c>
      <c r="C31" s="16" t="s">
        <v>81</v>
      </c>
      <c r="D31" s="25"/>
      <c r="E31" s="51"/>
      <c r="F31" s="27"/>
      <c r="G31" s="28"/>
      <c r="H31" s="29">
        <f t="shared" si="3"/>
        <v>0</v>
      </c>
      <c r="I31" s="44"/>
      <c r="J31" s="44"/>
      <c r="K31" s="37"/>
      <c r="L31" s="22"/>
      <c r="M31" s="22"/>
      <c r="N31" s="22"/>
      <c r="O31" s="45"/>
      <c r="P31" s="22"/>
      <c r="Q31" s="22"/>
      <c r="R31" s="6"/>
      <c r="S31" s="6"/>
      <c r="T31" s="6"/>
    </row>
    <row r="32" spans="1:20" ht="14.25" customHeight="1" x14ac:dyDescent="0.2">
      <c r="A32" s="22"/>
      <c r="B32" s="23">
        <v>1</v>
      </c>
      <c r="C32" s="46" t="s">
        <v>82</v>
      </c>
      <c r="D32" s="25"/>
      <c r="E32" s="47">
        <v>30</v>
      </c>
      <c r="F32" s="27" t="s">
        <v>57</v>
      </c>
      <c r="G32" s="28">
        <v>40000</v>
      </c>
      <c r="H32" s="29">
        <f t="shared" si="3"/>
        <v>1200000</v>
      </c>
      <c r="I32" s="30">
        <v>3908731694</v>
      </c>
      <c r="J32" s="31">
        <f t="shared" ref="J32:J42" si="4">H32/I32*100</f>
        <v>3.0700495555681905E-2</v>
      </c>
      <c r="K32" s="37"/>
      <c r="L32" s="22"/>
      <c r="M32" s="22"/>
      <c r="N32" s="22"/>
      <c r="O32" s="45"/>
      <c r="P32" s="22"/>
      <c r="Q32" s="22"/>
      <c r="R32" s="6"/>
      <c r="S32" s="6"/>
      <c r="T32" s="6"/>
    </row>
    <row r="33" spans="1:20" ht="14.25" customHeight="1" x14ac:dyDescent="0.2">
      <c r="A33" s="22"/>
      <c r="B33" s="23">
        <v>2</v>
      </c>
      <c r="C33" s="46" t="s">
        <v>83</v>
      </c>
      <c r="D33" s="25" t="s">
        <v>84</v>
      </c>
      <c r="E33" s="47">
        <v>105</v>
      </c>
      <c r="F33" s="27" t="s">
        <v>57</v>
      </c>
      <c r="G33" s="28">
        <v>35000</v>
      </c>
      <c r="H33" s="29">
        <f t="shared" si="3"/>
        <v>3675000</v>
      </c>
      <c r="I33" s="30">
        <v>3908731694</v>
      </c>
      <c r="J33" s="31">
        <f t="shared" si="4"/>
        <v>9.4020267639275831E-2</v>
      </c>
      <c r="K33" s="37"/>
      <c r="L33" s="22"/>
      <c r="M33" s="22"/>
      <c r="N33" s="22"/>
      <c r="O33" s="45"/>
      <c r="P33" s="22"/>
      <c r="Q33" s="22"/>
      <c r="R33" s="6"/>
      <c r="S33" s="6"/>
      <c r="T33" s="6"/>
    </row>
    <row r="34" spans="1:20" ht="14.25" customHeight="1" x14ac:dyDescent="0.2">
      <c r="A34" s="22"/>
      <c r="B34" s="23">
        <v>3</v>
      </c>
      <c r="C34" s="46" t="s">
        <v>85</v>
      </c>
      <c r="D34" s="25" t="s">
        <v>86</v>
      </c>
      <c r="E34" s="48">
        <v>40</v>
      </c>
      <c r="F34" s="27" t="s">
        <v>57</v>
      </c>
      <c r="G34" s="28">
        <v>275000</v>
      </c>
      <c r="H34" s="29">
        <f t="shared" si="3"/>
        <v>11000000</v>
      </c>
      <c r="I34" s="30">
        <v>3908731694</v>
      </c>
      <c r="J34" s="31">
        <f t="shared" si="4"/>
        <v>0.28142120926041747</v>
      </c>
      <c r="K34" s="37"/>
      <c r="L34" s="22"/>
      <c r="M34" s="22"/>
      <c r="N34" s="22"/>
      <c r="O34" s="45"/>
      <c r="P34" s="22"/>
      <c r="Q34" s="22"/>
      <c r="R34" s="6"/>
      <c r="S34" s="6"/>
      <c r="T34" s="6"/>
    </row>
    <row r="35" spans="1:20" ht="14.25" customHeight="1" x14ac:dyDescent="0.2">
      <c r="A35" s="22"/>
      <c r="B35" s="23">
        <v>4</v>
      </c>
      <c r="C35" s="46" t="s">
        <v>87</v>
      </c>
      <c r="D35" s="25" t="s">
        <v>88</v>
      </c>
      <c r="E35" s="48">
        <v>14</v>
      </c>
      <c r="F35" s="27" t="s">
        <v>57</v>
      </c>
      <c r="G35" s="28">
        <v>160000</v>
      </c>
      <c r="H35" s="29">
        <f t="shared" si="3"/>
        <v>2240000</v>
      </c>
      <c r="I35" s="30">
        <v>3908731694</v>
      </c>
      <c r="J35" s="31">
        <f t="shared" si="4"/>
        <v>5.730759170393955E-2</v>
      </c>
      <c r="K35" s="37"/>
      <c r="L35" s="22"/>
      <c r="M35" s="22"/>
      <c r="N35" s="22"/>
      <c r="O35" s="45"/>
      <c r="P35" s="22"/>
      <c r="Q35" s="22"/>
      <c r="R35" s="6"/>
      <c r="S35" s="6"/>
      <c r="T35" s="6"/>
    </row>
    <row r="36" spans="1:20" ht="14.25" customHeight="1" x14ac:dyDescent="0.2">
      <c r="A36" s="22"/>
      <c r="B36" s="23">
        <v>5</v>
      </c>
      <c r="C36" s="46" t="s">
        <v>89</v>
      </c>
      <c r="D36" s="25" t="s">
        <v>90</v>
      </c>
      <c r="E36" s="48">
        <v>185</v>
      </c>
      <c r="F36" s="27" t="s">
        <v>57</v>
      </c>
      <c r="G36" s="28">
        <v>150000</v>
      </c>
      <c r="H36" s="29">
        <f t="shared" si="3"/>
        <v>27750000</v>
      </c>
      <c r="I36" s="30">
        <v>3908731694</v>
      </c>
      <c r="J36" s="31">
        <f t="shared" si="4"/>
        <v>0.70994895972514405</v>
      </c>
      <c r="K36" s="37"/>
      <c r="L36" s="22"/>
      <c r="M36" s="22"/>
      <c r="N36" s="22"/>
      <c r="O36" s="45"/>
      <c r="P36" s="22"/>
      <c r="Q36" s="22"/>
      <c r="R36" s="6"/>
      <c r="S36" s="6"/>
      <c r="T36" s="6"/>
    </row>
    <row r="37" spans="1:20" ht="14.25" customHeight="1" x14ac:dyDescent="0.2">
      <c r="A37" s="22"/>
      <c r="B37" s="23">
        <v>6</v>
      </c>
      <c r="C37" s="46" t="s">
        <v>91</v>
      </c>
      <c r="D37" s="25" t="s">
        <v>92</v>
      </c>
      <c r="E37" s="48">
        <v>93</v>
      </c>
      <c r="F37" s="27" t="s">
        <v>57</v>
      </c>
      <c r="G37" s="28">
        <v>185000</v>
      </c>
      <c r="H37" s="29">
        <f t="shared" si="3"/>
        <v>17205000</v>
      </c>
      <c r="I37" s="30">
        <v>3908731694</v>
      </c>
      <c r="J37" s="31">
        <f t="shared" si="4"/>
        <v>0.44016835502958929</v>
      </c>
      <c r="K37" s="37"/>
      <c r="L37" s="22"/>
      <c r="M37" s="22"/>
      <c r="N37" s="22"/>
      <c r="O37" s="45"/>
      <c r="P37" s="22"/>
      <c r="Q37" s="22"/>
      <c r="R37" s="6"/>
      <c r="S37" s="6"/>
      <c r="T37" s="6"/>
    </row>
    <row r="38" spans="1:20" ht="14.25" customHeight="1" x14ac:dyDescent="0.2">
      <c r="A38" s="22"/>
      <c r="B38" s="23">
        <v>7</v>
      </c>
      <c r="C38" s="46" t="s">
        <v>93</v>
      </c>
      <c r="D38" s="25" t="s">
        <v>94</v>
      </c>
      <c r="E38" s="47">
        <v>10</v>
      </c>
      <c r="F38" s="27" t="s">
        <v>54</v>
      </c>
      <c r="G38" s="28">
        <v>364000</v>
      </c>
      <c r="H38" s="29">
        <f t="shared" si="3"/>
        <v>3640000</v>
      </c>
      <c r="I38" s="30">
        <v>3908731694</v>
      </c>
      <c r="J38" s="31">
        <f t="shared" si="4"/>
        <v>9.3124836518901771E-2</v>
      </c>
      <c r="K38" s="37"/>
      <c r="L38" s="22"/>
      <c r="M38" s="22"/>
      <c r="N38" s="22"/>
      <c r="O38" s="45"/>
      <c r="P38" s="22"/>
      <c r="Q38" s="22"/>
      <c r="R38" s="6"/>
      <c r="S38" s="6"/>
      <c r="T38" s="6"/>
    </row>
    <row r="39" spans="1:20" ht="14.25" customHeight="1" x14ac:dyDescent="0.2">
      <c r="A39" s="22"/>
      <c r="B39" s="23">
        <v>8</v>
      </c>
      <c r="C39" s="46" t="s">
        <v>95</v>
      </c>
      <c r="D39" s="25" t="s">
        <v>96</v>
      </c>
      <c r="E39" s="47">
        <v>1</v>
      </c>
      <c r="F39" s="27" t="s">
        <v>41</v>
      </c>
      <c r="G39" s="28">
        <v>4500000</v>
      </c>
      <c r="H39" s="29">
        <f t="shared" si="3"/>
        <v>4500000</v>
      </c>
      <c r="I39" s="30">
        <v>3908731694</v>
      </c>
      <c r="J39" s="31">
        <f t="shared" si="4"/>
        <v>0.11512685833380715</v>
      </c>
      <c r="K39" s="37"/>
      <c r="L39" s="22"/>
      <c r="M39" s="22"/>
      <c r="N39" s="22"/>
      <c r="O39" s="45"/>
      <c r="P39" s="22"/>
      <c r="Q39" s="22"/>
      <c r="R39" s="6"/>
      <c r="S39" s="6"/>
      <c r="T39" s="6"/>
    </row>
    <row r="40" spans="1:20" ht="14.25" customHeight="1" x14ac:dyDescent="0.2">
      <c r="A40" s="22"/>
      <c r="B40" s="23">
        <v>9</v>
      </c>
      <c r="C40" s="46" t="s">
        <v>97</v>
      </c>
      <c r="D40" s="25" t="s">
        <v>98</v>
      </c>
      <c r="E40" s="47">
        <v>6</v>
      </c>
      <c r="F40" s="27" t="s">
        <v>41</v>
      </c>
      <c r="G40" s="28">
        <v>600000</v>
      </c>
      <c r="H40" s="29">
        <f t="shared" si="3"/>
        <v>3600000</v>
      </c>
      <c r="I40" s="30">
        <v>3908731694</v>
      </c>
      <c r="J40" s="31">
        <f t="shared" si="4"/>
        <v>9.2101486667045707E-2</v>
      </c>
      <c r="K40" s="37"/>
      <c r="L40" s="22"/>
      <c r="M40" s="22"/>
      <c r="N40" s="22"/>
      <c r="O40" s="45"/>
      <c r="P40" s="22"/>
      <c r="Q40" s="22"/>
      <c r="R40" s="6"/>
      <c r="S40" s="6"/>
      <c r="T40" s="6"/>
    </row>
    <row r="41" spans="1:20" ht="14.25" customHeight="1" x14ac:dyDescent="0.2">
      <c r="A41" s="22"/>
      <c r="B41" s="23">
        <v>10</v>
      </c>
      <c r="C41" s="46" t="s">
        <v>99</v>
      </c>
      <c r="D41" s="25" t="s">
        <v>77</v>
      </c>
      <c r="E41" s="47">
        <v>1</v>
      </c>
      <c r="F41" s="27" t="s">
        <v>41</v>
      </c>
      <c r="G41" s="28">
        <v>1000000</v>
      </c>
      <c r="H41" s="29">
        <f t="shared" si="3"/>
        <v>1000000</v>
      </c>
      <c r="I41" s="30">
        <v>3908731694</v>
      </c>
      <c r="J41" s="31">
        <f t="shared" si="4"/>
        <v>2.5583746296401588E-2</v>
      </c>
      <c r="K41" s="37"/>
      <c r="L41" s="22"/>
      <c r="M41" s="22"/>
      <c r="N41" s="22"/>
      <c r="O41" s="45"/>
      <c r="P41" s="22"/>
      <c r="Q41" s="22"/>
      <c r="R41" s="6"/>
      <c r="S41" s="6"/>
      <c r="T41" s="6"/>
    </row>
    <row r="42" spans="1:20" ht="14.25" customHeight="1" x14ac:dyDescent="0.2">
      <c r="A42" s="22"/>
      <c r="B42" s="23"/>
      <c r="C42" s="46"/>
      <c r="D42" s="25"/>
      <c r="E42" s="47"/>
      <c r="F42" s="27"/>
      <c r="G42" s="28"/>
      <c r="H42" s="49">
        <f>SUM(H32:H41)</f>
        <v>75810000</v>
      </c>
      <c r="I42" s="30">
        <v>3908731694</v>
      </c>
      <c r="J42" s="43">
        <f t="shared" si="4"/>
        <v>1.9395038067302042</v>
      </c>
      <c r="K42" s="37"/>
      <c r="L42" s="22"/>
      <c r="M42" s="22"/>
      <c r="N42" s="22"/>
      <c r="O42" s="45"/>
      <c r="P42" s="22"/>
      <c r="Q42" s="22"/>
      <c r="R42" s="6"/>
      <c r="S42" s="6"/>
      <c r="T42" s="6"/>
    </row>
    <row r="43" spans="1:20" ht="14.25" customHeight="1" x14ac:dyDescent="0.2">
      <c r="A43" s="22"/>
      <c r="B43" s="50"/>
      <c r="C43" s="46"/>
      <c r="D43" s="25"/>
      <c r="E43" s="51"/>
      <c r="F43" s="27"/>
      <c r="G43" s="28"/>
      <c r="H43" s="29">
        <f t="shared" ref="H43:H49" si="5">E43*G43</f>
        <v>0</v>
      </c>
      <c r="I43" s="44"/>
      <c r="J43" s="44"/>
      <c r="K43" s="37"/>
      <c r="L43" s="22"/>
      <c r="M43" s="22"/>
      <c r="N43" s="22"/>
      <c r="O43" s="45"/>
      <c r="P43" s="22"/>
      <c r="Q43" s="22"/>
      <c r="R43" s="6"/>
      <c r="S43" s="6"/>
      <c r="T43" s="6"/>
    </row>
    <row r="44" spans="1:20" ht="14.25" customHeight="1" x14ac:dyDescent="0.25">
      <c r="A44" s="22"/>
      <c r="B44" s="16" t="s">
        <v>100</v>
      </c>
      <c r="C44" s="16" t="s">
        <v>101</v>
      </c>
      <c r="D44" s="16"/>
      <c r="E44" s="51"/>
      <c r="F44" s="27"/>
      <c r="G44" s="28"/>
      <c r="H44" s="29">
        <f t="shared" si="5"/>
        <v>0</v>
      </c>
      <c r="I44" s="44"/>
      <c r="J44" s="44"/>
      <c r="K44" s="37"/>
      <c r="L44" s="22"/>
      <c r="M44" s="22"/>
      <c r="N44" s="22"/>
      <c r="O44" s="45"/>
      <c r="P44" s="22"/>
      <c r="Q44" s="22"/>
      <c r="R44" s="6"/>
      <c r="S44" s="6"/>
      <c r="T44" s="6"/>
    </row>
    <row r="45" spans="1:20" ht="14.25" customHeight="1" x14ac:dyDescent="0.2">
      <c r="A45" s="22"/>
      <c r="B45" s="23">
        <v>1</v>
      </c>
      <c r="C45" s="46" t="s">
        <v>102</v>
      </c>
      <c r="D45" s="25" t="s">
        <v>84</v>
      </c>
      <c r="E45" s="47">
        <v>88</v>
      </c>
      <c r="F45" s="27" t="s">
        <v>57</v>
      </c>
      <c r="G45" s="28">
        <v>55000</v>
      </c>
      <c r="H45" s="29">
        <f t="shared" si="5"/>
        <v>4840000</v>
      </c>
      <c r="I45" s="30">
        <v>3908731694</v>
      </c>
      <c r="J45" s="31">
        <f t="shared" ref="J45:J50" si="6">H45/I45*100</f>
        <v>0.12382533207458367</v>
      </c>
      <c r="K45" s="37"/>
      <c r="L45" s="22"/>
      <c r="M45" s="22"/>
      <c r="N45" s="22"/>
      <c r="O45" s="45"/>
      <c r="P45" s="22"/>
      <c r="Q45" s="22"/>
      <c r="R45" s="6"/>
      <c r="S45" s="6"/>
      <c r="T45" s="6"/>
    </row>
    <row r="46" spans="1:20" ht="14.25" customHeight="1" x14ac:dyDescent="0.2">
      <c r="A46" s="22"/>
      <c r="B46" s="23">
        <v>2</v>
      </c>
      <c r="C46" s="46" t="s">
        <v>103</v>
      </c>
      <c r="D46" s="25" t="s">
        <v>104</v>
      </c>
      <c r="E46" s="47">
        <v>90</v>
      </c>
      <c r="F46" s="27" t="s">
        <v>57</v>
      </c>
      <c r="G46" s="28">
        <v>395000</v>
      </c>
      <c r="H46" s="29">
        <f t="shared" si="5"/>
        <v>35550000</v>
      </c>
      <c r="I46" s="30">
        <v>3908731694</v>
      </c>
      <c r="J46" s="31">
        <f t="shared" si="6"/>
        <v>0.90950218083707646</v>
      </c>
      <c r="K46" s="37"/>
      <c r="L46" s="22"/>
      <c r="M46" s="22"/>
      <c r="N46" s="22"/>
      <c r="O46" s="45"/>
      <c r="P46" s="22"/>
      <c r="Q46" s="22"/>
      <c r="R46" s="6"/>
      <c r="S46" s="6"/>
      <c r="T46" s="6"/>
    </row>
    <row r="47" spans="1:20" ht="14.25" customHeight="1" x14ac:dyDescent="0.2">
      <c r="A47" s="22"/>
      <c r="B47" s="23">
        <v>3</v>
      </c>
      <c r="C47" s="46" t="s">
        <v>105</v>
      </c>
      <c r="D47" s="25"/>
      <c r="E47" s="51"/>
      <c r="F47" s="27"/>
      <c r="G47" s="28"/>
      <c r="H47" s="29">
        <f t="shared" si="5"/>
        <v>0</v>
      </c>
      <c r="I47" s="30">
        <v>3908731694</v>
      </c>
      <c r="J47" s="31">
        <f t="shared" si="6"/>
        <v>0</v>
      </c>
      <c r="K47" s="37"/>
      <c r="L47" s="22"/>
      <c r="M47" s="22"/>
      <c r="N47" s="22"/>
      <c r="O47" s="45"/>
      <c r="P47" s="22"/>
      <c r="Q47" s="22"/>
      <c r="R47" s="6"/>
      <c r="S47" s="6"/>
      <c r="T47" s="6"/>
    </row>
    <row r="48" spans="1:20" ht="14.25" customHeight="1" x14ac:dyDescent="0.2">
      <c r="A48" s="22"/>
      <c r="B48" s="50"/>
      <c r="C48" s="46" t="s">
        <v>106</v>
      </c>
      <c r="D48" s="25" t="s">
        <v>107</v>
      </c>
      <c r="E48" s="47">
        <v>352</v>
      </c>
      <c r="F48" s="27" t="s">
        <v>108</v>
      </c>
      <c r="G48" s="28">
        <v>125000</v>
      </c>
      <c r="H48" s="29">
        <f t="shared" si="5"/>
        <v>44000000</v>
      </c>
      <c r="I48" s="30">
        <v>3908731694</v>
      </c>
      <c r="J48" s="31">
        <f t="shared" si="6"/>
        <v>1.1256848370416699</v>
      </c>
      <c r="K48" s="37"/>
      <c r="L48" s="22"/>
      <c r="M48" s="22"/>
      <c r="N48" s="22"/>
      <c r="O48" s="45"/>
      <c r="P48" s="22"/>
      <c r="Q48" s="22"/>
      <c r="R48" s="6"/>
      <c r="S48" s="6"/>
      <c r="T48" s="6"/>
    </row>
    <row r="49" spans="1:20" ht="14.25" customHeight="1" x14ac:dyDescent="0.2">
      <c r="A49" s="22"/>
      <c r="B49" s="23">
        <v>4</v>
      </c>
      <c r="C49" s="46" t="s">
        <v>109</v>
      </c>
      <c r="D49" s="25" t="s">
        <v>110</v>
      </c>
      <c r="E49" s="47">
        <v>528</v>
      </c>
      <c r="F49" s="27" t="s">
        <v>111</v>
      </c>
      <c r="G49" s="28">
        <v>85000</v>
      </c>
      <c r="H49" s="29">
        <f t="shared" si="5"/>
        <v>44880000</v>
      </c>
      <c r="I49" s="30">
        <v>3908731694</v>
      </c>
      <c r="J49" s="31">
        <f t="shared" si="6"/>
        <v>1.1481985337825031</v>
      </c>
      <c r="K49" s="37"/>
      <c r="L49" s="22"/>
      <c r="M49" s="22"/>
      <c r="N49" s="22"/>
      <c r="O49" s="45"/>
      <c r="P49" s="22"/>
      <c r="Q49" s="22"/>
      <c r="R49" s="6"/>
      <c r="S49" s="6"/>
      <c r="T49" s="6"/>
    </row>
    <row r="50" spans="1:20" ht="14.25" customHeight="1" x14ac:dyDescent="0.2">
      <c r="A50" s="22"/>
      <c r="B50" s="50"/>
      <c r="C50" s="46"/>
      <c r="D50" s="25"/>
      <c r="E50" s="51"/>
      <c r="F50" s="27"/>
      <c r="G50" s="28"/>
      <c r="H50" s="49">
        <f>SUM(H45:H49)</f>
        <v>129270000</v>
      </c>
      <c r="I50" s="30">
        <v>3908731694</v>
      </c>
      <c r="J50" s="43">
        <f t="shared" si="6"/>
        <v>3.3072108837358329</v>
      </c>
      <c r="K50" s="37"/>
      <c r="L50" s="22"/>
      <c r="M50" s="22"/>
      <c r="N50" s="22"/>
      <c r="O50" s="45"/>
      <c r="P50" s="22"/>
      <c r="Q50" s="22"/>
      <c r="R50" s="6"/>
      <c r="S50" s="6"/>
      <c r="T50" s="6"/>
    </row>
    <row r="51" spans="1:20" ht="14.25" customHeight="1" x14ac:dyDescent="0.2">
      <c r="A51" s="22"/>
      <c r="B51" s="50"/>
      <c r="C51" s="46"/>
      <c r="D51" s="25"/>
      <c r="E51" s="51"/>
      <c r="F51" s="27"/>
      <c r="G51" s="28"/>
      <c r="H51" s="29">
        <f t="shared" ref="H51:H58" si="7">E51*G51</f>
        <v>0</v>
      </c>
      <c r="I51" s="44"/>
      <c r="J51" s="44"/>
      <c r="K51" s="37"/>
      <c r="L51" s="22"/>
      <c r="M51" s="22"/>
      <c r="N51" s="22"/>
      <c r="O51" s="45"/>
      <c r="P51" s="22"/>
      <c r="Q51" s="22"/>
      <c r="R51" s="6"/>
      <c r="S51" s="6"/>
      <c r="T51" s="6"/>
    </row>
    <row r="52" spans="1:20" ht="14.25" customHeight="1" x14ac:dyDescent="0.25">
      <c r="A52" s="22"/>
      <c r="B52" s="16" t="s">
        <v>112</v>
      </c>
      <c r="C52" s="16" t="s">
        <v>113</v>
      </c>
      <c r="D52" s="16"/>
      <c r="E52" s="51"/>
      <c r="F52" s="27"/>
      <c r="G52" s="28"/>
      <c r="H52" s="29">
        <f t="shared" si="7"/>
        <v>0</v>
      </c>
      <c r="I52" s="44"/>
      <c r="J52" s="44"/>
      <c r="K52" s="37"/>
      <c r="L52" s="22"/>
      <c r="M52" s="22"/>
      <c r="N52" s="22"/>
      <c r="O52" s="45"/>
      <c r="P52" s="22"/>
      <c r="Q52" s="22"/>
      <c r="R52" s="6"/>
      <c r="S52" s="6"/>
      <c r="T52" s="6"/>
    </row>
    <row r="53" spans="1:20" ht="14.25" customHeight="1" x14ac:dyDescent="0.2">
      <c r="A53" s="22"/>
      <c r="B53" s="23">
        <v>1</v>
      </c>
      <c r="C53" s="46" t="s">
        <v>114</v>
      </c>
      <c r="D53" s="25" t="s">
        <v>59</v>
      </c>
      <c r="E53" s="47">
        <v>85</v>
      </c>
      <c r="F53" s="27" t="s">
        <v>57</v>
      </c>
      <c r="G53" s="28">
        <v>61100</v>
      </c>
      <c r="H53" s="29">
        <f t="shared" si="7"/>
        <v>5193500</v>
      </c>
      <c r="I53" s="30">
        <v>3908731694</v>
      </c>
      <c r="J53" s="31">
        <f t="shared" ref="J53:J59" si="8">H53/I53*100</f>
        <v>0.13286918639036166</v>
      </c>
      <c r="K53" s="37"/>
      <c r="L53" s="22"/>
      <c r="M53" s="22"/>
      <c r="N53" s="22"/>
      <c r="O53" s="45"/>
      <c r="P53" s="22"/>
      <c r="Q53" s="22"/>
      <c r="R53" s="6"/>
      <c r="S53" s="6"/>
      <c r="T53" s="6"/>
    </row>
    <row r="54" spans="1:20" ht="14.25" customHeight="1" x14ac:dyDescent="0.2">
      <c r="A54" s="22"/>
      <c r="B54" s="23">
        <v>2</v>
      </c>
      <c r="C54" s="46" t="s">
        <v>115</v>
      </c>
      <c r="D54" s="25" t="s">
        <v>116</v>
      </c>
      <c r="E54" s="47">
        <v>100</v>
      </c>
      <c r="F54" s="27" t="s">
        <v>57</v>
      </c>
      <c r="G54" s="28">
        <v>85000</v>
      </c>
      <c r="H54" s="29">
        <f t="shared" si="7"/>
        <v>8500000</v>
      </c>
      <c r="I54" s="30">
        <v>3908731694</v>
      </c>
      <c r="J54" s="31">
        <f t="shared" si="8"/>
        <v>0.21746184351941347</v>
      </c>
      <c r="K54" s="37"/>
      <c r="L54" s="22"/>
      <c r="M54" s="22"/>
      <c r="N54" s="22"/>
      <c r="O54" s="45"/>
      <c r="P54" s="22"/>
      <c r="Q54" s="22"/>
      <c r="R54" s="6"/>
      <c r="S54" s="6"/>
      <c r="T54" s="6"/>
    </row>
    <row r="55" spans="1:20" ht="14.25" customHeight="1" x14ac:dyDescent="0.2">
      <c r="A55" s="22"/>
      <c r="B55" s="23">
        <v>3</v>
      </c>
      <c r="C55" s="46" t="s">
        <v>117</v>
      </c>
      <c r="D55" s="25"/>
      <c r="E55" s="47"/>
      <c r="F55" s="27"/>
      <c r="G55" s="28"/>
      <c r="H55" s="29">
        <f t="shared" si="7"/>
        <v>0</v>
      </c>
      <c r="I55" s="30">
        <v>3908731694</v>
      </c>
      <c r="J55" s="31">
        <f t="shared" si="8"/>
        <v>0</v>
      </c>
      <c r="K55" s="37"/>
      <c r="L55" s="22"/>
      <c r="M55" s="22"/>
      <c r="N55" s="22"/>
      <c r="O55" s="45"/>
      <c r="P55" s="22"/>
      <c r="Q55" s="22"/>
      <c r="R55" s="6"/>
      <c r="S55" s="6"/>
      <c r="T55" s="6"/>
    </row>
    <row r="56" spans="1:20" ht="14.25" customHeight="1" x14ac:dyDescent="0.2">
      <c r="A56" s="22"/>
      <c r="B56" s="50"/>
      <c r="C56" s="46" t="s">
        <v>118</v>
      </c>
      <c r="D56" s="25"/>
      <c r="E56" s="47">
        <v>1</v>
      </c>
      <c r="F56" s="27" t="s">
        <v>73</v>
      </c>
      <c r="G56" s="28">
        <v>4000000</v>
      </c>
      <c r="H56" s="29">
        <f t="shared" si="7"/>
        <v>4000000</v>
      </c>
      <c r="I56" s="30">
        <v>3908731694</v>
      </c>
      <c r="J56" s="31">
        <f t="shared" si="8"/>
        <v>0.10233498518560635</v>
      </c>
      <c r="K56" s="37"/>
      <c r="L56" s="22"/>
      <c r="M56" s="22"/>
      <c r="N56" s="22"/>
      <c r="O56" s="45"/>
      <c r="P56" s="22"/>
      <c r="Q56" s="22"/>
      <c r="R56" s="6"/>
      <c r="S56" s="6"/>
      <c r="T56" s="6"/>
    </row>
    <row r="57" spans="1:20" ht="14.25" customHeight="1" x14ac:dyDescent="0.2">
      <c r="A57" s="22"/>
      <c r="B57" s="50"/>
      <c r="C57" s="46" t="s">
        <v>119</v>
      </c>
      <c r="D57" s="25" t="s">
        <v>120</v>
      </c>
      <c r="E57" s="47">
        <v>1</v>
      </c>
      <c r="F57" s="27" t="s">
        <v>73</v>
      </c>
      <c r="G57" s="28">
        <v>30000000</v>
      </c>
      <c r="H57" s="29">
        <f t="shared" si="7"/>
        <v>30000000</v>
      </c>
      <c r="I57" s="30">
        <v>3908731694</v>
      </c>
      <c r="J57" s="31">
        <f t="shared" si="8"/>
        <v>0.76751238889204765</v>
      </c>
      <c r="K57" s="37"/>
      <c r="L57" s="22"/>
      <c r="M57" s="22"/>
      <c r="N57" s="22"/>
      <c r="O57" s="45"/>
      <c r="P57" s="22"/>
      <c r="Q57" s="22"/>
      <c r="R57" s="6"/>
      <c r="S57" s="6"/>
      <c r="T57" s="6"/>
    </row>
    <row r="58" spans="1:20" ht="14.25" customHeight="1" x14ac:dyDescent="0.2">
      <c r="A58" s="22"/>
      <c r="B58" s="50"/>
      <c r="C58" s="46" t="s">
        <v>121</v>
      </c>
      <c r="D58" s="25"/>
      <c r="E58" s="47">
        <v>1</v>
      </c>
      <c r="F58" s="27" t="s">
        <v>73</v>
      </c>
      <c r="G58" s="28">
        <v>2500000</v>
      </c>
      <c r="H58" s="29">
        <f t="shared" si="7"/>
        <v>2500000</v>
      </c>
      <c r="I58" s="30">
        <v>3908731694</v>
      </c>
      <c r="J58" s="31">
        <f t="shared" si="8"/>
        <v>6.3959365741003971E-2</v>
      </c>
      <c r="K58" s="37"/>
      <c r="L58" s="22"/>
      <c r="M58" s="22"/>
      <c r="N58" s="22"/>
      <c r="O58" s="45"/>
      <c r="P58" s="22"/>
      <c r="Q58" s="22"/>
      <c r="R58" s="6"/>
      <c r="S58" s="6"/>
      <c r="T58" s="6"/>
    </row>
    <row r="59" spans="1:20" ht="14.25" customHeight="1" x14ac:dyDescent="0.2">
      <c r="A59" s="22"/>
      <c r="B59" s="50"/>
      <c r="C59" s="46"/>
      <c r="D59" s="25"/>
      <c r="E59" s="51"/>
      <c r="F59" s="27"/>
      <c r="G59" s="28"/>
      <c r="H59" s="49">
        <f>SUM(H53:H58)</f>
        <v>50193500</v>
      </c>
      <c r="I59" s="30">
        <v>3908731694</v>
      </c>
      <c r="J59" s="43">
        <f t="shared" si="8"/>
        <v>1.2841377697284331</v>
      </c>
      <c r="K59" s="37"/>
      <c r="L59" s="22"/>
      <c r="M59" s="22"/>
      <c r="N59" s="22"/>
      <c r="O59" s="45"/>
      <c r="P59" s="22"/>
      <c r="Q59" s="22"/>
      <c r="R59" s="6"/>
      <c r="S59" s="6"/>
      <c r="T59" s="6"/>
    </row>
    <row r="60" spans="1:20" ht="14.25" customHeight="1" x14ac:dyDescent="0.2">
      <c r="A60" s="22"/>
      <c r="B60" s="50"/>
      <c r="C60" s="46"/>
      <c r="D60" s="25"/>
      <c r="E60" s="51"/>
      <c r="F60" s="27"/>
      <c r="G60" s="28"/>
      <c r="H60" s="29">
        <f>E60*G60</f>
        <v>0</v>
      </c>
      <c r="I60" s="44"/>
      <c r="J60" s="44"/>
      <c r="K60" s="37"/>
      <c r="L60" s="22"/>
      <c r="M60" s="22"/>
      <c r="N60" s="22"/>
      <c r="O60" s="45"/>
      <c r="P60" s="22"/>
      <c r="Q60" s="22"/>
      <c r="R60" s="6"/>
      <c r="S60" s="6"/>
      <c r="T60" s="6"/>
    </row>
    <row r="61" spans="1:20" ht="14.25" customHeight="1" x14ac:dyDescent="0.25">
      <c r="A61" s="22"/>
      <c r="B61" s="16" t="s">
        <v>122</v>
      </c>
      <c r="C61" s="16" t="s">
        <v>123</v>
      </c>
      <c r="D61" s="16"/>
      <c r="E61" s="51"/>
      <c r="F61" s="27"/>
      <c r="G61" s="28"/>
      <c r="H61" s="29">
        <f>E61*G61</f>
        <v>0</v>
      </c>
      <c r="I61" s="44"/>
      <c r="J61" s="44"/>
      <c r="K61" s="37"/>
      <c r="L61" s="22"/>
      <c r="M61" s="22"/>
      <c r="N61" s="22"/>
      <c r="O61" s="45"/>
      <c r="P61" s="22"/>
      <c r="Q61" s="22"/>
      <c r="R61" s="6"/>
      <c r="S61" s="6"/>
      <c r="T61" s="6"/>
    </row>
    <row r="62" spans="1:20" ht="14.25" customHeight="1" x14ac:dyDescent="0.2">
      <c r="A62" s="22"/>
      <c r="B62" s="23">
        <v>1</v>
      </c>
      <c r="C62" s="46" t="s">
        <v>124</v>
      </c>
      <c r="D62" s="25" t="s">
        <v>116</v>
      </c>
      <c r="E62" s="48">
        <v>24</v>
      </c>
      <c r="F62" s="27" t="s">
        <v>57</v>
      </c>
      <c r="G62" s="28">
        <v>75000</v>
      </c>
      <c r="H62" s="29">
        <f>E62*G62</f>
        <v>1800000</v>
      </c>
      <c r="I62" s="30">
        <v>3908731694</v>
      </c>
      <c r="J62" s="31">
        <f>H62/I62*100</f>
        <v>4.6050743333522853E-2</v>
      </c>
      <c r="K62" s="37"/>
      <c r="L62" s="22"/>
      <c r="M62" s="22"/>
      <c r="N62" s="22"/>
      <c r="O62" s="45"/>
      <c r="P62" s="22"/>
      <c r="Q62" s="22"/>
      <c r="R62" s="6"/>
      <c r="S62" s="6"/>
      <c r="T62" s="6"/>
    </row>
    <row r="63" spans="1:20" ht="14.25" customHeight="1" x14ac:dyDescent="0.2">
      <c r="A63" s="22"/>
      <c r="B63" s="23">
        <v>2</v>
      </c>
      <c r="C63" s="46" t="s">
        <v>125</v>
      </c>
      <c r="D63" s="25" t="s">
        <v>116</v>
      </c>
      <c r="E63" s="48">
        <v>169</v>
      </c>
      <c r="F63" s="27" t="s">
        <v>57</v>
      </c>
      <c r="G63" s="28">
        <v>75000</v>
      </c>
      <c r="H63" s="29">
        <f>E63*G63</f>
        <v>12675000</v>
      </c>
      <c r="I63" s="30">
        <v>3908731694</v>
      </c>
      <c r="J63" s="31">
        <f>H63/I63*100</f>
        <v>0.32427398430689014</v>
      </c>
      <c r="K63" s="37"/>
      <c r="L63" s="22"/>
      <c r="M63" s="22"/>
      <c r="N63" s="22"/>
      <c r="O63" s="45"/>
      <c r="P63" s="22"/>
      <c r="Q63" s="22"/>
      <c r="R63" s="6"/>
      <c r="S63" s="6"/>
      <c r="T63" s="6"/>
    </row>
    <row r="64" spans="1:20" ht="14.25" customHeight="1" x14ac:dyDescent="0.2">
      <c r="A64" s="22"/>
      <c r="B64" s="50"/>
      <c r="C64" s="46"/>
      <c r="D64" s="25"/>
      <c r="E64" s="51"/>
      <c r="F64" s="27"/>
      <c r="G64" s="28"/>
      <c r="H64" s="49">
        <f>SUM(H62:H63)</f>
        <v>14475000</v>
      </c>
      <c r="I64" s="30">
        <v>3908731694</v>
      </c>
      <c r="J64" s="43">
        <f>H64/I64*100</f>
        <v>0.37032472764041297</v>
      </c>
      <c r="K64" s="37"/>
      <c r="L64" s="22"/>
      <c r="M64" s="22"/>
      <c r="N64" s="22"/>
      <c r="O64" s="45"/>
      <c r="P64" s="22"/>
      <c r="Q64" s="22"/>
      <c r="R64" s="6"/>
      <c r="S64" s="6"/>
      <c r="T64" s="6"/>
    </row>
    <row r="65" spans="1:20" ht="14.25" customHeight="1" x14ac:dyDescent="0.2">
      <c r="A65" s="22"/>
      <c r="B65" s="50"/>
      <c r="C65" s="46"/>
      <c r="D65" s="25"/>
      <c r="E65" s="51"/>
      <c r="F65" s="27"/>
      <c r="G65" s="28"/>
      <c r="H65" s="29"/>
      <c r="I65" s="44"/>
      <c r="J65" s="44"/>
      <c r="K65" s="37"/>
      <c r="L65" s="22"/>
      <c r="M65" s="22"/>
      <c r="N65" s="22"/>
      <c r="O65" s="45"/>
      <c r="P65" s="22"/>
      <c r="Q65" s="22"/>
      <c r="R65" s="6"/>
      <c r="S65" s="6"/>
      <c r="T65" s="6"/>
    </row>
    <row r="66" spans="1:20" ht="14.25" customHeight="1" x14ac:dyDescent="0.25">
      <c r="A66" s="22"/>
      <c r="B66" s="16" t="s">
        <v>126</v>
      </c>
      <c r="C66" s="16" t="s">
        <v>127</v>
      </c>
      <c r="D66" s="16"/>
      <c r="E66" s="51"/>
      <c r="F66" s="27"/>
      <c r="G66" s="28"/>
      <c r="H66" s="29"/>
      <c r="I66" s="44"/>
      <c r="J66" s="44"/>
      <c r="K66" s="37"/>
      <c r="L66" s="22"/>
      <c r="M66" s="22"/>
      <c r="N66" s="22"/>
      <c r="O66" s="45"/>
      <c r="P66" s="22"/>
      <c r="Q66" s="22"/>
      <c r="R66" s="6"/>
      <c r="S66" s="6"/>
      <c r="T66" s="6"/>
    </row>
    <row r="67" spans="1:20" ht="14.25" customHeight="1" x14ac:dyDescent="0.2">
      <c r="A67" s="22"/>
      <c r="B67" s="23">
        <v>1</v>
      </c>
      <c r="C67" s="46" t="s">
        <v>128</v>
      </c>
      <c r="D67" s="25" t="s">
        <v>129</v>
      </c>
      <c r="E67" s="47">
        <v>320</v>
      </c>
      <c r="F67" s="27" t="s">
        <v>111</v>
      </c>
      <c r="G67" s="28">
        <v>100000</v>
      </c>
      <c r="H67" s="29">
        <f>E67*G67</f>
        <v>32000000</v>
      </c>
      <c r="I67" s="30">
        <v>3908731694</v>
      </c>
      <c r="J67" s="31">
        <f t="shared" ref="J67:J72" si="9">H67/I67*100</f>
        <v>0.81867988148485082</v>
      </c>
      <c r="K67" s="37"/>
      <c r="L67" s="22"/>
      <c r="M67" s="22"/>
      <c r="N67" s="22"/>
      <c r="O67" s="45"/>
      <c r="P67" s="22"/>
      <c r="Q67" s="22"/>
      <c r="R67" s="6"/>
      <c r="S67" s="6"/>
      <c r="T67" s="6"/>
    </row>
    <row r="68" spans="1:20" ht="14.25" customHeight="1" x14ac:dyDescent="0.2">
      <c r="A68" s="22"/>
      <c r="B68" s="23">
        <v>2</v>
      </c>
      <c r="C68" s="46" t="s">
        <v>130</v>
      </c>
      <c r="D68" s="25" t="s">
        <v>131</v>
      </c>
      <c r="E68" s="52">
        <v>150</v>
      </c>
      <c r="F68" s="27" t="s">
        <v>111</v>
      </c>
      <c r="G68" s="28">
        <v>35100</v>
      </c>
      <c r="H68" s="29">
        <f>E68*G68</f>
        <v>5265000</v>
      </c>
      <c r="I68" s="30">
        <v>3908731694</v>
      </c>
      <c r="J68" s="31">
        <f t="shared" si="9"/>
        <v>0.13469842425055434</v>
      </c>
      <c r="K68" s="37"/>
      <c r="L68" s="22"/>
      <c r="M68" s="22"/>
      <c r="N68" s="22"/>
      <c r="O68" s="45"/>
      <c r="P68" s="22"/>
      <c r="Q68" s="22"/>
      <c r="R68" s="6"/>
      <c r="S68" s="6"/>
      <c r="T68" s="6"/>
    </row>
    <row r="69" spans="1:20" ht="14.25" customHeight="1" x14ac:dyDescent="0.2">
      <c r="A69" s="22"/>
      <c r="B69" s="23">
        <v>3</v>
      </c>
      <c r="C69" s="46" t="s">
        <v>132</v>
      </c>
      <c r="D69" s="25" t="s">
        <v>133</v>
      </c>
      <c r="E69" s="47">
        <v>1</v>
      </c>
      <c r="F69" s="27" t="s">
        <v>73</v>
      </c>
      <c r="G69" s="28">
        <v>1500000</v>
      </c>
      <c r="H69" s="29">
        <f>E69*G69</f>
        <v>1500000</v>
      </c>
      <c r="I69" s="30">
        <v>3908731694</v>
      </c>
      <c r="J69" s="31">
        <f t="shared" si="9"/>
        <v>3.8375619444602382E-2</v>
      </c>
      <c r="K69" s="37"/>
      <c r="L69" s="22"/>
      <c r="M69" s="22"/>
      <c r="N69" s="22"/>
      <c r="O69" s="45"/>
      <c r="P69" s="22"/>
      <c r="Q69" s="22"/>
      <c r="R69" s="6"/>
      <c r="S69" s="6"/>
      <c r="T69" s="6"/>
    </row>
    <row r="70" spans="1:20" ht="14.25" customHeight="1" x14ac:dyDescent="0.2">
      <c r="A70" s="22"/>
      <c r="B70" s="23">
        <v>4</v>
      </c>
      <c r="C70" s="46" t="s">
        <v>134</v>
      </c>
      <c r="D70" s="25"/>
      <c r="E70" s="47">
        <v>20</v>
      </c>
      <c r="F70" s="27" t="s">
        <v>135</v>
      </c>
      <c r="G70" s="28">
        <v>57500</v>
      </c>
      <c r="H70" s="29">
        <f>E70*G70</f>
        <v>1150000</v>
      </c>
      <c r="I70" s="30">
        <v>3908731694</v>
      </c>
      <c r="J70" s="31">
        <f t="shared" si="9"/>
        <v>2.9421308240861827E-2</v>
      </c>
      <c r="K70" s="37"/>
      <c r="L70" s="22"/>
      <c r="M70" s="22"/>
      <c r="N70" s="22"/>
      <c r="O70" s="45"/>
      <c r="P70" s="22"/>
      <c r="Q70" s="22"/>
      <c r="R70" s="6"/>
      <c r="S70" s="6"/>
      <c r="T70" s="6"/>
    </row>
    <row r="71" spans="1:20" ht="14.25" customHeight="1" x14ac:dyDescent="0.2">
      <c r="A71" s="22"/>
      <c r="B71" s="23">
        <v>5</v>
      </c>
      <c r="C71" s="46" t="s">
        <v>136</v>
      </c>
      <c r="D71" s="25" t="s">
        <v>137</v>
      </c>
      <c r="E71" s="47">
        <v>1</v>
      </c>
      <c r="F71" s="27" t="s">
        <v>73</v>
      </c>
      <c r="G71" s="28">
        <v>250000</v>
      </c>
      <c r="H71" s="29">
        <f>E71*G71</f>
        <v>250000</v>
      </c>
      <c r="I71" s="30">
        <v>3908731694</v>
      </c>
      <c r="J71" s="31">
        <f t="shared" si="9"/>
        <v>6.3959365741003971E-3</v>
      </c>
      <c r="K71" s="37"/>
      <c r="L71" s="22"/>
      <c r="M71" s="22"/>
      <c r="N71" s="22"/>
      <c r="O71" s="45"/>
      <c r="P71" s="22"/>
      <c r="Q71" s="22"/>
      <c r="R71" s="6"/>
      <c r="S71" s="6"/>
      <c r="T71" s="6"/>
    </row>
    <row r="72" spans="1:20" ht="14.25" customHeight="1" x14ac:dyDescent="0.2">
      <c r="A72" s="22"/>
      <c r="B72" s="50"/>
      <c r="C72" s="46"/>
      <c r="D72" s="25"/>
      <c r="E72" s="51"/>
      <c r="F72" s="27"/>
      <c r="G72" s="28"/>
      <c r="H72" s="49">
        <f>SUM(H67:H71)</f>
        <v>40165000</v>
      </c>
      <c r="I72" s="30">
        <v>3908731694</v>
      </c>
      <c r="J72" s="43">
        <f t="shared" si="9"/>
        <v>1.0275711699949697</v>
      </c>
      <c r="K72" s="37"/>
      <c r="L72" s="22"/>
      <c r="M72" s="22"/>
      <c r="N72" s="22"/>
      <c r="O72" s="45"/>
      <c r="P72" s="22"/>
      <c r="Q72" s="22"/>
      <c r="R72" s="6"/>
      <c r="S72" s="6"/>
      <c r="T72" s="6"/>
    </row>
    <row r="73" spans="1:20" ht="14.25" customHeight="1" x14ac:dyDescent="0.2">
      <c r="A73" s="22"/>
      <c r="B73" s="50"/>
      <c r="C73" s="46"/>
      <c r="D73" s="25"/>
      <c r="E73" s="51"/>
      <c r="F73" s="27"/>
      <c r="G73" s="28"/>
      <c r="H73" s="29">
        <f t="shared" ref="H73:H81" si="10">E73*G73</f>
        <v>0</v>
      </c>
      <c r="I73" s="44"/>
      <c r="J73" s="44"/>
      <c r="K73" s="37"/>
      <c r="L73" s="22"/>
      <c r="M73" s="22"/>
      <c r="N73" s="22"/>
      <c r="O73" s="45"/>
      <c r="P73" s="22"/>
      <c r="Q73" s="22"/>
      <c r="R73" s="6"/>
      <c r="S73" s="6"/>
      <c r="T73" s="6"/>
    </row>
    <row r="74" spans="1:20" ht="14.25" customHeight="1" x14ac:dyDescent="0.25">
      <c r="A74" s="22"/>
      <c r="B74" s="16" t="s">
        <v>138</v>
      </c>
      <c r="C74" s="16" t="s">
        <v>139</v>
      </c>
      <c r="D74" s="16"/>
      <c r="E74" s="51"/>
      <c r="F74" s="27"/>
      <c r="G74" s="28"/>
      <c r="H74" s="29">
        <f t="shared" si="10"/>
        <v>0</v>
      </c>
      <c r="I74" s="44"/>
      <c r="J74" s="44"/>
      <c r="K74" s="37"/>
      <c r="L74" s="22"/>
      <c r="M74" s="22"/>
      <c r="N74" s="22"/>
      <c r="O74" s="45"/>
      <c r="P74" s="22"/>
      <c r="Q74" s="22"/>
      <c r="R74" s="6"/>
      <c r="S74" s="6"/>
      <c r="T74" s="6"/>
    </row>
    <row r="75" spans="1:20" ht="14.25" customHeight="1" x14ac:dyDescent="0.2">
      <c r="A75" s="22"/>
      <c r="B75" s="23"/>
      <c r="C75" s="46" t="s">
        <v>140</v>
      </c>
      <c r="D75" s="25" t="s">
        <v>141</v>
      </c>
      <c r="E75" s="52"/>
      <c r="F75" s="27"/>
      <c r="G75" s="28"/>
      <c r="H75" s="29">
        <f t="shared" si="10"/>
        <v>0</v>
      </c>
      <c r="I75" s="44"/>
      <c r="J75" s="44"/>
      <c r="K75" s="37"/>
      <c r="L75" s="22"/>
      <c r="M75" s="22"/>
      <c r="N75" s="22"/>
      <c r="O75" s="45"/>
      <c r="P75" s="22"/>
      <c r="Q75" s="22"/>
      <c r="R75" s="6"/>
      <c r="S75" s="6"/>
      <c r="T75" s="6"/>
    </row>
    <row r="76" spans="1:20" ht="14.25" customHeight="1" x14ac:dyDescent="0.2">
      <c r="A76" s="22"/>
      <c r="B76" s="23"/>
      <c r="C76" s="46" t="s">
        <v>142</v>
      </c>
      <c r="D76" s="25" t="s">
        <v>143</v>
      </c>
      <c r="E76" s="51"/>
      <c r="F76" s="27"/>
      <c r="G76" s="28"/>
      <c r="H76" s="29">
        <f t="shared" si="10"/>
        <v>0</v>
      </c>
      <c r="I76" s="44"/>
      <c r="J76" s="44"/>
      <c r="K76" s="37"/>
      <c r="L76" s="22"/>
      <c r="M76" s="22"/>
      <c r="N76" s="22"/>
      <c r="O76" s="45"/>
      <c r="P76" s="22"/>
      <c r="Q76" s="22"/>
      <c r="R76" s="6"/>
      <c r="S76" s="6"/>
      <c r="T76" s="6"/>
    </row>
    <row r="77" spans="1:20" ht="14.25" customHeight="1" x14ac:dyDescent="0.2">
      <c r="A77" s="22"/>
      <c r="B77" s="50">
        <v>1</v>
      </c>
      <c r="C77" s="46" t="s">
        <v>144</v>
      </c>
      <c r="D77" s="25" t="s">
        <v>145</v>
      </c>
      <c r="E77" s="48">
        <f>E79-E78</f>
        <v>3281</v>
      </c>
      <c r="F77" s="27" t="s">
        <v>57</v>
      </c>
      <c r="G77" s="28">
        <v>40000</v>
      </c>
      <c r="H77" s="29">
        <f t="shared" si="10"/>
        <v>131240000</v>
      </c>
      <c r="I77" s="30">
        <v>3908731694</v>
      </c>
      <c r="J77" s="31">
        <f t="shared" ref="J77:J82" si="11">H77/I77*100</f>
        <v>3.3576108639397444</v>
      </c>
      <c r="K77" s="37"/>
      <c r="L77" s="22"/>
      <c r="M77" s="37" t="s">
        <v>146</v>
      </c>
      <c r="N77" s="37"/>
      <c r="O77" s="22"/>
      <c r="P77" s="22"/>
      <c r="Q77" s="22"/>
      <c r="R77" s="6"/>
      <c r="S77" s="6"/>
      <c r="T77" s="6"/>
    </row>
    <row r="78" spans="1:20" ht="14.25" customHeight="1" x14ac:dyDescent="0.2">
      <c r="A78" s="22"/>
      <c r="B78" s="50">
        <v>2</v>
      </c>
      <c r="C78" s="46" t="s">
        <v>147</v>
      </c>
      <c r="D78" s="25" t="s">
        <v>148</v>
      </c>
      <c r="E78" s="48">
        <v>490</v>
      </c>
      <c r="F78" s="27" t="s">
        <v>57</v>
      </c>
      <c r="G78" s="28">
        <v>155000</v>
      </c>
      <c r="H78" s="29">
        <f t="shared" si="10"/>
        <v>75950000</v>
      </c>
      <c r="I78" s="30">
        <v>3908731694</v>
      </c>
      <c r="J78" s="31">
        <f t="shared" si="11"/>
        <v>1.9430855312117006</v>
      </c>
      <c r="K78" s="37"/>
      <c r="L78" s="22"/>
      <c r="M78" s="37" t="s">
        <v>146</v>
      </c>
      <c r="N78" s="37"/>
      <c r="O78" s="22"/>
      <c r="P78" s="22"/>
      <c r="Q78" s="22"/>
      <c r="R78" s="6"/>
      <c r="S78" s="6"/>
      <c r="T78" s="6"/>
    </row>
    <row r="79" spans="1:20" ht="14.25" customHeight="1" x14ac:dyDescent="0.2">
      <c r="A79" s="22"/>
      <c r="B79" s="50">
        <v>3</v>
      </c>
      <c r="C79" s="46" t="s">
        <v>149</v>
      </c>
      <c r="D79" s="25"/>
      <c r="E79" s="48">
        <v>3771</v>
      </c>
      <c r="F79" s="27" t="s">
        <v>57</v>
      </c>
      <c r="G79" s="28">
        <v>35000</v>
      </c>
      <c r="H79" s="29">
        <f t="shared" si="10"/>
        <v>131985000</v>
      </c>
      <c r="I79" s="30">
        <v>3908731694</v>
      </c>
      <c r="J79" s="31">
        <f t="shared" si="11"/>
        <v>3.3766707549305637</v>
      </c>
      <c r="K79" s="37"/>
      <c r="L79" s="22"/>
      <c r="M79" s="37" t="s">
        <v>150</v>
      </c>
      <c r="N79" s="37"/>
      <c r="O79" s="22"/>
      <c r="P79" s="22"/>
      <c r="Q79" s="22"/>
      <c r="R79" s="6"/>
      <c r="S79" s="6"/>
      <c r="T79" s="6"/>
    </row>
    <row r="80" spans="1:20" ht="14.25" customHeight="1" x14ac:dyDescent="0.2">
      <c r="A80" s="22"/>
      <c r="B80" s="50">
        <v>4</v>
      </c>
      <c r="C80" s="46" t="s">
        <v>151</v>
      </c>
      <c r="D80" s="25" t="s">
        <v>152</v>
      </c>
      <c r="E80" s="48">
        <f>190/0.3*20*2/12*12.5*1.1</f>
        <v>29027.777777777781</v>
      </c>
      <c r="F80" s="27" t="s">
        <v>153</v>
      </c>
      <c r="G80" s="28">
        <v>20500</v>
      </c>
      <c r="H80" s="29">
        <f t="shared" si="10"/>
        <v>595069444.44444454</v>
      </c>
      <c r="I80" s="30">
        <v>3908731694</v>
      </c>
      <c r="J80" s="31">
        <f t="shared" si="11"/>
        <v>15.224105695407308</v>
      </c>
      <c r="K80" s="37"/>
      <c r="L80" s="22"/>
      <c r="M80" s="37" t="s">
        <v>154</v>
      </c>
      <c r="N80" s="37"/>
      <c r="O80" s="22"/>
      <c r="P80" s="22"/>
      <c r="Q80" s="22"/>
      <c r="R80" s="6"/>
      <c r="S80" s="6"/>
      <c r="T80" s="6"/>
    </row>
    <row r="81" spans="1:20" ht="14.25" customHeight="1" x14ac:dyDescent="0.2">
      <c r="A81" s="22"/>
      <c r="B81" s="50">
        <v>5</v>
      </c>
      <c r="C81" s="46" t="s">
        <v>155</v>
      </c>
      <c r="D81" s="25" t="s">
        <v>156</v>
      </c>
      <c r="E81" s="48">
        <f>(E77+E78)*0.135</f>
        <v>509.08500000000004</v>
      </c>
      <c r="F81" s="27" t="s">
        <v>157</v>
      </c>
      <c r="G81" s="28">
        <v>1450000</v>
      </c>
      <c r="H81" s="29">
        <f t="shared" si="10"/>
        <v>738173250</v>
      </c>
      <c r="I81" s="30">
        <v>3908731694</v>
      </c>
      <c r="J81" s="31">
        <f t="shared" si="11"/>
        <v>18.885237150790225</v>
      </c>
      <c r="K81" s="37"/>
      <c r="L81" s="22"/>
      <c r="M81" s="22"/>
      <c r="N81" s="22"/>
      <c r="O81" s="45"/>
      <c r="P81" s="22"/>
      <c r="Q81" s="22"/>
      <c r="R81" s="6"/>
      <c r="S81" s="6"/>
      <c r="T81" s="6"/>
    </row>
    <row r="82" spans="1:20" ht="14.25" customHeight="1" x14ac:dyDescent="0.2">
      <c r="A82" s="22"/>
      <c r="B82" s="50"/>
      <c r="C82" s="46"/>
      <c r="D82" s="25"/>
      <c r="E82" s="51"/>
      <c r="F82" s="27"/>
      <c r="G82" s="28"/>
      <c r="H82" s="49">
        <f>SUM(H77:H81)</f>
        <v>1672417694.4444447</v>
      </c>
      <c r="I82" s="30">
        <v>3908731694</v>
      </c>
      <c r="J82" s="43">
        <f t="shared" si="11"/>
        <v>42.786709996279541</v>
      </c>
      <c r="K82" s="37"/>
      <c r="L82" s="22"/>
      <c r="M82" s="22"/>
      <c r="N82" s="22"/>
      <c r="O82" s="45"/>
      <c r="P82" s="22"/>
      <c r="Q82" s="22"/>
      <c r="R82" s="6"/>
      <c r="S82" s="6"/>
      <c r="T82" s="6"/>
    </row>
    <row r="83" spans="1:20" ht="14.25" customHeight="1" x14ac:dyDescent="0.2">
      <c r="A83" s="22"/>
      <c r="B83" s="50"/>
      <c r="C83" s="46"/>
      <c r="D83" s="25"/>
      <c r="E83" s="51"/>
      <c r="F83" s="27"/>
      <c r="G83" s="28"/>
      <c r="H83" s="29">
        <f>E83*G83</f>
        <v>0</v>
      </c>
      <c r="I83" s="44"/>
      <c r="J83" s="44"/>
      <c r="K83" s="37"/>
      <c r="L83" s="22"/>
      <c r="M83" s="22"/>
      <c r="N83" s="22"/>
      <c r="O83" s="45"/>
      <c r="P83" s="22"/>
      <c r="Q83" s="22"/>
      <c r="R83" s="6"/>
      <c r="S83" s="6"/>
      <c r="T83" s="6"/>
    </row>
    <row r="84" spans="1:20" ht="14.25" customHeight="1" x14ac:dyDescent="0.25">
      <c r="A84" s="22"/>
      <c r="B84" s="16" t="s">
        <v>158</v>
      </c>
      <c r="C84" s="16" t="s">
        <v>159</v>
      </c>
      <c r="D84" s="16"/>
      <c r="E84" s="51"/>
      <c r="F84" s="27"/>
      <c r="G84" s="28"/>
      <c r="H84" s="29">
        <f>E84*G84</f>
        <v>0</v>
      </c>
      <c r="I84" s="44"/>
      <c r="J84" s="44"/>
      <c r="K84" s="37"/>
      <c r="L84" s="22"/>
      <c r="M84" s="22"/>
      <c r="N84" s="22"/>
      <c r="O84" s="45"/>
      <c r="P84" s="22"/>
      <c r="Q84" s="22"/>
      <c r="R84" s="6"/>
      <c r="S84" s="6"/>
      <c r="T84" s="6"/>
    </row>
    <row r="85" spans="1:20" ht="14.25" customHeight="1" x14ac:dyDescent="0.2">
      <c r="A85" s="22"/>
      <c r="B85" s="23">
        <v>1</v>
      </c>
      <c r="C85" s="46" t="s">
        <v>160</v>
      </c>
      <c r="D85" s="25" t="s">
        <v>161</v>
      </c>
      <c r="E85" s="47">
        <v>734.4</v>
      </c>
      <c r="F85" s="27" t="s">
        <v>57</v>
      </c>
      <c r="G85" s="28">
        <v>57500</v>
      </c>
      <c r="H85" s="29">
        <f>E85*G85</f>
        <v>42228000</v>
      </c>
      <c r="I85" s="30">
        <v>3908731694</v>
      </c>
      <c r="J85" s="31">
        <f>H85/I85*100</f>
        <v>1.0803504386044462</v>
      </c>
      <c r="K85" s="37"/>
      <c r="L85" s="22"/>
      <c r="M85" s="22">
        <v>734.4</v>
      </c>
      <c r="N85" s="22"/>
      <c r="O85" s="45"/>
      <c r="P85" s="22"/>
      <c r="Q85" s="22"/>
      <c r="R85" s="6"/>
      <c r="S85" s="6"/>
      <c r="T85" s="6"/>
    </row>
    <row r="86" spans="1:20" ht="14.25" customHeight="1" x14ac:dyDescent="0.2">
      <c r="A86" s="22"/>
      <c r="B86" s="23">
        <v>2</v>
      </c>
      <c r="C86" s="46" t="s">
        <v>162</v>
      </c>
      <c r="D86" s="25" t="s">
        <v>161</v>
      </c>
      <c r="E86" s="47">
        <v>516</v>
      </c>
      <c r="F86" s="27" t="s">
        <v>57</v>
      </c>
      <c r="G86" s="28">
        <v>57500</v>
      </c>
      <c r="H86" s="29">
        <f>E86*G86</f>
        <v>29670000</v>
      </c>
      <c r="I86" s="30">
        <v>3908731694</v>
      </c>
      <c r="J86" s="31">
        <f>H86/I86*100</f>
        <v>0.75906975261423504</v>
      </c>
      <c r="K86" s="37"/>
      <c r="L86" s="22"/>
      <c r="M86" s="22"/>
      <c r="N86" s="22"/>
      <c r="O86" s="45"/>
      <c r="P86" s="22"/>
      <c r="Q86" s="22"/>
      <c r="R86" s="6"/>
      <c r="S86" s="6"/>
      <c r="T86" s="6"/>
    </row>
    <row r="87" spans="1:20" ht="14.25" customHeight="1" x14ac:dyDescent="0.2">
      <c r="A87" s="22"/>
      <c r="B87" s="50"/>
      <c r="C87" s="46"/>
      <c r="D87" s="25"/>
      <c r="E87" s="51"/>
      <c r="F87" s="27"/>
      <c r="G87" s="28"/>
      <c r="H87" s="49">
        <f>SUM(H85:H86)</f>
        <v>71898000</v>
      </c>
      <c r="I87" s="30">
        <v>3908731694</v>
      </c>
      <c r="J87" s="43">
        <f>H87/I87*100</f>
        <v>1.8394201912186812</v>
      </c>
      <c r="K87" s="37"/>
      <c r="L87" s="22"/>
      <c r="M87" s="22"/>
      <c r="N87" s="22"/>
      <c r="O87" s="45"/>
      <c r="P87" s="22"/>
      <c r="Q87" s="22"/>
      <c r="R87" s="6"/>
      <c r="S87" s="6"/>
      <c r="T87" s="6"/>
    </row>
    <row r="88" spans="1:20" ht="14.25" customHeight="1" x14ac:dyDescent="0.2">
      <c r="A88" s="22"/>
      <c r="B88" s="50"/>
      <c r="C88" s="46"/>
      <c r="D88" s="25"/>
      <c r="E88" s="51"/>
      <c r="F88" s="27"/>
      <c r="G88" s="28"/>
      <c r="H88" s="29">
        <f>E88*G88</f>
        <v>0</v>
      </c>
      <c r="I88" s="44"/>
      <c r="J88" s="44"/>
      <c r="K88" s="37"/>
      <c r="L88" s="22"/>
      <c r="M88" s="22"/>
      <c r="N88" s="22"/>
      <c r="O88" s="45"/>
      <c r="P88" s="22"/>
      <c r="Q88" s="22"/>
      <c r="R88" s="6"/>
      <c r="S88" s="6"/>
      <c r="T88" s="6"/>
    </row>
    <row r="89" spans="1:20" ht="35.25" customHeight="1" x14ac:dyDescent="0.25">
      <c r="A89" s="22"/>
      <c r="B89" s="16" t="s">
        <v>163</v>
      </c>
      <c r="C89" s="286" t="s">
        <v>164</v>
      </c>
      <c r="D89" s="286"/>
      <c r="E89" s="286"/>
      <c r="F89" s="286"/>
      <c r="G89" s="286"/>
      <c r="H89" s="29">
        <f>E89*G89</f>
        <v>0</v>
      </c>
      <c r="I89" s="44"/>
      <c r="J89" s="44"/>
      <c r="K89" s="37"/>
      <c r="L89" s="22"/>
      <c r="M89" s="22"/>
      <c r="N89" s="22"/>
      <c r="O89" s="45"/>
      <c r="P89" s="22"/>
      <c r="Q89" s="22"/>
      <c r="R89" s="6"/>
      <c r="S89" s="6"/>
      <c r="T89" s="6"/>
    </row>
    <row r="90" spans="1:20" ht="14.25" customHeight="1" x14ac:dyDescent="0.2">
      <c r="A90" s="22"/>
      <c r="B90" s="23"/>
      <c r="C90" s="46"/>
      <c r="D90" s="25"/>
      <c r="E90" s="48"/>
      <c r="F90" s="27"/>
      <c r="G90" s="28"/>
      <c r="H90" s="29"/>
      <c r="I90" s="44"/>
      <c r="J90" s="44"/>
      <c r="K90" s="37"/>
      <c r="L90" s="22"/>
      <c r="M90" s="22"/>
      <c r="N90" s="22"/>
      <c r="O90" s="45"/>
      <c r="P90" s="22"/>
      <c r="Q90" s="22"/>
      <c r="R90" s="6"/>
      <c r="S90" s="6"/>
      <c r="T90" s="6"/>
    </row>
    <row r="91" spans="1:20" ht="14.25" customHeight="1" x14ac:dyDescent="0.2">
      <c r="A91" s="22"/>
      <c r="B91" s="23">
        <v>2</v>
      </c>
      <c r="C91" s="46" t="s">
        <v>165</v>
      </c>
      <c r="D91" s="25" t="s">
        <v>166</v>
      </c>
      <c r="E91" s="47">
        <v>94.875</v>
      </c>
      <c r="F91" s="27" t="s">
        <v>135</v>
      </c>
      <c r="G91" s="53">
        <v>380000</v>
      </c>
      <c r="H91" s="29">
        <f t="shared" ref="H91:H105" si="12">E91*G91</f>
        <v>36052500</v>
      </c>
      <c r="I91" s="30">
        <v>3908731694</v>
      </c>
      <c r="J91" s="31">
        <f t="shared" ref="J91:J106" si="13">H91/I91*100</f>
        <v>0.92235801335101819</v>
      </c>
      <c r="K91" s="37"/>
      <c r="L91" s="22"/>
      <c r="M91" s="22"/>
      <c r="N91" s="22"/>
      <c r="O91" s="45"/>
      <c r="P91" s="22"/>
      <c r="Q91" s="22"/>
      <c r="R91" s="6"/>
      <c r="S91" s="6"/>
      <c r="T91" s="6"/>
    </row>
    <row r="92" spans="1:20" ht="14.25" customHeight="1" x14ac:dyDescent="0.2">
      <c r="A92" s="22"/>
      <c r="B92" s="23">
        <v>3</v>
      </c>
      <c r="C92" s="46" t="s">
        <v>167</v>
      </c>
      <c r="D92" s="25" t="s">
        <v>168</v>
      </c>
      <c r="E92" s="47">
        <v>88</v>
      </c>
      <c r="F92" s="27" t="s">
        <v>57</v>
      </c>
      <c r="G92" s="28">
        <v>221000</v>
      </c>
      <c r="H92" s="29">
        <f t="shared" si="12"/>
        <v>19448000</v>
      </c>
      <c r="I92" s="30">
        <v>3908731694</v>
      </c>
      <c r="J92" s="31">
        <f t="shared" si="13"/>
        <v>0.49755269797241802</v>
      </c>
      <c r="K92" s="37"/>
      <c r="L92" s="22"/>
      <c r="M92" s="22"/>
      <c r="N92" s="22"/>
      <c r="O92" s="45"/>
      <c r="P92" s="22"/>
      <c r="Q92" s="22"/>
      <c r="R92" s="6"/>
      <c r="S92" s="6"/>
      <c r="T92" s="6"/>
    </row>
    <row r="93" spans="1:20" ht="14.25" customHeight="1" x14ac:dyDescent="0.2">
      <c r="A93" s="22"/>
      <c r="B93" s="23">
        <v>4</v>
      </c>
      <c r="C93" s="46" t="s">
        <v>169</v>
      </c>
      <c r="D93" s="25" t="s">
        <v>170</v>
      </c>
      <c r="E93" s="47">
        <v>118.4</v>
      </c>
      <c r="F93" s="27" t="s">
        <v>57</v>
      </c>
      <c r="G93" s="28">
        <v>57500</v>
      </c>
      <c r="H93" s="29">
        <f t="shared" si="12"/>
        <v>6808000</v>
      </c>
      <c r="I93" s="30">
        <v>3908731694</v>
      </c>
      <c r="J93" s="31">
        <f t="shared" si="13"/>
        <v>0.17417414478590201</v>
      </c>
      <c r="K93" s="37"/>
      <c r="L93" s="22"/>
      <c r="M93" s="22"/>
      <c r="N93" s="22"/>
      <c r="O93" s="45"/>
      <c r="P93" s="22"/>
      <c r="Q93" s="22"/>
      <c r="R93" s="6"/>
      <c r="S93" s="6"/>
      <c r="T93" s="6"/>
    </row>
    <row r="94" spans="1:20" ht="14.25" customHeight="1" x14ac:dyDescent="0.2">
      <c r="A94" s="22"/>
      <c r="B94" s="23">
        <v>5</v>
      </c>
      <c r="C94" s="46" t="s">
        <v>171</v>
      </c>
      <c r="D94" s="25" t="s">
        <v>172</v>
      </c>
      <c r="E94" s="47">
        <v>3</v>
      </c>
      <c r="F94" s="27" t="s">
        <v>73</v>
      </c>
      <c r="G94" s="28">
        <v>1300000</v>
      </c>
      <c r="H94" s="29">
        <f t="shared" si="12"/>
        <v>3900000</v>
      </c>
      <c r="I94" s="30">
        <v>3908731694</v>
      </c>
      <c r="J94" s="31">
        <f t="shared" si="13"/>
        <v>9.9776610555966191E-2</v>
      </c>
      <c r="K94" s="37"/>
      <c r="L94" s="22"/>
      <c r="M94" s="22"/>
      <c r="N94" s="22"/>
      <c r="O94" s="45"/>
      <c r="P94" s="22"/>
      <c r="Q94" s="22"/>
      <c r="R94" s="6"/>
      <c r="S94" s="6"/>
      <c r="T94" s="6"/>
    </row>
    <row r="95" spans="1:20" ht="14.25" customHeight="1" x14ac:dyDescent="0.2">
      <c r="A95" s="22"/>
      <c r="B95" s="23">
        <v>6</v>
      </c>
      <c r="C95" s="46" t="s">
        <v>173</v>
      </c>
      <c r="D95" s="25" t="s">
        <v>174</v>
      </c>
      <c r="E95" s="47">
        <v>12</v>
      </c>
      <c r="F95" s="27" t="s">
        <v>57</v>
      </c>
      <c r="G95" s="28">
        <v>200000</v>
      </c>
      <c r="H95" s="29">
        <f t="shared" si="12"/>
        <v>2400000</v>
      </c>
      <c r="I95" s="30">
        <v>3908731694</v>
      </c>
      <c r="J95" s="31">
        <f t="shared" si="13"/>
        <v>6.1400991111363809E-2</v>
      </c>
      <c r="K95" s="37"/>
      <c r="L95" s="22"/>
      <c r="M95" s="22"/>
      <c r="N95" s="22"/>
      <c r="O95" s="45"/>
      <c r="P95" s="22"/>
      <c r="Q95" s="22"/>
      <c r="R95" s="6"/>
      <c r="S95" s="6"/>
      <c r="T95" s="6"/>
    </row>
    <row r="96" spans="1:20" ht="14.25" customHeight="1" x14ac:dyDescent="0.2">
      <c r="A96" s="22"/>
      <c r="B96" s="23">
        <v>7</v>
      </c>
      <c r="C96" s="46" t="s">
        <v>175</v>
      </c>
      <c r="D96" s="25" t="s">
        <v>176</v>
      </c>
      <c r="E96" s="47">
        <v>6</v>
      </c>
      <c r="F96" s="27" t="s">
        <v>135</v>
      </c>
      <c r="G96" s="53">
        <v>450000</v>
      </c>
      <c r="H96" s="29">
        <f t="shared" si="12"/>
        <v>2700000</v>
      </c>
      <c r="I96" s="30">
        <v>3908731694</v>
      </c>
      <c r="J96" s="31">
        <f t="shared" si="13"/>
        <v>6.907611500028428E-2</v>
      </c>
      <c r="K96" s="37"/>
      <c r="L96" s="22"/>
      <c r="M96" s="22"/>
      <c r="N96" s="22"/>
      <c r="O96" s="45"/>
      <c r="P96" s="22"/>
      <c r="Q96" s="22"/>
      <c r="R96" s="6"/>
      <c r="S96" s="6"/>
      <c r="T96" s="6"/>
    </row>
    <row r="97" spans="1:20" ht="14.25" customHeight="1" x14ac:dyDescent="0.2">
      <c r="A97" s="22"/>
      <c r="B97" s="23">
        <v>8</v>
      </c>
      <c r="C97" s="46" t="s">
        <v>177</v>
      </c>
      <c r="D97" s="25" t="s">
        <v>178</v>
      </c>
      <c r="E97" s="47">
        <v>1</v>
      </c>
      <c r="F97" s="27" t="s">
        <v>73</v>
      </c>
      <c r="G97" s="53">
        <v>200000</v>
      </c>
      <c r="H97" s="29">
        <f t="shared" si="12"/>
        <v>200000</v>
      </c>
      <c r="I97" s="30">
        <v>3908731694</v>
      </c>
      <c r="J97" s="31">
        <f t="shared" si="13"/>
        <v>5.116749259280318E-3</v>
      </c>
      <c r="K97" s="37"/>
      <c r="L97" s="22"/>
      <c r="M97" s="22"/>
      <c r="N97" s="22"/>
      <c r="O97" s="45"/>
      <c r="P97" s="22"/>
      <c r="Q97" s="22"/>
      <c r="R97" s="6"/>
      <c r="S97" s="6"/>
      <c r="T97" s="6"/>
    </row>
    <row r="98" spans="1:20" ht="14.25" customHeight="1" x14ac:dyDescent="0.2">
      <c r="A98" s="22"/>
      <c r="B98" s="23">
        <v>9</v>
      </c>
      <c r="C98" s="46" t="s">
        <v>179</v>
      </c>
      <c r="D98" s="25" t="s">
        <v>180</v>
      </c>
      <c r="E98" s="47"/>
      <c r="F98" s="27"/>
      <c r="G98" s="53"/>
      <c r="H98" s="29">
        <f t="shared" si="12"/>
        <v>0</v>
      </c>
      <c r="I98" s="30">
        <v>3908731694</v>
      </c>
      <c r="J98" s="31">
        <f t="shared" si="13"/>
        <v>0</v>
      </c>
      <c r="K98" s="37"/>
      <c r="L98" s="22"/>
      <c r="M98" s="22"/>
      <c r="N98" s="22"/>
      <c r="O98" s="45"/>
      <c r="P98" s="22"/>
      <c r="Q98" s="22"/>
      <c r="R98" s="6"/>
      <c r="S98" s="6"/>
      <c r="T98" s="6"/>
    </row>
    <row r="99" spans="1:20" ht="14.25" customHeight="1" x14ac:dyDescent="0.2">
      <c r="A99" s="22"/>
      <c r="B99" s="23" t="s">
        <v>181</v>
      </c>
      <c r="C99" s="46" t="s">
        <v>182</v>
      </c>
      <c r="D99" s="25" t="s">
        <v>183</v>
      </c>
      <c r="E99" s="47">
        <v>480</v>
      </c>
      <c r="F99" s="27" t="s">
        <v>135</v>
      </c>
      <c r="G99" s="53">
        <v>30000</v>
      </c>
      <c r="H99" s="29">
        <f t="shared" si="12"/>
        <v>14400000</v>
      </c>
      <c r="I99" s="30">
        <v>3908731694</v>
      </c>
      <c r="J99" s="31">
        <f t="shared" si="13"/>
        <v>0.36840594666818283</v>
      </c>
      <c r="K99" s="37"/>
      <c r="L99" s="22"/>
      <c r="M99" s="22"/>
      <c r="N99" s="22"/>
      <c r="O99" s="45"/>
      <c r="P99" s="22"/>
      <c r="Q99" s="22"/>
      <c r="R99" s="6"/>
      <c r="S99" s="6"/>
      <c r="T99" s="6"/>
    </row>
    <row r="100" spans="1:20" ht="14.25" customHeight="1" x14ac:dyDescent="0.2">
      <c r="A100" s="22"/>
      <c r="B100" s="23" t="s">
        <v>181</v>
      </c>
      <c r="C100" s="46" t="s">
        <v>184</v>
      </c>
      <c r="D100" s="25" t="s">
        <v>185</v>
      </c>
      <c r="E100" s="47">
        <v>480</v>
      </c>
      <c r="F100" s="27" t="s">
        <v>135</v>
      </c>
      <c r="G100" s="53">
        <v>12000</v>
      </c>
      <c r="H100" s="29">
        <f t="shared" si="12"/>
        <v>5760000</v>
      </c>
      <c r="I100" s="30">
        <v>3908731694</v>
      </c>
      <c r="J100" s="31">
        <f t="shared" si="13"/>
        <v>0.14736237866727314</v>
      </c>
      <c r="K100" s="37"/>
      <c r="L100" s="22"/>
      <c r="M100" s="22"/>
      <c r="N100" s="22"/>
      <c r="O100" s="45"/>
      <c r="P100" s="22"/>
      <c r="Q100" s="22"/>
      <c r="R100" s="6"/>
      <c r="S100" s="6"/>
      <c r="T100" s="6"/>
    </row>
    <row r="101" spans="1:20" ht="14.25" customHeight="1" x14ac:dyDescent="0.2">
      <c r="A101" s="22"/>
      <c r="B101" s="23" t="s">
        <v>181</v>
      </c>
      <c r="C101" s="46" t="s">
        <v>186</v>
      </c>
      <c r="D101" s="25" t="s">
        <v>187</v>
      </c>
      <c r="E101" s="47">
        <v>480</v>
      </c>
      <c r="F101" s="27" t="s">
        <v>135</v>
      </c>
      <c r="G101" s="53">
        <v>220000</v>
      </c>
      <c r="H101" s="29">
        <f t="shared" si="12"/>
        <v>105600000</v>
      </c>
      <c r="I101" s="30">
        <v>3908731694</v>
      </c>
      <c r="J101" s="31">
        <f t="shared" si="13"/>
        <v>2.7016436089000075</v>
      </c>
      <c r="K101" s="37"/>
      <c r="L101" s="22"/>
      <c r="M101" s="22"/>
      <c r="N101" s="22"/>
      <c r="O101" s="45"/>
      <c r="P101" s="22"/>
      <c r="Q101" s="22"/>
      <c r="R101" s="6"/>
      <c r="S101" s="6"/>
      <c r="T101" s="6"/>
    </row>
    <row r="102" spans="1:20" ht="14.25" customHeight="1" x14ac:dyDescent="0.2">
      <c r="A102" s="22"/>
      <c r="B102" s="23" t="s">
        <v>181</v>
      </c>
      <c r="C102" s="46" t="s">
        <v>188</v>
      </c>
      <c r="D102" s="25"/>
      <c r="E102" s="47">
        <v>88</v>
      </c>
      <c r="F102" s="27" t="s">
        <v>70</v>
      </c>
      <c r="G102" s="53">
        <v>150000</v>
      </c>
      <c r="H102" s="29">
        <f t="shared" si="12"/>
        <v>13200000</v>
      </c>
      <c r="I102" s="30">
        <v>3908731694</v>
      </c>
      <c r="J102" s="31">
        <f t="shared" si="13"/>
        <v>0.33770545111250094</v>
      </c>
      <c r="K102" s="37"/>
      <c r="L102" s="22"/>
      <c r="M102" s="22"/>
      <c r="N102" s="22"/>
      <c r="O102" s="45"/>
      <c r="P102" s="22"/>
      <c r="Q102" s="22"/>
      <c r="R102" s="6"/>
      <c r="S102" s="6"/>
      <c r="T102" s="6"/>
    </row>
    <row r="103" spans="1:20" ht="14.25" customHeight="1" x14ac:dyDescent="0.2">
      <c r="A103" s="22"/>
      <c r="B103" s="23">
        <v>10</v>
      </c>
      <c r="C103" s="46" t="s">
        <v>189</v>
      </c>
      <c r="D103" s="25" t="s">
        <v>190</v>
      </c>
      <c r="E103" s="47">
        <v>6</v>
      </c>
      <c r="F103" s="27" t="s">
        <v>73</v>
      </c>
      <c r="G103" s="53">
        <v>1300000</v>
      </c>
      <c r="H103" s="29">
        <f t="shared" si="12"/>
        <v>7800000</v>
      </c>
      <c r="I103" s="30">
        <v>3908731694</v>
      </c>
      <c r="J103" s="31">
        <f t="shared" si="13"/>
        <v>0.19955322111193238</v>
      </c>
      <c r="K103" s="37"/>
      <c r="L103" s="22"/>
      <c r="M103" s="22"/>
      <c r="N103" s="22"/>
      <c r="O103" s="45"/>
      <c r="P103" s="22"/>
      <c r="Q103" s="22"/>
      <c r="R103" s="6"/>
      <c r="S103" s="6"/>
      <c r="T103" s="6"/>
    </row>
    <row r="104" spans="1:20" ht="14.25" customHeight="1" x14ac:dyDescent="0.2">
      <c r="A104" s="22"/>
      <c r="B104" s="23">
        <v>11</v>
      </c>
      <c r="C104" s="46" t="s">
        <v>191</v>
      </c>
      <c r="D104" s="25" t="s">
        <v>192</v>
      </c>
      <c r="E104" s="47">
        <v>88.2</v>
      </c>
      <c r="F104" s="27" t="s">
        <v>135</v>
      </c>
      <c r="G104" s="53">
        <v>630000</v>
      </c>
      <c r="H104" s="29">
        <f t="shared" si="12"/>
        <v>55566000</v>
      </c>
      <c r="I104" s="30">
        <v>3908731694</v>
      </c>
      <c r="J104" s="31">
        <f t="shared" si="13"/>
        <v>1.4215864467058505</v>
      </c>
      <c r="K104" s="37"/>
      <c r="L104" s="22"/>
      <c r="M104" s="22"/>
      <c r="N104" s="22"/>
      <c r="O104" s="45"/>
      <c r="P104" s="22"/>
      <c r="Q104" s="22"/>
      <c r="R104" s="6"/>
      <c r="S104" s="6"/>
      <c r="T104" s="6"/>
    </row>
    <row r="105" spans="1:20" ht="14.25" customHeight="1" x14ac:dyDescent="0.2">
      <c r="A105" s="22"/>
      <c r="B105" s="23">
        <v>12</v>
      </c>
      <c r="C105" s="46" t="s">
        <v>193</v>
      </c>
      <c r="D105" s="25" t="s">
        <v>194</v>
      </c>
      <c r="E105" s="47">
        <v>71</v>
      </c>
      <c r="F105" s="27" t="s">
        <v>70</v>
      </c>
      <c r="G105" s="53">
        <v>80000</v>
      </c>
      <c r="H105" s="29">
        <f t="shared" si="12"/>
        <v>5680000</v>
      </c>
      <c r="I105" s="30">
        <v>3908731694</v>
      </c>
      <c r="J105" s="31">
        <f t="shared" si="13"/>
        <v>0.14531567896356101</v>
      </c>
      <c r="K105" s="37"/>
      <c r="L105" s="22"/>
      <c r="M105" s="22"/>
      <c r="N105" s="22"/>
      <c r="O105" s="45"/>
      <c r="P105" s="22"/>
      <c r="Q105" s="22"/>
      <c r="R105" s="6"/>
      <c r="S105" s="6"/>
      <c r="T105" s="6"/>
    </row>
    <row r="106" spans="1:20" ht="14.25" customHeight="1" x14ac:dyDescent="0.2">
      <c r="A106" s="22"/>
      <c r="B106" s="23"/>
      <c r="C106" s="46"/>
      <c r="D106" s="25" t="s">
        <v>195</v>
      </c>
      <c r="E106" s="47"/>
      <c r="F106" s="27"/>
      <c r="G106" s="53"/>
      <c r="H106" s="49">
        <f>SUM(H91:H105)</f>
        <v>279514500</v>
      </c>
      <c r="I106" s="30">
        <v>3908731694</v>
      </c>
      <c r="J106" s="43">
        <f t="shared" si="13"/>
        <v>7.1510280541655407</v>
      </c>
      <c r="K106" s="37"/>
      <c r="L106" s="22"/>
      <c r="M106" s="22"/>
      <c r="N106" s="22"/>
      <c r="O106" s="45"/>
      <c r="P106" s="22"/>
      <c r="Q106" s="22"/>
      <c r="R106" s="6"/>
      <c r="S106" s="6"/>
      <c r="T106" s="6"/>
    </row>
    <row r="107" spans="1:20" ht="14.25" customHeight="1" x14ac:dyDescent="0.2">
      <c r="A107" s="22"/>
      <c r="B107" s="50"/>
      <c r="C107" s="46"/>
      <c r="D107" s="25"/>
      <c r="E107" s="51"/>
      <c r="F107" s="27"/>
      <c r="G107" s="28"/>
      <c r="H107" s="29">
        <f t="shared" ref="H107:H114" si="14">E107*G107</f>
        <v>0</v>
      </c>
      <c r="I107" s="44"/>
      <c r="J107" s="44"/>
      <c r="K107" s="37"/>
      <c r="L107" s="22"/>
      <c r="M107" s="22"/>
      <c r="N107" s="22"/>
      <c r="O107" s="45"/>
      <c r="P107" s="22"/>
      <c r="Q107" s="22"/>
      <c r="R107" s="6"/>
      <c r="S107" s="6"/>
      <c r="T107" s="6"/>
    </row>
    <row r="108" spans="1:20" ht="14.25" customHeight="1" x14ac:dyDescent="0.2">
      <c r="A108" s="22"/>
      <c r="B108" s="50"/>
      <c r="C108" s="46"/>
      <c r="D108" s="25"/>
      <c r="E108" s="51"/>
      <c r="F108" s="27"/>
      <c r="G108" s="28"/>
      <c r="H108" s="29">
        <f t="shared" si="14"/>
        <v>0</v>
      </c>
      <c r="I108" s="44"/>
      <c r="J108" s="44"/>
      <c r="K108" s="37"/>
      <c r="L108" s="22"/>
      <c r="M108" s="22"/>
      <c r="N108" s="22"/>
      <c r="O108" s="45"/>
      <c r="P108" s="22"/>
      <c r="Q108" s="22"/>
      <c r="R108" s="6"/>
      <c r="S108" s="6"/>
      <c r="T108" s="6"/>
    </row>
    <row r="109" spans="1:20" ht="14.25" customHeight="1" x14ac:dyDescent="0.25">
      <c r="A109" s="22"/>
      <c r="B109" s="16" t="s">
        <v>196</v>
      </c>
      <c r="C109" s="16" t="s">
        <v>197</v>
      </c>
      <c r="D109" s="16"/>
      <c r="E109" s="51"/>
      <c r="F109" s="27"/>
      <c r="G109" s="28"/>
      <c r="H109" s="29">
        <f t="shared" si="14"/>
        <v>0</v>
      </c>
      <c r="I109" s="44"/>
      <c r="J109" s="44"/>
      <c r="K109" s="37"/>
      <c r="L109" s="22"/>
      <c r="M109" s="22"/>
      <c r="N109" s="22"/>
      <c r="O109" s="45"/>
      <c r="P109" s="22"/>
      <c r="Q109" s="22"/>
      <c r="R109" s="6"/>
      <c r="S109" s="6"/>
      <c r="T109" s="6"/>
    </row>
    <row r="110" spans="1:20" ht="14.25" customHeight="1" x14ac:dyDescent="0.2">
      <c r="A110" s="22"/>
      <c r="B110" s="23">
        <v>1</v>
      </c>
      <c r="C110" s="46" t="s">
        <v>198</v>
      </c>
      <c r="D110" s="25" t="s">
        <v>90</v>
      </c>
      <c r="E110" s="48">
        <v>200</v>
      </c>
      <c r="F110" s="27" t="s">
        <v>57</v>
      </c>
      <c r="G110" s="28">
        <v>100000</v>
      </c>
      <c r="H110" s="29">
        <f t="shared" si="14"/>
        <v>20000000</v>
      </c>
      <c r="I110" s="30">
        <v>3908731694</v>
      </c>
      <c r="J110" s="31">
        <f t="shared" ref="J110:J115" si="15">H110/I110*100</f>
        <v>0.51167492592803177</v>
      </c>
      <c r="K110" s="37"/>
      <c r="L110" s="22"/>
      <c r="M110" s="22"/>
      <c r="N110" s="22"/>
      <c r="O110" s="45"/>
      <c r="P110" s="22"/>
      <c r="Q110" s="22"/>
      <c r="R110" s="6"/>
      <c r="S110" s="6"/>
      <c r="T110" s="6"/>
    </row>
    <row r="111" spans="1:20" ht="14.25" customHeight="1" x14ac:dyDescent="0.2">
      <c r="A111" s="22"/>
      <c r="B111" s="23">
        <v>2</v>
      </c>
      <c r="C111" s="46" t="s">
        <v>199</v>
      </c>
      <c r="D111" s="25" t="s">
        <v>200</v>
      </c>
      <c r="E111" s="48">
        <v>170</v>
      </c>
      <c r="F111" s="27" t="s">
        <v>70</v>
      </c>
      <c r="G111" s="28">
        <v>35000</v>
      </c>
      <c r="H111" s="29">
        <f t="shared" si="14"/>
        <v>5950000</v>
      </c>
      <c r="I111" s="30">
        <v>3908731694</v>
      </c>
      <c r="J111" s="31">
        <f t="shared" si="15"/>
        <v>0.15222329046358946</v>
      </c>
      <c r="K111" s="37"/>
      <c r="L111" s="22"/>
      <c r="M111" s="22"/>
      <c r="N111" s="22"/>
      <c r="O111" s="45"/>
      <c r="P111" s="22"/>
      <c r="Q111" s="22"/>
      <c r="R111" s="6"/>
      <c r="S111" s="6"/>
      <c r="T111" s="6"/>
    </row>
    <row r="112" spans="1:20" ht="14.25" customHeight="1" x14ac:dyDescent="0.2">
      <c r="A112" s="22"/>
      <c r="B112" s="23">
        <v>3</v>
      </c>
      <c r="C112" s="46" t="s">
        <v>201</v>
      </c>
      <c r="D112" s="25"/>
      <c r="E112" s="47"/>
      <c r="F112" s="27"/>
      <c r="G112" s="28"/>
      <c r="H112" s="29">
        <f t="shared" si="14"/>
        <v>0</v>
      </c>
      <c r="I112" s="30">
        <v>3908731694</v>
      </c>
      <c r="J112" s="31">
        <f t="shared" si="15"/>
        <v>0</v>
      </c>
      <c r="K112" s="37"/>
      <c r="L112" s="22"/>
      <c r="M112" s="22"/>
      <c r="N112" s="22"/>
      <c r="O112" s="45"/>
      <c r="P112" s="22"/>
      <c r="Q112" s="22"/>
      <c r="R112" s="6"/>
      <c r="S112" s="6"/>
      <c r="T112" s="6"/>
    </row>
    <row r="113" spans="1:20" ht="14.25" customHeight="1" x14ac:dyDescent="0.2">
      <c r="A113" s="22"/>
      <c r="B113" s="50"/>
      <c r="C113" s="46" t="s">
        <v>202</v>
      </c>
      <c r="D113" s="25" t="s">
        <v>203</v>
      </c>
      <c r="E113" s="51">
        <v>185</v>
      </c>
      <c r="F113" s="27" t="s">
        <v>70</v>
      </c>
      <c r="G113" s="28">
        <v>180000</v>
      </c>
      <c r="H113" s="29">
        <f t="shared" si="14"/>
        <v>33300000</v>
      </c>
      <c r="I113" s="30">
        <v>3908731694</v>
      </c>
      <c r="J113" s="31">
        <f t="shared" si="15"/>
        <v>0.85193875167017286</v>
      </c>
      <c r="K113" s="37"/>
      <c r="L113" s="22"/>
      <c r="M113" s="22"/>
      <c r="N113" s="22"/>
      <c r="O113" s="45"/>
      <c r="P113" s="22"/>
      <c r="Q113" s="22"/>
      <c r="R113" s="6"/>
      <c r="S113" s="6"/>
      <c r="T113" s="6"/>
    </row>
    <row r="114" spans="1:20" ht="14.25" customHeight="1" x14ac:dyDescent="0.2">
      <c r="A114" s="22"/>
      <c r="B114" s="23"/>
      <c r="C114" s="46" t="s">
        <v>204</v>
      </c>
      <c r="D114" s="25" t="s">
        <v>205</v>
      </c>
      <c r="E114" s="51">
        <v>30</v>
      </c>
      <c r="F114" s="27" t="s">
        <v>70</v>
      </c>
      <c r="G114" s="28">
        <v>800000</v>
      </c>
      <c r="H114" s="29">
        <f t="shared" si="14"/>
        <v>24000000</v>
      </c>
      <c r="I114" s="30">
        <v>3908731694</v>
      </c>
      <c r="J114" s="31">
        <f t="shared" si="15"/>
        <v>0.61400991111363812</v>
      </c>
      <c r="K114" s="37"/>
      <c r="L114" s="22"/>
      <c r="M114" s="22"/>
      <c r="N114" s="22"/>
      <c r="O114" s="45"/>
      <c r="P114" s="22"/>
      <c r="Q114" s="22"/>
      <c r="R114" s="6"/>
      <c r="S114" s="6"/>
      <c r="T114" s="6"/>
    </row>
    <row r="115" spans="1:20" ht="14.25" customHeight="1" x14ac:dyDescent="0.2">
      <c r="A115" s="22"/>
      <c r="B115" s="50"/>
      <c r="C115" s="46"/>
      <c r="D115" s="25"/>
      <c r="E115" s="51"/>
      <c r="F115" s="27"/>
      <c r="G115" s="28"/>
      <c r="H115" s="49">
        <f>SUM(H110:H114)</f>
        <v>83250000</v>
      </c>
      <c r="I115" s="30">
        <v>3908731694</v>
      </c>
      <c r="J115" s="43">
        <f t="shared" si="15"/>
        <v>2.1298468791754321</v>
      </c>
      <c r="K115" s="37"/>
      <c r="L115" s="22"/>
      <c r="M115" s="22"/>
      <c r="N115" s="22"/>
      <c r="O115" s="45"/>
      <c r="P115" s="22"/>
      <c r="Q115" s="22"/>
      <c r="R115" s="6"/>
      <c r="S115" s="6"/>
      <c r="T115" s="6"/>
    </row>
    <row r="116" spans="1:20" ht="14.25" customHeight="1" x14ac:dyDescent="0.2">
      <c r="A116" s="22"/>
      <c r="B116" s="50"/>
      <c r="C116" s="46"/>
      <c r="D116" s="25"/>
      <c r="E116" s="51"/>
      <c r="F116" s="27"/>
      <c r="G116" s="28"/>
      <c r="H116" s="29">
        <f>E116*G116</f>
        <v>0</v>
      </c>
      <c r="I116" s="44"/>
      <c r="J116" s="44"/>
      <c r="K116" s="37"/>
      <c r="L116" s="22"/>
      <c r="M116" s="22"/>
      <c r="N116" s="22"/>
      <c r="O116" s="45"/>
      <c r="P116" s="22"/>
      <c r="Q116" s="22"/>
      <c r="R116" s="6"/>
      <c r="S116" s="6"/>
      <c r="T116" s="6"/>
    </row>
    <row r="117" spans="1:20" ht="14.25" customHeight="1" x14ac:dyDescent="0.25">
      <c r="A117" s="22"/>
      <c r="B117" s="16" t="s">
        <v>206</v>
      </c>
      <c r="C117" s="16" t="s">
        <v>207</v>
      </c>
      <c r="D117" s="16"/>
      <c r="E117" s="51"/>
      <c r="F117" s="27"/>
      <c r="G117" s="28"/>
      <c r="H117" s="29">
        <f>E117*G117</f>
        <v>0</v>
      </c>
      <c r="I117" s="44"/>
      <c r="J117" s="44"/>
      <c r="K117" s="37"/>
      <c r="L117" s="22"/>
      <c r="M117" s="22"/>
      <c r="N117" s="22"/>
      <c r="O117" s="45"/>
      <c r="P117" s="22"/>
      <c r="Q117" s="22"/>
      <c r="R117" s="6"/>
      <c r="S117" s="6"/>
      <c r="T117" s="6"/>
    </row>
    <row r="118" spans="1:20" ht="14.25" customHeight="1" x14ac:dyDescent="0.2">
      <c r="A118" s="22"/>
      <c r="B118" s="23">
        <v>1</v>
      </c>
      <c r="C118" s="46" t="s">
        <v>208</v>
      </c>
      <c r="D118" s="25" t="s">
        <v>209</v>
      </c>
      <c r="E118" s="47">
        <v>336</v>
      </c>
      <c r="F118" s="27" t="s">
        <v>111</v>
      </c>
      <c r="G118" s="28">
        <v>70000</v>
      </c>
      <c r="H118" s="29">
        <f>E118*G118</f>
        <v>23520000</v>
      </c>
      <c r="I118" s="30">
        <v>3908731694</v>
      </c>
      <c r="J118" s="31">
        <f>H118/I118*100</f>
        <v>0.60172971289136523</v>
      </c>
      <c r="K118" s="37"/>
      <c r="L118" s="22"/>
      <c r="M118" s="22"/>
      <c r="N118" s="22"/>
      <c r="O118" s="45"/>
      <c r="P118" s="22"/>
      <c r="Q118" s="22"/>
      <c r="R118" s="6"/>
      <c r="S118" s="6"/>
      <c r="T118" s="6"/>
    </row>
    <row r="119" spans="1:20" ht="14.25" customHeight="1" x14ac:dyDescent="0.2">
      <c r="A119" s="22"/>
      <c r="B119" s="23">
        <v>2</v>
      </c>
      <c r="C119" s="46" t="s">
        <v>210</v>
      </c>
      <c r="D119" s="25" t="s">
        <v>211</v>
      </c>
      <c r="E119" s="47">
        <v>14</v>
      </c>
      <c r="F119" s="27" t="s">
        <v>54</v>
      </c>
      <c r="G119" s="28">
        <v>1450000</v>
      </c>
      <c r="H119" s="29">
        <f>E119*G119</f>
        <v>20300000</v>
      </c>
      <c r="I119" s="30">
        <v>3908731694</v>
      </c>
      <c r="J119" s="31">
        <f>H119/I119*100</f>
        <v>0.51935004981695221</v>
      </c>
      <c r="K119" s="37"/>
      <c r="L119" s="22"/>
      <c r="M119" s="22"/>
      <c r="N119" s="22"/>
      <c r="O119" s="45"/>
      <c r="P119" s="22"/>
      <c r="Q119" s="22"/>
      <c r="R119" s="6"/>
      <c r="S119" s="6"/>
      <c r="T119" s="6"/>
    </row>
    <row r="120" spans="1:20" ht="14.25" customHeight="1" x14ac:dyDescent="0.2">
      <c r="A120" s="22"/>
      <c r="B120" s="23">
        <v>3</v>
      </c>
      <c r="C120" s="46" t="s">
        <v>212</v>
      </c>
      <c r="D120" s="25"/>
      <c r="E120" s="47">
        <v>1</v>
      </c>
      <c r="F120" s="27" t="s">
        <v>41</v>
      </c>
      <c r="G120" s="28">
        <v>1500000</v>
      </c>
      <c r="H120" s="29">
        <f>E120*G120</f>
        <v>1500000</v>
      </c>
      <c r="I120" s="30">
        <v>3908731694</v>
      </c>
      <c r="J120" s="31">
        <f>H120/I120*100</f>
        <v>3.8375619444602382E-2</v>
      </c>
      <c r="K120" s="37"/>
      <c r="L120" s="22"/>
      <c r="M120" s="22"/>
      <c r="N120" s="22"/>
      <c r="O120" s="45"/>
      <c r="P120" s="22"/>
      <c r="Q120" s="22"/>
      <c r="R120" s="6"/>
      <c r="S120" s="6"/>
      <c r="T120" s="6"/>
    </row>
    <row r="121" spans="1:20" ht="14.25" customHeight="1" x14ac:dyDescent="0.2">
      <c r="A121" s="22"/>
      <c r="B121" s="50"/>
      <c r="C121" s="46"/>
      <c r="D121" s="25"/>
      <c r="E121" s="51"/>
      <c r="F121" s="27"/>
      <c r="G121" s="28"/>
      <c r="H121" s="49">
        <f>SUM(H118:H120)</f>
        <v>45320000</v>
      </c>
      <c r="I121" s="30">
        <v>3908731694</v>
      </c>
      <c r="J121" s="43">
        <f>H121/I121*100</f>
        <v>1.1594553821529199</v>
      </c>
      <c r="K121" s="37"/>
      <c r="L121" s="22"/>
      <c r="M121" s="22"/>
      <c r="N121" s="22"/>
      <c r="O121" s="45"/>
      <c r="P121" s="22"/>
      <c r="Q121" s="22"/>
      <c r="R121" s="6"/>
      <c r="S121" s="6"/>
      <c r="T121" s="6"/>
    </row>
    <row r="122" spans="1:20" ht="14.25" customHeight="1" x14ac:dyDescent="0.2">
      <c r="A122" s="22"/>
      <c r="B122" s="50"/>
      <c r="C122" s="46"/>
      <c r="D122" s="25"/>
      <c r="E122" s="51"/>
      <c r="F122" s="27"/>
      <c r="G122" s="28"/>
      <c r="H122" s="29">
        <f>E122*G122</f>
        <v>0</v>
      </c>
      <c r="I122" s="44"/>
      <c r="J122" s="44"/>
      <c r="K122" s="37">
        <v>1</v>
      </c>
      <c r="L122" s="22" t="s">
        <v>213</v>
      </c>
      <c r="M122" s="22"/>
      <c r="N122" s="22"/>
      <c r="O122" s="45" t="s">
        <v>214</v>
      </c>
      <c r="P122" s="22">
        <v>100000</v>
      </c>
      <c r="Q122" s="22">
        <v>390000</v>
      </c>
      <c r="R122" s="6"/>
      <c r="S122" s="6"/>
      <c r="T122" s="6"/>
    </row>
    <row r="123" spans="1:20" ht="14.25" customHeight="1" x14ac:dyDescent="0.25">
      <c r="A123" s="22"/>
      <c r="B123" s="16" t="s">
        <v>215</v>
      </c>
      <c r="C123" s="16" t="s">
        <v>216</v>
      </c>
      <c r="D123" s="16"/>
      <c r="E123" s="51"/>
      <c r="F123" s="27"/>
      <c r="G123" s="28"/>
      <c r="H123" s="29">
        <f>E123*G123</f>
        <v>0</v>
      </c>
      <c r="I123" s="44"/>
      <c r="J123" s="44"/>
      <c r="K123" s="37">
        <v>2</v>
      </c>
      <c r="L123" s="22" t="s">
        <v>217</v>
      </c>
      <c r="M123" s="22"/>
      <c r="N123" s="22"/>
      <c r="O123" s="45">
        <v>1</v>
      </c>
      <c r="P123" s="22">
        <v>600000</v>
      </c>
      <c r="Q123" s="22">
        <v>600000</v>
      </c>
      <c r="R123" s="6"/>
      <c r="S123" s="6"/>
      <c r="T123" s="6"/>
    </row>
    <row r="124" spans="1:20" ht="14.25" customHeight="1" x14ac:dyDescent="0.2">
      <c r="A124" s="22"/>
      <c r="B124" s="23">
        <v>1</v>
      </c>
      <c r="C124" s="46" t="s">
        <v>218</v>
      </c>
      <c r="D124" s="25" t="s">
        <v>219</v>
      </c>
      <c r="E124" s="47">
        <v>160</v>
      </c>
      <c r="F124" s="27" t="s">
        <v>111</v>
      </c>
      <c r="G124" s="28">
        <v>120000</v>
      </c>
      <c r="H124" s="29">
        <f>E124*G124</f>
        <v>19200000</v>
      </c>
      <c r="I124" s="30">
        <v>3908731694</v>
      </c>
      <c r="J124" s="31">
        <f>H124/I124*100</f>
        <v>0.49120792889091047</v>
      </c>
      <c r="K124" s="37">
        <v>3</v>
      </c>
      <c r="L124" s="54" t="s">
        <v>220</v>
      </c>
      <c r="M124" s="54"/>
      <c r="N124" s="54"/>
      <c r="O124" s="45" t="s">
        <v>221</v>
      </c>
      <c r="P124" s="22">
        <v>498750</v>
      </c>
      <c r="Q124" s="22">
        <v>1496250</v>
      </c>
      <c r="R124" s="6"/>
      <c r="S124" s="6"/>
      <c r="T124" s="6"/>
    </row>
    <row r="125" spans="1:20" ht="14.25" customHeight="1" x14ac:dyDescent="0.2">
      <c r="A125" s="22"/>
      <c r="B125" s="23">
        <v>2</v>
      </c>
      <c r="C125" s="46" t="s">
        <v>222</v>
      </c>
      <c r="D125" s="25" t="s">
        <v>223</v>
      </c>
      <c r="E125" s="47">
        <v>8</v>
      </c>
      <c r="F125" s="27" t="s">
        <v>108</v>
      </c>
      <c r="G125" s="28">
        <v>1800000</v>
      </c>
      <c r="H125" s="29">
        <f>E125*G125</f>
        <v>14400000</v>
      </c>
      <c r="I125" s="30">
        <v>3908731694</v>
      </c>
      <c r="J125" s="31">
        <f>H125/I125*100</f>
        <v>0.36840594666818283</v>
      </c>
      <c r="K125" s="37">
        <v>4</v>
      </c>
      <c r="L125" s="22" t="s">
        <v>224</v>
      </c>
      <c r="M125" s="22"/>
      <c r="N125" s="22"/>
      <c r="O125" s="22">
        <v>1</v>
      </c>
      <c r="P125" s="22">
        <v>1200000</v>
      </c>
      <c r="Q125" s="22">
        <v>1200000</v>
      </c>
      <c r="R125" s="6"/>
      <c r="S125" s="6"/>
      <c r="T125" s="6"/>
    </row>
    <row r="126" spans="1:20" ht="14.25" customHeight="1" x14ac:dyDescent="0.2">
      <c r="A126" s="22"/>
      <c r="B126" s="23">
        <v>3</v>
      </c>
      <c r="C126" s="46" t="s">
        <v>225</v>
      </c>
      <c r="D126" s="25" t="s">
        <v>226</v>
      </c>
      <c r="E126" s="47">
        <v>82</v>
      </c>
      <c r="F126" s="27" t="s">
        <v>70</v>
      </c>
      <c r="G126" s="28">
        <v>300000</v>
      </c>
      <c r="H126" s="29">
        <f>E126*G126</f>
        <v>24600000</v>
      </c>
      <c r="I126" s="30">
        <v>3908731694</v>
      </c>
      <c r="J126" s="31">
        <f>H126/I126*100</f>
        <v>0.629360158891479</v>
      </c>
      <c r="K126" s="37">
        <v>5</v>
      </c>
      <c r="L126" s="22" t="s">
        <v>227</v>
      </c>
      <c r="M126" s="22"/>
      <c r="N126" s="22"/>
      <c r="O126" s="22">
        <v>40</v>
      </c>
      <c r="P126" s="22">
        <v>27000</v>
      </c>
      <c r="Q126" s="22">
        <v>1080000</v>
      </c>
      <c r="R126" s="6"/>
      <c r="S126" s="6"/>
      <c r="T126" s="6"/>
    </row>
    <row r="127" spans="1:20" ht="14.25" customHeight="1" x14ac:dyDescent="0.2">
      <c r="A127" s="22"/>
      <c r="B127" s="50"/>
      <c r="C127" s="46"/>
      <c r="D127" s="25"/>
      <c r="E127" s="51"/>
      <c r="F127" s="27"/>
      <c r="G127" s="28"/>
      <c r="H127" s="49">
        <f>SUM(H124:H126)</f>
        <v>58200000</v>
      </c>
      <c r="I127" s="30">
        <v>3908731694</v>
      </c>
      <c r="J127" s="43">
        <f>H127/I127*100</f>
        <v>1.4889740344505722</v>
      </c>
      <c r="K127" s="37">
        <v>6</v>
      </c>
      <c r="L127" s="22" t="s">
        <v>228</v>
      </c>
      <c r="M127" s="22"/>
      <c r="N127" s="22"/>
      <c r="O127" s="22">
        <v>1</v>
      </c>
      <c r="P127" s="22">
        <v>1000000</v>
      </c>
      <c r="Q127" s="22">
        <v>1000000</v>
      </c>
      <c r="R127" s="6"/>
      <c r="S127" s="6"/>
      <c r="T127" s="6"/>
    </row>
    <row r="128" spans="1:20" ht="14.25" customHeight="1" x14ac:dyDescent="0.2">
      <c r="A128" s="22"/>
      <c r="B128" s="50"/>
      <c r="C128" s="46"/>
      <c r="D128" s="25"/>
      <c r="E128" s="51"/>
      <c r="F128" s="27"/>
      <c r="G128" s="28"/>
      <c r="H128" s="29">
        <f>E128*G128</f>
        <v>0</v>
      </c>
      <c r="I128" s="44"/>
      <c r="J128" s="44"/>
      <c r="K128" s="37">
        <v>7</v>
      </c>
      <c r="L128" s="22" t="s">
        <v>229</v>
      </c>
      <c r="M128" s="22"/>
      <c r="N128" s="22" t="s">
        <v>230</v>
      </c>
      <c r="O128" s="22" t="s">
        <v>231</v>
      </c>
      <c r="P128" s="22">
        <v>200000</v>
      </c>
      <c r="Q128" s="22">
        <v>460000</v>
      </c>
      <c r="R128" s="6"/>
      <c r="S128" s="6"/>
      <c r="T128" s="6"/>
    </row>
    <row r="129" spans="1:20" ht="14.25" customHeight="1" x14ac:dyDescent="0.25">
      <c r="A129" s="22"/>
      <c r="B129" s="16" t="s">
        <v>232</v>
      </c>
      <c r="C129" s="16" t="s">
        <v>233</v>
      </c>
      <c r="D129" s="16"/>
      <c r="E129" s="51"/>
      <c r="F129" s="27"/>
      <c r="G129" s="28"/>
      <c r="H129" s="29">
        <f>E129*G129</f>
        <v>0</v>
      </c>
      <c r="I129" s="44"/>
      <c r="J129" s="44"/>
      <c r="K129" s="37"/>
      <c r="L129" s="22"/>
      <c r="M129" s="22"/>
      <c r="N129" s="22"/>
      <c r="O129" s="22"/>
      <c r="P129" s="22"/>
      <c r="Q129" s="22"/>
      <c r="R129" s="6"/>
      <c r="S129" s="6"/>
      <c r="T129" s="6"/>
    </row>
    <row r="130" spans="1:20" ht="14.25" customHeight="1" x14ac:dyDescent="0.2">
      <c r="A130" s="15"/>
      <c r="B130" s="23">
        <v>1</v>
      </c>
      <c r="C130" s="46" t="s">
        <v>234</v>
      </c>
      <c r="D130" s="46" t="s">
        <v>235</v>
      </c>
      <c r="E130" s="47">
        <v>26</v>
      </c>
      <c r="F130" s="27" t="s">
        <v>111</v>
      </c>
      <c r="G130" s="28">
        <v>200000</v>
      </c>
      <c r="H130" s="29">
        <f>E130*G130</f>
        <v>5200000</v>
      </c>
      <c r="I130" s="30">
        <v>3908731694</v>
      </c>
      <c r="J130" s="31">
        <f>H130/I130*100</f>
        <v>0.13303548074128826</v>
      </c>
      <c r="K130" s="19" t="s">
        <v>80</v>
      </c>
      <c r="L130" s="21" t="s">
        <v>236</v>
      </c>
      <c r="M130" s="21"/>
      <c r="N130" s="21"/>
      <c r="O130" s="21"/>
      <c r="P130" s="15"/>
      <c r="Q130" s="15"/>
      <c r="R130" s="6"/>
      <c r="S130" s="6"/>
      <c r="T130" s="6"/>
    </row>
    <row r="131" spans="1:20" ht="14.25" customHeight="1" x14ac:dyDescent="0.2">
      <c r="A131" s="22"/>
      <c r="B131" s="23">
        <v>2</v>
      </c>
      <c r="C131" s="46" t="s">
        <v>237</v>
      </c>
      <c r="D131" s="25" t="s">
        <v>67</v>
      </c>
      <c r="E131" s="47">
        <v>30</v>
      </c>
      <c r="F131" s="27" t="s">
        <v>135</v>
      </c>
      <c r="G131" s="28">
        <v>85000</v>
      </c>
      <c r="H131" s="29">
        <f>E131*G131</f>
        <v>2550000</v>
      </c>
      <c r="I131" s="30">
        <v>3908731694</v>
      </c>
      <c r="J131" s="31">
        <f>H131/I131*100</f>
        <v>6.5238553055824045E-2</v>
      </c>
      <c r="K131" s="37">
        <v>1</v>
      </c>
      <c r="L131" s="22" t="s">
        <v>238</v>
      </c>
      <c r="M131" s="22"/>
      <c r="N131" s="22" t="s">
        <v>239</v>
      </c>
      <c r="O131" s="45" t="s">
        <v>240</v>
      </c>
      <c r="P131" s="22">
        <v>18000</v>
      </c>
      <c r="Q131" s="22">
        <v>5040000</v>
      </c>
      <c r="R131" s="6"/>
      <c r="S131" s="6"/>
      <c r="T131" s="6"/>
    </row>
    <row r="132" spans="1:20" ht="14.25" customHeight="1" x14ac:dyDescent="0.2">
      <c r="A132" s="22"/>
      <c r="B132" s="23">
        <v>3</v>
      </c>
      <c r="C132" s="46" t="s">
        <v>241</v>
      </c>
      <c r="D132" s="25" t="s">
        <v>242</v>
      </c>
      <c r="E132" s="47">
        <v>1</v>
      </c>
      <c r="F132" s="27" t="s">
        <v>73</v>
      </c>
      <c r="G132" s="28">
        <v>11000000</v>
      </c>
      <c r="H132" s="29">
        <f>E132*G132</f>
        <v>11000000</v>
      </c>
      <c r="I132" s="30">
        <v>3908731694</v>
      </c>
      <c r="J132" s="31">
        <f>H132/I132*100</f>
        <v>0.28142120926041747</v>
      </c>
      <c r="K132" s="37">
        <v>2</v>
      </c>
      <c r="L132" s="22" t="s">
        <v>243</v>
      </c>
      <c r="M132" s="22"/>
      <c r="N132" s="22" t="s">
        <v>239</v>
      </c>
      <c r="O132" s="45">
        <v>280</v>
      </c>
      <c r="P132" s="22">
        <v>18000</v>
      </c>
      <c r="Q132" s="22">
        <v>5040000</v>
      </c>
      <c r="R132" s="6"/>
      <c r="S132" s="6"/>
      <c r="T132" s="6"/>
    </row>
    <row r="133" spans="1:20" ht="14.25" customHeight="1" x14ac:dyDescent="0.2">
      <c r="A133" s="22"/>
      <c r="B133" s="50"/>
      <c r="C133" s="46"/>
      <c r="D133" s="25"/>
      <c r="E133" s="51"/>
      <c r="F133" s="27"/>
      <c r="G133" s="28"/>
      <c r="H133" s="49">
        <f>SUM(H130:H132)</f>
        <v>18750000</v>
      </c>
      <c r="I133" s="30">
        <v>3908731694</v>
      </c>
      <c r="J133" s="43">
        <f>H133/I133*100</f>
        <v>0.47969524305752975</v>
      </c>
      <c r="K133" s="37"/>
      <c r="L133" s="22"/>
      <c r="M133" s="22"/>
      <c r="N133" s="22"/>
      <c r="O133" s="45"/>
      <c r="P133" s="22"/>
      <c r="Q133" s="22"/>
      <c r="R133" s="6"/>
      <c r="S133" s="6"/>
      <c r="T133" s="6"/>
    </row>
    <row r="134" spans="1:20" ht="14.25" customHeight="1" x14ac:dyDescent="0.25">
      <c r="A134" s="15"/>
      <c r="B134" s="16"/>
      <c r="C134" s="16"/>
      <c r="D134" s="55"/>
      <c r="E134" s="56"/>
      <c r="F134" s="40"/>
      <c r="G134" s="41"/>
      <c r="H134" s="29"/>
      <c r="I134" s="1"/>
      <c r="J134" s="1"/>
      <c r="K134" s="19"/>
      <c r="L134" s="21"/>
      <c r="M134" s="21"/>
      <c r="N134" s="21"/>
      <c r="O134" s="21"/>
      <c r="P134" s="15"/>
      <c r="Q134" s="15"/>
      <c r="R134" s="6"/>
      <c r="S134" s="6"/>
      <c r="T134" s="6"/>
    </row>
    <row r="135" spans="1:20" ht="14.25" customHeight="1" x14ac:dyDescent="0.25">
      <c r="A135" s="15"/>
      <c r="B135" s="16" t="s">
        <v>244</v>
      </c>
      <c r="C135" s="16" t="s">
        <v>245</v>
      </c>
      <c r="D135" s="55"/>
      <c r="E135" s="56"/>
      <c r="F135" s="40"/>
      <c r="G135" s="41"/>
      <c r="H135" s="29"/>
      <c r="I135" s="1"/>
      <c r="J135" s="1"/>
      <c r="K135" s="19" t="s">
        <v>100</v>
      </c>
      <c r="L135" s="21" t="s">
        <v>246</v>
      </c>
      <c r="M135" s="21"/>
      <c r="N135" s="21"/>
      <c r="O135" s="21"/>
      <c r="P135" s="15"/>
      <c r="Q135" s="15"/>
      <c r="R135" s="6"/>
      <c r="S135" s="6"/>
      <c r="T135" s="6"/>
    </row>
    <row r="136" spans="1:20" ht="14.25" customHeight="1" x14ac:dyDescent="0.25">
      <c r="A136" s="22"/>
      <c r="B136" s="57">
        <v>1</v>
      </c>
      <c r="C136" s="58" t="s">
        <v>247</v>
      </c>
      <c r="D136" s="59" t="s">
        <v>248</v>
      </c>
      <c r="E136" s="47">
        <v>1</v>
      </c>
      <c r="F136" s="57" t="s">
        <v>249</v>
      </c>
      <c r="G136" s="28">
        <v>18500000</v>
      </c>
      <c r="H136" s="29">
        <f t="shared" ref="H136:H143" si="16">E136*G136</f>
        <v>18500000</v>
      </c>
      <c r="I136" s="30">
        <v>3908731694</v>
      </c>
      <c r="J136" s="31">
        <f t="shared" ref="J136:J144" si="17">H136/I136*100</f>
        <v>0.47329930648342938</v>
      </c>
      <c r="K136" s="37">
        <v>1</v>
      </c>
      <c r="L136" s="22" t="s">
        <v>250</v>
      </c>
      <c r="M136" s="22"/>
      <c r="N136" s="22" t="s">
        <v>251</v>
      </c>
      <c r="O136" s="45" t="s">
        <v>252</v>
      </c>
      <c r="P136" s="22">
        <v>550000</v>
      </c>
      <c r="Q136" s="22">
        <v>33000000</v>
      </c>
      <c r="R136" s="6"/>
      <c r="S136" s="6"/>
      <c r="T136" s="6"/>
    </row>
    <row r="137" spans="1:20" ht="14.25" customHeight="1" x14ac:dyDescent="0.25">
      <c r="A137" s="22"/>
      <c r="B137" s="57">
        <v>2</v>
      </c>
      <c r="C137" s="58" t="s">
        <v>253</v>
      </c>
      <c r="D137" s="58" t="s">
        <v>254</v>
      </c>
      <c r="E137" s="47">
        <v>1</v>
      </c>
      <c r="F137" s="57" t="s">
        <v>249</v>
      </c>
      <c r="G137" s="28">
        <v>4900000</v>
      </c>
      <c r="H137" s="29">
        <f t="shared" si="16"/>
        <v>4900000</v>
      </c>
      <c r="I137" s="30">
        <v>3908731694</v>
      </c>
      <c r="J137" s="31">
        <f t="shared" si="17"/>
        <v>0.12536035685236779</v>
      </c>
      <c r="K137" s="37">
        <v>2</v>
      </c>
      <c r="L137" s="22" t="s">
        <v>250</v>
      </c>
      <c r="M137" s="22"/>
      <c r="N137" s="22" t="s">
        <v>255</v>
      </c>
      <c r="O137" s="45" t="s">
        <v>256</v>
      </c>
      <c r="P137" s="22">
        <v>650000</v>
      </c>
      <c r="Q137" s="22">
        <v>7800000</v>
      </c>
      <c r="R137" s="6"/>
      <c r="S137" s="6"/>
      <c r="T137" s="6"/>
    </row>
    <row r="138" spans="1:20" ht="14.25" customHeight="1" x14ac:dyDescent="0.25">
      <c r="A138" s="22"/>
      <c r="B138" s="57">
        <v>3</v>
      </c>
      <c r="C138" s="58" t="s">
        <v>257</v>
      </c>
      <c r="D138" s="59"/>
      <c r="E138" s="47">
        <v>1</v>
      </c>
      <c r="F138" s="57" t="s">
        <v>73</v>
      </c>
      <c r="G138" s="28">
        <v>1250000</v>
      </c>
      <c r="H138" s="29">
        <f t="shared" si="16"/>
        <v>1250000</v>
      </c>
      <c r="I138" s="30">
        <v>3908731694</v>
      </c>
      <c r="J138" s="31">
        <f t="shared" si="17"/>
        <v>3.1979682870501985E-2</v>
      </c>
      <c r="K138" s="37"/>
      <c r="L138" s="22"/>
      <c r="M138" s="22"/>
      <c r="N138" s="22"/>
      <c r="O138" s="45"/>
      <c r="P138" s="22"/>
      <c r="Q138" s="22"/>
      <c r="R138" s="6"/>
      <c r="S138" s="6"/>
      <c r="T138" s="6"/>
    </row>
    <row r="139" spans="1:20" ht="14.25" customHeight="1" x14ac:dyDescent="0.25">
      <c r="A139" s="15"/>
      <c r="B139" s="57">
        <v>4</v>
      </c>
      <c r="C139" s="58" t="s">
        <v>258</v>
      </c>
      <c r="D139" s="59" t="s">
        <v>254</v>
      </c>
      <c r="E139" s="47">
        <v>9</v>
      </c>
      <c r="F139" s="57" t="s">
        <v>135</v>
      </c>
      <c r="G139" s="28">
        <v>900000</v>
      </c>
      <c r="H139" s="29">
        <f t="shared" si="16"/>
        <v>8100000</v>
      </c>
      <c r="I139" s="30">
        <v>3908731694</v>
      </c>
      <c r="J139" s="31">
        <f t="shared" si="17"/>
        <v>0.20722834500085285</v>
      </c>
      <c r="K139" s="19" t="s">
        <v>112</v>
      </c>
      <c r="L139" s="21" t="s">
        <v>259</v>
      </c>
      <c r="M139" s="21"/>
      <c r="N139" s="21"/>
      <c r="O139" s="21"/>
      <c r="P139" s="15"/>
      <c r="Q139" s="15"/>
      <c r="R139" s="6"/>
      <c r="S139" s="6"/>
      <c r="T139" s="6"/>
    </row>
    <row r="140" spans="1:20" ht="14.25" customHeight="1" x14ac:dyDescent="0.25">
      <c r="A140" s="22"/>
      <c r="B140" s="57">
        <v>5</v>
      </c>
      <c r="C140" s="58" t="s">
        <v>260</v>
      </c>
      <c r="D140" s="59" t="s">
        <v>254</v>
      </c>
      <c r="E140" s="47">
        <v>1</v>
      </c>
      <c r="F140" s="57" t="s">
        <v>73</v>
      </c>
      <c r="G140" s="28">
        <v>6500000</v>
      </c>
      <c r="H140" s="29">
        <f t="shared" si="16"/>
        <v>6500000</v>
      </c>
      <c r="I140" s="30">
        <v>3908731694</v>
      </c>
      <c r="J140" s="31">
        <f t="shared" si="17"/>
        <v>0.1662943509266103</v>
      </c>
      <c r="K140" s="37">
        <v>1</v>
      </c>
      <c r="L140" s="22" t="s">
        <v>261</v>
      </c>
      <c r="M140" s="22"/>
      <c r="N140" s="22" t="s">
        <v>262</v>
      </c>
      <c r="O140" s="45" t="s">
        <v>263</v>
      </c>
      <c r="P140" s="22">
        <v>350000</v>
      </c>
      <c r="Q140" s="22">
        <v>19600000</v>
      </c>
      <c r="R140" s="6"/>
      <c r="S140" s="6"/>
      <c r="T140" s="6"/>
    </row>
    <row r="141" spans="1:20" ht="14.25" customHeight="1" x14ac:dyDescent="0.25">
      <c r="A141" s="22"/>
      <c r="B141" s="57">
        <v>6</v>
      </c>
      <c r="C141" s="58" t="s">
        <v>264</v>
      </c>
      <c r="D141" s="59" t="s">
        <v>254</v>
      </c>
      <c r="E141" s="47">
        <v>1</v>
      </c>
      <c r="F141" s="57" t="s">
        <v>73</v>
      </c>
      <c r="G141" s="28">
        <v>5000000</v>
      </c>
      <c r="H141" s="29">
        <f t="shared" si="16"/>
        <v>5000000</v>
      </c>
      <c r="I141" s="30">
        <v>3908731694</v>
      </c>
      <c r="J141" s="31">
        <f t="shared" si="17"/>
        <v>0.12791873148200794</v>
      </c>
      <c r="K141" s="37">
        <v>2</v>
      </c>
      <c r="L141" s="22" t="s">
        <v>265</v>
      </c>
      <c r="M141" s="22"/>
      <c r="N141" s="22" t="s">
        <v>170</v>
      </c>
      <c r="O141" s="45" t="s">
        <v>252</v>
      </c>
      <c r="P141" s="22">
        <v>55750</v>
      </c>
      <c r="Q141" s="22">
        <v>3345000</v>
      </c>
      <c r="R141" s="6"/>
      <c r="S141" s="6"/>
      <c r="T141" s="6"/>
    </row>
    <row r="142" spans="1:20" ht="14.25" customHeight="1" x14ac:dyDescent="0.25">
      <c r="A142" s="22"/>
      <c r="B142" s="57">
        <v>7</v>
      </c>
      <c r="C142" s="58" t="s">
        <v>266</v>
      </c>
      <c r="D142" s="59"/>
      <c r="E142" s="47">
        <v>5</v>
      </c>
      <c r="F142" s="57" t="s">
        <v>267</v>
      </c>
      <c r="G142" s="28">
        <v>1650000</v>
      </c>
      <c r="H142" s="29">
        <f t="shared" si="16"/>
        <v>8250000</v>
      </c>
      <c r="I142" s="30">
        <v>3908731694</v>
      </c>
      <c r="J142" s="31">
        <f t="shared" si="17"/>
        <v>0.21106590694531308</v>
      </c>
      <c r="K142" s="37">
        <v>3</v>
      </c>
      <c r="L142" s="22" t="s">
        <v>268</v>
      </c>
      <c r="M142" s="22"/>
      <c r="N142" s="22" t="s">
        <v>269</v>
      </c>
      <c r="O142" s="45" t="s">
        <v>252</v>
      </c>
      <c r="P142" s="22">
        <v>55000</v>
      </c>
      <c r="Q142" s="22">
        <v>3300000</v>
      </c>
      <c r="R142" s="6"/>
      <c r="S142" s="6"/>
      <c r="T142" s="6"/>
    </row>
    <row r="143" spans="1:20" ht="14.25" customHeight="1" x14ac:dyDescent="0.25">
      <c r="A143" s="22"/>
      <c r="B143" s="57">
        <v>8</v>
      </c>
      <c r="C143" s="58" t="s">
        <v>270</v>
      </c>
      <c r="D143" s="59" t="s">
        <v>271</v>
      </c>
      <c r="E143" s="47">
        <f>1.35*2.6</f>
        <v>3.5100000000000002</v>
      </c>
      <c r="F143" s="59" t="s">
        <v>135</v>
      </c>
      <c r="G143" s="28">
        <v>2000000</v>
      </c>
      <c r="H143" s="29">
        <f t="shared" si="16"/>
        <v>7020000</v>
      </c>
      <c r="I143" s="30">
        <v>3908731694</v>
      </c>
      <c r="J143" s="31">
        <f t="shared" si="17"/>
        <v>0.17959789900073914</v>
      </c>
      <c r="K143" s="37">
        <v>4</v>
      </c>
      <c r="L143" s="22" t="s">
        <v>272</v>
      </c>
      <c r="M143" s="22"/>
      <c r="N143" s="22" t="s">
        <v>273</v>
      </c>
      <c r="O143" s="45" t="s">
        <v>274</v>
      </c>
      <c r="P143" s="22">
        <v>200000</v>
      </c>
      <c r="Q143" s="22">
        <v>9600000</v>
      </c>
      <c r="R143" s="6"/>
      <c r="S143" s="6"/>
      <c r="T143" s="6"/>
    </row>
    <row r="144" spans="1:20" ht="14.25" customHeight="1" x14ac:dyDescent="0.2">
      <c r="A144" s="22"/>
      <c r="B144" s="60"/>
      <c r="C144" s="61"/>
      <c r="D144" s="62"/>
      <c r="E144" s="63"/>
      <c r="F144" s="64"/>
      <c r="G144" s="65"/>
      <c r="H144" s="49">
        <f>SUM(H136:H143)</f>
        <v>59520000</v>
      </c>
      <c r="I144" s="30">
        <v>3908731694</v>
      </c>
      <c r="J144" s="43">
        <f t="shared" si="17"/>
        <v>1.5227445795618224</v>
      </c>
      <c r="K144" s="37">
        <v>5</v>
      </c>
      <c r="L144" s="22" t="s">
        <v>275</v>
      </c>
      <c r="M144" s="22"/>
      <c r="N144" s="22" t="s">
        <v>273</v>
      </c>
      <c r="O144" s="45" t="s">
        <v>256</v>
      </c>
      <c r="P144" s="22">
        <v>200000</v>
      </c>
      <c r="Q144" s="22">
        <v>2400000</v>
      </c>
      <c r="R144" s="6"/>
      <c r="S144" s="6"/>
      <c r="T144" s="6"/>
    </row>
    <row r="145" spans="1:20" ht="14.25" customHeight="1" x14ac:dyDescent="0.2">
      <c r="A145" s="22"/>
      <c r="B145" s="60"/>
      <c r="C145" s="61"/>
      <c r="D145" s="62"/>
      <c r="E145" s="63"/>
      <c r="F145" s="64"/>
      <c r="G145" s="65"/>
      <c r="H145" s="66">
        <f t="shared" ref="H145:H157" si="18">E145*G145</f>
        <v>0</v>
      </c>
      <c r="I145" s="44"/>
      <c r="J145" s="44"/>
      <c r="K145" s="37">
        <v>6</v>
      </c>
      <c r="L145" s="22" t="s">
        <v>276</v>
      </c>
      <c r="M145" s="22"/>
      <c r="N145" s="22" t="s">
        <v>277</v>
      </c>
      <c r="O145" s="45" t="s">
        <v>274</v>
      </c>
      <c r="P145" s="22">
        <v>293000</v>
      </c>
      <c r="Q145" s="22">
        <v>14064000</v>
      </c>
      <c r="R145" s="6"/>
      <c r="S145" s="6"/>
      <c r="T145" s="6"/>
    </row>
    <row r="146" spans="1:20" ht="14.25" hidden="1" customHeight="1" x14ac:dyDescent="0.2">
      <c r="A146" s="22"/>
      <c r="B146" s="60"/>
      <c r="C146" s="61"/>
      <c r="D146" s="62"/>
      <c r="E146" s="63"/>
      <c r="F146" s="64"/>
      <c r="G146" s="65"/>
      <c r="H146" s="66">
        <f t="shared" si="18"/>
        <v>0</v>
      </c>
      <c r="I146" s="44"/>
      <c r="J146" s="44"/>
      <c r="K146" s="37">
        <v>7</v>
      </c>
      <c r="L146" s="22" t="s">
        <v>278</v>
      </c>
      <c r="M146" s="22"/>
      <c r="N146" s="22" t="s">
        <v>279</v>
      </c>
      <c r="O146" s="45" t="s">
        <v>263</v>
      </c>
      <c r="P146" s="22">
        <v>1150000</v>
      </c>
      <c r="Q146" s="22">
        <v>64400000</v>
      </c>
      <c r="R146" s="6"/>
      <c r="S146" s="6"/>
      <c r="T146" s="6"/>
    </row>
    <row r="147" spans="1:20" ht="14.25" hidden="1" customHeight="1" x14ac:dyDescent="0.2">
      <c r="A147" s="22"/>
      <c r="B147" s="60"/>
      <c r="C147" s="61"/>
      <c r="D147" s="62"/>
      <c r="E147" s="63"/>
      <c r="F147" s="64"/>
      <c r="G147" s="65"/>
      <c r="H147" s="66">
        <f t="shared" si="18"/>
        <v>0</v>
      </c>
      <c r="I147" s="44"/>
      <c r="J147" s="44"/>
      <c r="K147" s="37">
        <v>8</v>
      </c>
      <c r="L147" s="22" t="s">
        <v>280</v>
      </c>
      <c r="M147" s="22"/>
      <c r="N147" s="22" t="s">
        <v>279</v>
      </c>
      <c r="O147" s="45" t="s">
        <v>281</v>
      </c>
      <c r="P147" s="22">
        <v>4000000</v>
      </c>
      <c r="Q147" s="22">
        <v>8000000</v>
      </c>
      <c r="R147" s="6"/>
      <c r="S147" s="6"/>
      <c r="T147" s="6"/>
    </row>
    <row r="148" spans="1:20" ht="14.25" hidden="1" customHeight="1" x14ac:dyDescent="0.2">
      <c r="A148" s="22"/>
      <c r="B148" s="60"/>
      <c r="C148" s="61"/>
      <c r="D148" s="62"/>
      <c r="E148" s="63"/>
      <c r="F148" s="64"/>
      <c r="G148" s="65"/>
      <c r="H148" s="66">
        <f t="shared" si="18"/>
        <v>0</v>
      </c>
      <c r="I148" s="44"/>
      <c r="J148" s="44"/>
      <c r="K148" s="37">
        <v>9</v>
      </c>
      <c r="L148" s="22" t="s">
        <v>282</v>
      </c>
      <c r="M148" s="22"/>
      <c r="N148" s="22" t="s">
        <v>283</v>
      </c>
      <c r="O148" s="45" t="s">
        <v>284</v>
      </c>
      <c r="P148" s="22">
        <v>180000</v>
      </c>
      <c r="Q148" s="22">
        <v>1800000</v>
      </c>
      <c r="R148" s="6"/>
      <c r="S148" s="6"/>
      <c r="T148" s="6"/>
    </row>
    <row r="149" spans="1:20" ht="14.25" hidden="1" customHeight="1" x14ac:dyDescent="0.2">
      <c r="A149" s="22"/>
      <c r="B149" s="60"/>
      <c r="C149" s="61"/>
      <c r="D149" s="62"/>
      <c r="E149" s="63"/>
      <c r="F149" s="64"/>
      <c r="G149" s="65"/>
      <c r="H149" s="66">
        <f t="shared" si="18"/>
        <v>0</v>
      </c>
      <c r="I149" s="44"/>
      <c r="J149" s="44"/>
      <c r="K149" s="37">
        <v>10</v>
      </c>
      <c r="L149" s="22" t="s">
        <v>285</v>
      </c>
      <c r="M149" s="22"/>
      <c r="N149" s="22" t="s">
        <v>286</v>
      </c>
      <c r="O149" s="45" t="s">
        <v>287</v>
      </c>
      <c r="P149" s="22">
        <v>215000</v>
      </c>
      <c r="Q149" s="22">
        <v>3010000</v>
      </c>
      <c r="R149" s="6"/>
      <c r="S149" s="6"/>
      <c r="T149" s="6"/>
    </row>
    <row r="150" spans="1:20" ht="14.25" hidden="1" customHeight="1" x14ac:dyDescent="0.2">
      <c r="A150" s="22"/>
      <c r="B150" s="60"/>
      <c r="C150" s="61"/>
      <c r="D150" s="62"/>
      <c r="E150" s="63"/>
      <c r="F150" s="64"/>
      <c r="G150" s="65"/>
      <c r="H150" s="66">
        <f t="shared" si="18"/>
        <v>0</v>
      </c>
      <c r="I150" s="44"/>
      <c r="J150" s="44"/>
      <c r="K150" s="37">
        <v>11</v>
      </c>
      <c r="L150" s="22" t="s">
        <v>288</v>
      </c>
      <c r="M150" s="22"/>
      <c r="N150" s="22" t="s">
        <v>289</v>
      </c>
      <c r="O150" s="45" t="s">
        <v>290</v>
      </c>
      <c r="P150" s="22">
        <v>6000000</v>
      </c>
      <c r="Q150" s="22">
        <v>24000000</v>
      </c>
      <c r="R150" s="6"/>
      <c r="S150" s="6"/>
      <c r="T150" s="6"/>
    </row>
    <row r="151" spans="1:20" ht="14.25" hidden="1" customHeight="1" x14ac:dyDescent="0.2">
      <c r="A151" s="22"/>
      <c r="B151" s="60"/>
      <c r="C151" s="61"/>
      <c r="D151" s="62"/>
      <c r="E151" s="63"/>
      <c r="F151" s="64"/>
      <c r="G151" s="65"/>
      <c r="H151" s="66">
        <f t="shared" si="18"/>
        <v>0</v>
      </c>
      <c r="I151" s="44"/>
      <c r="J151" s="44"/>
      <c r="K151" s="37">
        <v>12</v>
      </c>
      <c r="L151" s="22" t="s">
        <v>291</v>
      </c>
      <c r="M151" s="22"/>
      <c r="N151" s="22" t="s">
        <v>292</v>
      </c>
      <c r="O151" s="45" t="s">
        <v>293</v>
      </c>
      <c r="P151" s="22">
        <v>400000</v>
      </c>
      <c r="Q151" s="22">
        <v>1800000</v>
      </c>
      <c r="R151" s="6"/>
      <c r="S151" s="6"/>
      <c r="T151" s="6"/>
    </row>
    <row r="152" spans="1:20" ht="14.25" hidden="1" customHeight="1" x14ac:dyDescent="0.2">
      <c r="A152" s="22"/>
      <c r="B152" s="60"/>
      <c r="C152" s="61"/>
      <c r="D152" s="62"/>
      <c r="E152" s="63"/>
      <c r="F152" s="64"/>
      <c r="G152" s="65"/>
      <c r="H152" s="66">
        <f t="shared" si="18"/>
        <v>0</v>
      </c>
      <c r="I152" s="44"/>
      <c r="J152" s="44"/>
      <c r="K152" s="37">
        <v>13</v>
      </c>
      <c r="L152" s="22" t="s">
        <v>294</v>
      </c>
      <c r="M152" s="22"/>
      <c r="N152" s="22" t="s">
        <v>295</v>
      </c>
      <c r="O152" s="45" t="s">
        <v>42</v>
      </c>
      <c r="P152" s="22">
        <v>4500000</v>
      </c>
      <c r="Q152" s="22">
        <v>4500000</v>
      </c>
      <c r="R152" s="6"/>
      <c r="S152" s="6"/>
      <c r="T152" s="6"/>
    </row>
    <row r="153" spans="1:20" ht="14.25" hidden="1" customHeight="1" x14ac:dyDescent="0.2">
      <c r="A153" s="22"/>
      <c r="B153" s="60"/>
      <c r="C153" s="61"/>
      <c r="D153" s="62"/>
      <c r="E153" s="63"/>
      <c r="F153" s="64"/>
      <c r="G153" s="65"/>
      <c r="H153" s="66">
        <f t="shared" si="18"/>
        <v>0</v>
      </c>
      <c r="I153" s="44"/>
      <c r="J153" s="44"/>
      <c r="K153" s="37"/>
      <c r="L153" s="22"/>
      <c r="M153" s="22"/>
      <c r="N153" s="22"/>
      <c r="O153" s="45"/>
      <c r="P153" s="22"/>
      <c r="Q153" s="22"/>
      <c r="R153" s="6"/>
      <c r="S153" s="6"/>
      <c r="T153" s="6"/>
    </row>
    <row r="154" spans="1:20" ht="14.25" hidden="1" customHeight="1" x14ac:dyDescent="0.2">
      <c r="A154" s="22"/>
      <c r="B154" s="60"/>
      <c r="C154" s="61"/>
      <c r="D154" s="62"/>
      <c r="E154" s="63"/>
      <c r="F154" s="64"/>
      <c r="G154" s="65"/>
      <c r="H154" s="66">
        <f t="shared" si="18"/>
        <v>0</v>
      </c>
      <c r="I154" s="1"/>
      <c r="J154" s="1"/>
      <c r="K154" s="19" t="s">
        <v>122</v>
      </c>
      <c r="L154" s="21" t="s">
        <v>296</v>
      </c>
      <c r="M154" s="21"/>
      <c r="N154" s="21"/>
      <c r="O154" s="21"/>
      <c r="P154" s="15"/>
      <c r="Q154" s="15"/>
      <c r="R154" s="6"/>
      <c r="S154" s="6"/>
      <c r="T154" s="6"/>
    </row>
    <row r="155" spans="1:20" ht="14.25" hidden="1" customHeight="1" x14ac:dyDescent="0.2">
      <c r="A155" s="22"/>
      <c r="B155" s="60"/>
      <c r="C155" s="61"/>
      <c r="D155" s="62"/>
      <c r="E155" s="63"/>
      <c r="F155" s="64"/>
      <c r="G155" s="65"/>
      <c r="H155" s="66">
        <f t="shared" si="18"/>
        <v>0</v>
      </c>
      <c r="I155" s="44"/>
      <c r="J155" s="44"/>
      <c r="K155" s="37">
        <v>1</v>
      </c>
      <c r="L155" s="22" t="s">
        <v>297</v>
      </c>
      <c r="M155" s="22"/>
      <c r="N155" s="22" t="s">
        <v>298</v>
      </c>
      <c r="O155" s="45" t="s">
        <v>299</v>
      </c>
      <c r="P155" s="22">
        <v>145000</v>
      </c>
      <c r="Q155" s="22">
        <v>2900000</v>
      </c>
      <c r="R155" s="6"/>
      <c r="S155" s="6"/>
      <c r="T155" s="6"/>
    </row>
    <row r="156" spans="1:20" ht="14.25" hidden="1" customHeight="1" x14ac:dyDescent="0.2">
      <c r="A156" s="22"/>
      <c r="B156" s="60"/>
      <c r="C156" s="61"/>
      <c r="D156" s="62"/>
      <c r="E156" s="63"/>
      <c r="F156" s="64"/>
      <c r="G156" s="65"/>
      <c r="H156" s="66">
        <f t="shared" si="18"/>
        <v>0</v>
      </c>
      <c r="I156" s="44"/>
      <c r="J156" s="44"/>
      <c r="K156" s="37">
        <v>2</v>
      </c>
      <c r="L156" s="22" t="s">
        <v>300</v>
      </c>
      <c r="M156" s="22"/>
      <c r="N156" s="22"/>
      <c r="O156" s="45" t="s">
        <v>42</v>
      </c>
      <c r="P156" s="22">
        <v>300000</v>
      </c>
      <c r="Q156" s="22">
        <v>300000</v>
      </c>
      <c r="R156" s="6"/>
      <c r="S156" s="6"/>
      <c r="T156" s="6"/>
    </row>
    <row r="157" spans="1:20" ht="14.25" hidden="1" customHeight="1" x14ac:dyDescent="0.2">
      <c r="A157" s="22"/>
      <c r="B157" s="60"/>
      <c r="C157" s="61"/>
      <c r="D157" s="62"/>
      <c r="E157" s="63"/>
      <c r="F157" s="64"/>
      <c r="G157" s="65"/>
      <c r="H157" s="66">
        <f t="shared" si="18"/>
        <v>0</v>
      </c>
      <c r="I157" s="67"/>
      <c r="J157" s="68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ht="14.25" customHeight="1" x14ac:dyDescent="0.2">
      <c r="A158" s="6"/>
      <c r="B158" s="68"/>
      <c r="C158" s="69"/>
      <c r="D158" s="70"/>
      <c r="E158" s="70"/>
      <c r="F158" s="68"/>
      <c r="G158" s="68"/>
      <c r="H158" s="68"/>
      <c r="I158" s="68"/>
      <c r="J158" s="68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ht="14.25" customHeight="1" x14ac:dyDescent="0.2">
      <c r="A159" s="6"/>
      <c r="B159" s="68"/>
      <c r="C159" s="69"/>
      <c r="D159" s="70"/>
      <c r="E159" s="70"/>
      <c r="F159" s="68"/>
      <c r="G159" s="71" t="s">
        <v>301</v>
      </c>
      <c r="H159" s="72">
        <f>SUM(H7:H157)/2</f>
        <v>3280456694.4444447</v>
      </c>
      <c r="I159" s="67"/>
      <c r="J159" s="68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ht="14.25" customHeight="1" x14ac:dyDescent="0.2">
      <c r="A160" s="6"/>
      <c r="B160" s="73" t="s">
        <v>302</v>
      </c>
      <c r="C160" s="74"/>
      <c r="D160" s="68"/>
      <c r="E160" s="68"/>
      <c r="F160" s="68"/>
      <c r="G160" s="75"/>
      <c r="H160" s="75"/>
      <c r="I160" s="75"/>
      <c r="J160" s="68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ht="14.25" customHeight="1" x14ac:dyDescent="0.2">
      <c r="A161" s="6"/>
      <c r="B161" s="76" t="s">
        <v>303</v>
      </c>
      <c r="C161" s="69"/>
      <c r="D161" s="68"/>
      <c r="E161" s="68"/>
      <c r="F161" s="68"/>
      <c r="G161" s="68"/>
      <c r="H161" s="68"/>
      <c r="I161" s="68"/>
      <c r="J161" s="68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ht="14.25" customHeight="1" x14ac:dyDescent="0.2">
      <c r="A162" s="6"/>
      <c r="B162" s="76" t="s">
        <v>304</v>
      </c>
      <c r="C162" s="69"/>
      <c r="D162" s="68"/>
      <c r="E162" s="68"/>
      <c r="F162" s="68"/>
      <c r="G162" s="68"/>
      <c r="H162" s="68"/>
      <c r="I162" s="68"/>
      <c r="J162" s="68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ht="14.25" customHeight="1" x14ac:dyDescent="0.2">
      <c r="A163" s="6"/>
      <c r="B163" s="76"/>
      <c r="C163" s="69"/>
      <c r="D163" s="68"/>
      <c r="E163" s="68"/>
      <c r="F163" s="68"/>
      <c r="G163" s="68"/>
      <c r="H163" s="68"/>
      <c r="I163" s="68"/>
      <c r="J163" s="68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ht="14.25" customHeight="1" x14ac:dyDescent="0.2">
      <c r="A164" s="6"/>
      <c r="B164" s="284" t="s">
        <v>29</v>
      </c>
      <c r="C164" s="284" t="s">
        <v>30</v>
      </c>
      <c r="D164" s="284" t="s">
        <v>31</v>
      </c>
      <c r="E164" s="284" t="s">
        <v>32</v>
      </c>
      <c r="F164" s="284" t="s">
        <v>33</v>
      </c>
      <c r="G164" s="284" t="s">
        <v>34</v>
      </c>
      <c r="H164" s="285" t="s">
        <v>305</v>
      </c>
      <c r="I164" s="285" t="s">
        <v>36</v>
      </c>
      <c r="J164" s="285" t="s">
        <v>37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ht="14.25" customHeight="1" x14ac:dyDescent="0.2">
      <c r="A165" s="6"/>
      <c r="B165" s="284"/>
      <c r="C165" s="284"/>
      <c r="D165" s="284"/>
      <c r="E165" s="284"/>
      <c r="F165" s="284"/>
      <c r="G165" s="284"/>
      <c r="H165" s="284"/>
      <c r="I165" s="284"/>
      <c r="J165" s="284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ht="14.25" customHeight="1" x14ac:dyDescent="0.25">
      <c r="A166" s="6"/>
      <c r="B166" s="16" t="s">
        <v>38</v>
      </c>
      <c r="C166" s="16" t="s">
        <v>39</v>
      </c>
      <c r="D166" s="16"/>
      <c r="E166" s="16"/>
      <c r="F166" s="16"/>
      <c r="G166" s="17"/>
      <c r="H166" s="18"/>
      <c r="I166" s="75"/>
      <c r="J166" s="68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ht="14.25" customHeight="1" x14ac:dyDescent="0.2">
      <c r="A167" s="6"/>
      <c r="B167" s="23">
        <v>1</v>
      </c>
      <c r="C167" s="24" t="s">
        <v>39</v>
      </c>
      <c r="D167" s="25"/>
      <c r="E167" s="26">
        <v>1</v>
      </c>
      <c r="F167" s="27" t="s">
        <v>41</v>
      </c>
      <c r="G167" s="28">
        <v>1000000</v>
      </c>
      <c r="H167" s="28">
        <f>E167*G167</f>
        <v>1000000</v>
      </c>
      <c r="I167" s="30">
        <v>3908731694</v>
      </c>
      <c r="J167" s="31">
        <f t="shared" ref="J167:J172" si="19">H167/I167*100</f>
        <v>2.5583746296401588E-2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ht="14.25" customHeight="1" x14ac:dyDescent="0.2">
      <c r="A168" s="6"/>
      <c r="B168" s="23">
        <v>2</v>
      </c>
      <c r="C168" s="24" t="s">
        <v>43</v>
      </c>
      <c r="D168" s="36"/>
      <c r="E168" s="26">
        <v>504</v>
      </c>
      <c r="F168" s="27" t="s">
        <v>135</v>
      </c>
      <c r="G168" s="28">
        <v>10000</v>
      </c>
      <c r="H168" s="28">
        <f>E168*G168</f>
        <v>5040000</v>
      </c>
      <c r="I168" s="30">
        <v>3908731694</v>
      </c>
      <c r="J168" s="31">
        <f t="shared" si="19"/>
        <v>0.12894208133386401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ht="14.25" customHeight="1" x14ac:dyDescent="0.2">
      <c r="A169" s="6"/>
      <c r="B169" s="23">
        <v>3</v>
      </c>
      <c r="C169" s="24" t="s">
        <v>44</v>
      </c>
      <c r="D169" s="36"/>
      <c r="E169" s="36"/>
      <c r="F169" s="27"/>
      <c r="G169" s="28"/>
      <c r="H169" s="28">
        <f>E169*G169</f>
        <v>0</v>
      </c>
      <c r="I169" s="30">
        <v>3908731694</v>
      </c>
      <c r="J169" s="31">
        <f t="shared" si="19"/>
        <v>0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ht="14.25" customHeight="1" x14ac:dyDescent="0.2">
      <c r="A170" s="6"/>
      <c r="B170" s="23">
        <v>4</v>
      </c>
      <c r="C170" s="24" t="s">
        <v>46</v>
      </c>
      <c r="D170" s="36"/>
      <c r="E170" s="26">
        <v>1</v>
      </c>
      <c r="F170" s="27" t="s">
        <v>41</v>
      </c>
      <c r="G170" s="28">
        <v>1000000</v>
      </c>
      <c r="H170" s="28">
        <f>E170*G170</f>
        <v>1000000</v>
      </c>
      <c r="I170" s="30">
        <v>3908731694</v>
      </c>
      <c r="J170" s="31">
        <f t="shared" si="19"/>
        <v>2.5583746296401588E-2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ht="14.25" customHeight="1" x14ac:dyDescent="0.2">
      <c r="A171" s="6"/>
      <c r="B171" s="23">
        <v>5</v>
      </c>
      <c r="C171" s="24" t="s">
        <v>45</v>
      </c>
      <c r="D171" s="25"/>
      <c r="E171" s="26">
        <v>1</v>
      </c>
      <c r="F171" s="27" t="s">
        <v>41</v>
      </c>
      <c r="G171" s="28">
        <v>5000000</v>
      </c>
      <c r="H171" s="28">
        <f>E171*G171</f>
        <v>5000000</v>
      </c>
      <c r="I171" s="30">
        <v>3908731694</v>
      </c>
      <c r="J171" s="31">
        <f t="shared" si="19"/>
        <v>0.12791873148200794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ht="14.25" customHeight="1" x14ac:dyDescent="0.25">
      <c r="A172" s="6"/>
      <c r="B172" s="77"/>
      <c r="C172" s="16"/>
      <c r="D172" s="39"/>
      <c r="E172" s="78"/>
      <c r="F172" s="40"/>
      <c r="G172" s="41"/>
      <c r="H172" s="79">
        <f>SUM(H167:H171)</f>
        <v>12040000</v>
      </c>
      <c r="I172" s="30">
        <v>3908731694</v>
      </c>
      <c r="J172" s="43">
        <f t="shared" si="19"/>
        <v>0.3080283054086751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ht="14.25" customHeight="1" x14ac:dyDescent="0.25">
      <c r="A173" s="6"/>
      <c r="B173" s="16"/>
      <c r="C173" s="16"/>
      <c r="D173" s="25"/>
      <c r="E173" s="25"/>
      <c r="F173" s="27"/>
      <c r="G173" s="28"/>
      <c r="H173" s="28"/>
      <c r="I173" s="75"/>
      <c r="J173" s="68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ht="14.25" customHeight="1" x14ac:dyDescent="0.2">
      <c r="A174" s="6"/>
      <c r="B174" s="77" t="s">
        <v>49</v>
      </c>
      <c r="C174" s="80" t="s">
        <v>306</v>
      </c>
      <c r="D174" s="25"/>
      <c r="E174" s="47"/>
      <c r="F174" s="27"/>
      <c r="G174" s="28"/>
      <c r="H174" s="28"/>
      <c r="I174" s="75"/>
      <c r="J174" s="68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ht="14.25" customHeight="1" x14ac:dyDescent="0.2">
      <c r="A175" s="6"/>
      <c r="B175" s="23">
        <v>1</v>
      </c>
      <c r="C175" s="46" t="s">
        <v>307</v>
      </c>
      <c r="D175" s="25" t="s">
        <v>308</v>
      </c>
      <c r="E175" s="48">
        <v>108</v>
      </c>
      <c r="F175" s="27" t="s">
        <v>135</v>
      </c>
      <c r="G175" s="28">
        <v>50000</v>
      </c>
      <c r="H175" s="28">
        <f>E175*G175</f>
        <v>5400000</v>
      </c>
      <c r="I175" s="30">
        <v>3908731694</v>
      </c>
      <c r="J175" s="31">
        <f t="shared" ref="J175:J180" si="20">H175/I175*100</f>
        <v>0.13815223000056856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ht="14.25" customHeight="1" x14ac:dyDescent="0.2">
      <c r="A176" s="6"/>
      <c r="B176" s="23">
        <v>2</v>
      </c>
      <c r="C176" s="46" t="s">
        <v>309</v>
      </c>
      <c r="D176" s="25" t="s">
        <v>310</v>
      </c>
      <c r="E176" s="48">
        <v>0</v>
      </c>
      <c r="F176" s="27" t="s">
        <v>135</v>
      </c>
      <c r="G176" s="28">
        <v>220000</v>
      </c>
      <c r="H176" s="28">
        <f>E176*G176</f>
        <v>0</v>
      </c>
      <c r="I176" s="30">
        <v>3908731694</v>
      </c>
      <c r="J176" s="31">
        <f t="shared" si="20"/>
        <v>0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ht="14.25" customHeight="1" x14ac:dyDescent="0.2">
      <c r="A177" s="6"/>
      <c r="B177" s="23">
        <v>3</v>
      </c>
      <c r="C177" s="46" t="s">
        <v>311</v>
      </c>
      <c r="D177" s="25" t="s">
        <v>312</v>
      </c>
      <c r="E177" s="48">
        <f>E175</f>
        <v>108</v>
      </c>
      <c r="F177" s="27" t="s">
        <v>135</v>
      </c>
      <c r="G177" s="28">
        <v>390000</v>
      </c>
      <c r="H177" s="28">
        <f>E177*G177</f>
        <v>42120000</v>
      </c>
      <c r="I177" s="30">
        <v>3908731694</v>
      </c>
      <c r="J177" s="31">
        <f t="shared" si="20"/>
        <v>1.0775873940044347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ht="14.25" customHeight="1" x14ac:dyDescent="0.2">
      <c r="A178" s="6"/>
      <c r="B178" s="23">
        <v>4</v>
      </c>
      <c r="C178" s="46" t="s">
        <v>313</v>
      </c>
      <c r="D178" s="25" t="s">
        <v>314</v>
      </c>
      <c r="E178" s="48">
        <f>E175</f>
        <v>108</v>
      </c>
      <c r="F178" s="27" t="s">
        <v>135</v>
      </c>
      <c r="G178" s="28">
        <v>65000</v>
      </c>
      <c r="H178" s="28">
        <f>E178*G178</f>
        <v>7020000</v>
      </c>
      <c r="I178" s="30">
        <v>3908731694</v>
      </c>
      <c r="J178" s="31">
        <f t="shared" si="20"/>
        <v>0.17959789900073914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ht="14.25" customHeight="1" x14ac:dyDescent="0.2">
      <c r="A179" s="6"/>
      <c r="B179" s="23">
        <v>5</v>
      </c>
      <c r="C179" s="46" t="s">
        <v>315</v>
      </c>
      <c r="D179" s="25" t="s">
        <v>316</v>
      </c>
      <c r="E179" s="52">
        <v>0.5</v>
      </c>
      <c r="F179" s="27" t="s">
        <v>73</v>
      </c>
      <c r="G179" s="28">
        <v>1500000</v>
      </c>
      <c r="H179" s="28">
        <f>E179*G179</f>
        <v>750000</v>
      </c>
      <c r="I179" s="30">
        <v>3908731694</v>
      </c>
      <c r="J179" s="31">
        <f t="shared" si="20"/>
        <v>1.9187809722301191E-2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ht="14.25" customHeight="1" x14ac:dyDescent="0.2">
      <c r="A180" s="6"/>
      <c r="B180" s="77"/>
      <c r="C180" s="80"/>
      <c r="D180" s="25"/>
      <c r="E180" s="47"/>
      <c r="F180" s="27"/>
      <c r="G180" s="28"/>
      <c r="H180" s="79">
        <f>SUM(H175:H179)</f>
        <v>55290000</v>
      </c>
      <c r="I180" s="30">
        <v>3908731694</v>
      </c>
      <c r="J180" s="43">
        <f t="shared" si="20"/>
        <v>1.4145253327280438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ht="14.25" customHeight="1" x14ac:dyDescent="0.2">
      <c r="A181" s="6"/>
      <c r="B181" s="77"/>
      <c r="C181" s="80"/>
      <c r="D181" s="25"/>
      <c r="E181" s="47"/>
      <c r="F181" s="27"/>
      <c r="G181" s="28"/>
      <c r="H181" s="28"/>
      <c r="I181" s="30"/>
      <c r="J181" s="31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ht="14.25" customHeight="1" x14ac:dyDescent="0.2">
      <c r="A182" s="6"/>
      <c r="B182" s="77" t="s">
        <v>80</v>
      </c>
      <c r="C182" s="80" t="s">
        <v>317</v>
      </c>
      <c r="D182" s="25"/>
      <c r="E182" s="47"/>
      <c r="F182" s="27"/>
      <c r="G182" s="28"/>
      <c r="H182" s="28"/>
      <c r="I182" s="30"/>
      <c r="J182" s="31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ht="14.25" customHeight="1" x14ac:dyDescent="0.2">
      <c r="A183" s="6"/>
      <c r="B183" s="23">
        <v>1</v>
      </c>
      <c r="C183" s="46" t="s">
        <v>307</v>
      </c>
      <c r="D183" s="25" t="s">
        <v>308</v>
      </c>
      <c r="E183" s="48">
        <f>148*1.05</f>
        <v>155.4</v>
      </c>
      <c r="F183" s="27" t="s">
        <v>135</v>
      </c>
      <c r="G183" s="28">
        <v>50000</v>
      </c>
      <c r="H183" s="28"/>
      <c r="I183" s="30"/>
      <c r="J183" s="31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ht="14.25" customHeight="1" x14ac:dyDescent="0.2">
      <c r="A184" s="6"/>
      <c r="B184" s="23">
        <v>2</v>
      </c>
      <c r="C184" s="46" t="s">
        <v>309</v>
      </c>
      <c r="D184" s="25" t="s">
        <v>310</v>
      </c>
      <c r="E184" s="48">
        <f>E183</f>
        <v>155.4</v>
      </c>
      <c r="F184" s="27" t="s">
        <v>135</v>
      </c>
      <c r="G184" s="28">
        <v>215000</v>
      </c>
      <c r="H184" s="28"/>
      <c r="I184" s="30"/>
      <c r="J184" s="31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ht="14.25" customHeight="1" x14ac:dyDescent="0.2">
      <c r="A185" s="6"/>
      <c r="B185" s="23">
        <v>3</v>
      </c>
      <c r="C185" s="46" t="s">
        <v>318</v>
      </c>
      <c r="D185" s="25" t="s">
        <v>319</v>
      </c>
      <c r="E185" s="48">
        <f>18.5*3.7</f>
        <v>68.45</v>
      </c>
      <c r="F185" s="27" t="s">
        <v>135</v>
      </c>
      <c r="G185" s="28">
        <v>330000</v>
      </c>
      <c r="H185" s="28"/>
      <c r="I185" s="30"/>
      <c r="J185" s="31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ht="14.25" customHeight="1" x14ac:dyDescent="0.2">
      <c r="A186" s="6"/>
      <c r="B186" s="23">
        <v>4</v>
      </c>
      <c r="C186" s="81" t="s">
        <v>320</v>
      </c>
      <c r="D186" s="82" t="s">
        <v>321</v>
      </c>
      <c r="E186" s="48">
        <v>0</v>
      </c>
      <c r="F186" s="27" t="s">
        <v>73</v>
      </c>
      <c r="G186" s="28">
        <v>5200000</v>
      </c>
      <c r="H186" s="28"/>
      <c r="I186" s="30"/>
      <c r="J186" s="31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ht="14.25" customHeight="1" x14ac:dyDescent="0.2">
      <c r="A187" s="6"/>
      <c r="B187" s="23">
        <v>5</v>
      </c>
      <c r="C187" s="46" t="s">
        <v>322</v>
      </c>
      <c r="D187" s="25" t="s">
        <v>323</v>
      </c>
      <c r="E187" s="48">
        <f>E183</f>
        <v>155.4</v>
      </c>
      <c r="F187" s="27" t="s">
        <v>135</v>
      </c>
      <c r="G187" s="28">
        <v>180000</v>
      </c>
      <c r="H187" s="28"/>
      <c r="I187" s="30"/>
      <c r="J187" s="31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ht="14.25" customHeight="1" x14ac:dyDescent="0.2">
      <c r="A188" s="6"/>
      <c r="B188" s="23">
        <v>6</v>
      </c>
      <c r="C188" s="46" t="s">
        <v>324</v>
      </c>
      <c r="D188" s="25" t="s">
        <v>325</v>
      </c>
      <c r="E188" s="48">
        <v>4</v>
      </c>
      <c r="F188" s="27" t="s">
        <v>73</v>
      </c>
      <c r="G188" s="28">
        <v>11050000</v>
      </c>
      <c r="H188" s="28"/>
      <c r="I188" s="30"/>
      <c r="J188" s="31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ht="14.25" customHeight="1" x14ac:dyDescent="0.2">
      <c r="A189" s="6"/>
      <c r="B189" s="23">
        <v>7</v>
      </c>
      <c r="C189" s="46" t="s">
        <v>326</v>
      </c>
      <c r="D189" s="25" t="s">
        <v>327</v>
      </c>
      <c r="E189" s="48">
        <v>15</v>
      </c>
      <c r="F189" s="27" t="s">
        <v>267</v>
      </c>
      <c r="G189" s="28">
        <v>200000</v>
      </c>
      <c r="H189" s="28"/>
      <c r="I189" s="30"/>
      <c r="J189" s="31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ht="14.25" customHeight="1" x14ac:dyDescent="0.2">
      <c r="A190" s="6"/>
      <c r="B190" s="23"/>
      <c r="C190" s="46"/>
      <c r="D190" s="25"/>
      <c r="E190" s="48"/>
      <c r="F190" s="27"/>
      <c r="G190" s="28"/>
      <c r="H190" s="79">
        <f>SUM(H183:H189)</f>
        <v>0</v>
      </c>
      <c r="I190" s="30"/>
      <c r="J190" s="31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ht="14.25" customHeight="1" x14ac:dyDescent="0.2">
      <c r="A191" s="6"/>
      <c r="B191" s="77"/>
      <c r="C191" s="80"/>
      <c r="D191" s="25"/>
      <c r="E191" s="48"/>
      <c r="F191" s="27"/>
      <c r="G191" s="28"/>
      <c r="H191" s="28"/>
      <c r="I191" s="30"/>
      <c r="J191" s="31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ht="14.25" customHeight="1" x14ac:dyDescent="0.2">
      <c r="A192" s="6"/>
      <c r="B192" s="77" t="s">
        <v>80</v>
      </c>
      <c r="C192" s="80" t="s">
        <v>328</v>
      </c>
      <c r="D192" s="25"/>
      <c r="E192" s="48"/>
      <c r="F192" s="27"/>
      <c r="G192" s="28"/>
      <c r="H192" s="28"/>
      <c r="I192" s="30"/>
      <c r="J192" s="31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ht="14.25" customHeight="1" x14ac:dyDescent="0.2">
      <c r="A193" s="6"/>
      <c r="B193" s="23">
        <v>1</v>
      </c>
      <c r="C193" s="46" t="s">
        <v>329</v>
      </c>
      <c r="D193" s="25" t="s">
        <v>319</v>
      </c>
      <c r="E193" s="48">
        <v>39</v>
      </c>
      <c r="F193" s="27" t="s">
        <v>135</v>
      </c>
      <c r="G193" s="28">
        <v>350000</v>
      </c>
      <c r="H193" s="28">
        <f>E193*G193</f>
        <v>13650000</v>
      </c>
      <c r="I193" s="30">
        <v>3908731694</v>
      </c>
      <c r="J193" s="31">
        <f>H193/I193*100</f>
        <v>0.34921813694588166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ht="14.25" customHeight="1" x14ac:dyDescent="0.2">
      <c r="A194" s="6"/>
      <c r="B194" s="23">
        <v>2</v>
      </c>
      <c r="C194" s="46" t="s">
        <v>330</v>
      </c>
      <c r="D194" s="25" t="s">
        <v>331</v>
      </c>
      <c r="E194" s="48">
        <v>1</v>
      </c>
      <c r="F194" s="27" t="s">
        <v>73</v>
      </c>
      <c r="G194" s="28">
        <v>3000000</v>
      </c>
      <c r="H194" s="28">
        <f>E194*G194</f>
        <v>3000000</v>
      </c>
      <c r="I194" s="30">
        <v>3908731694</v>
      </c>
      <c r="J194" s="31">
        <f>H194/I194*100</f>
        <v>7.6751238889204765E-2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ht="14.25" customHeight="1" x14ac:dyDescent="0.2">
      <c r="A195" s="6"/>
      <c r="B195" s="23">
        <v>3</v>
      </c>
      <c r="C195" s="46" t="s">
        <v>332</v>
      </c>
      <c r="D195" s="25" t="s">
        <v>333</v>
      </c>
      <c r="E195" s="48">
        <v>110</v>
      </c>
      <c r="F195" s="27" t="s">
        <v>135</v>
      </c>
      <c r="G195" s="28">
        <v>185000</v>
      </c>
      <c r="H195" s="28">
        <f>E195*G195</f>
        <v>20350000</v>
      </c>
      <c r="I195" s="30">
        <v>3908731694</v>
      </c>
      <c r="J195" s="31">
        <f>H195/I195*100</f>
        <v>0.52062923713177223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ht="14.25" customHeight="1" x14ac:dyDescent="0.2">
      <c r="A196" s="6"/>
      <c r="B196" s="23">
        <v>4</v>
      </c>
      <c r="C196" s="46" t="s">
        <v>332</v>
      </c>
      <c r="D196" s="25" t="s">
        <v>333</v>
      </c>
      <c r="E196" s="48">
        <v>160</v>
      </c>
      <c r="F196" s="27" t="s">
        <v>135</v>
      </c>
      <c r="G196" s="28">
        <v>185000</v>
      </c>
      <c r="H196" s="28"/>
      <c r="I196" s="30"/>
      <c r="J196" s="31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ht="14.25" customHeight="1" x14ac:dyDescent="0.2">
      <c r="A197" s="6"/>
      <c r="B197" s="23">
        <v>5</v>
      </c>
      <c r="C197" s="46" t="s">
        <v>334</v>
      </c>
      <c r="D197" s="25" t="s">
        <v>335</v>
      </c>
      <c r="E197" s="48">
        <v>0</v>
      </c>
      <c r="F197" s="27" t="s">
        <v>135</v>
      </c>
      <c r="G197" s="28">
        <v>280000</v>
      </c>
      <c r="H197" s="28"/>
      <c r="I197" s="30"/>
      <c r="J197" s="31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ht="14.25" customHeight="1" x14ac:dyDescent="0.2">
      <c r="A198" s="6"/>
      <c r="B198" s="23">
        <v>6</v>
      </c>
      <c r="C198" s="46" t="s">
        <v>336</v>
      </c>
      <c r="D198" s="25" t="s">
        <v>337</v>
      </c>
      <c r="E198" s="48">
        <v>6</v>
      </c>
      <c r="F198" s="27" t="s">
        <v>267</v>
      </c>
      <c r="G198" s="28">
        <v>295000</v>
      </c>
      <c r="H198" s="28">
        <f t="shared" ref="H198:H203" si="21">E198*G198</f>
        <v>1770000</v>
      </c>
      <c r="I198" s="30">
        <v>3908731694</v>
      </c>
      <c r="J198" s="31">
        <f t="shared" ref="J198:J204" si="22">H198/I198*100</f>
        <v>4.5283230944630805E-2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ht="14.25" customHeight="1" x14ac:dyDescent="0.2">
      <c r="A199" s="6"/>
      <c r="B199" s="23">
        <v>7</v>
      </c>
      <c r="C199" s="46" t="s">
        <v>336</v>
      </c>
      <c r="D199" s="25" t="s">
        <v>338</v>
      </c>
      <c r="E199" s="48">
        <v>8</v>
      </c>
      <c r="F199" s="27" t="s">
        <v>267</v>
      </c>
      <c r="G199" s="28">
        <v>800000</v>
      </c>
      <c r="H199" s="28">
        <f t="shared" si="21"/>
        <v>6400000</v>
      </c>
      <c r="I199" s="30">
        <v>3908731694</v>
      </c>
      <c r="J199" s="31">
        <f t="shared" si="22"/>
        <v>0.16373597629697018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ht="14.25" customHeight="1" x14ac:dyDescent="0.2">
      <c r="A200" s="6"/>
      <c r="B200" s="23"/>
      <c r="C200" s="46"/>
      <c r="D200" s="25" t="s">
        <v>339</v>
      </c>
      <c r="E200" s="51">
        <v>50</v>
      </c>
      <c r="F200" s="27" t="s">
        <v>70</v>
      </c>
      <c r="G200" s="28">
        <v>100000</v>
      </c>
      <c r="H200" s="28">
        <f t="shared" si="21"/>
        <v>5000000</v>
      </c>
      <c r="I200" s="30">
        <v>3908731694</v>
      </c>
      <c r="J200" s="31">
        <f t="shared" si="22"/>
        <v>0.12791873148200794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ht="14.25" customHeight="1" x14ac:dyDescent="0.2">
      <c r="A201" s="6"/>
      <c r="B201" s="23">
        <v>8</v>
      </c>
      <c r="C201" s="83" t="s">
        <v>340</v>
      </c>
      <c r="D201" s="25" t="s">
        <v>341</v>
      </c>
      <c r="E201" s="51">
        <v>6</v>
      </c>
      <c r="F201" s="27" t="s">
        <v>267</v>
      </c>
      <c r="G201" s="28">
        <v>2500000</v>
      </c>
      <c r="H201" s="28">
        <f t="shared" si="21"/>
        <v>15000000</v>
      </c>
      <c r="I201" s="30">
        <v>3908731694</v>
      </c>
      <c r="J201" s="31">
        <f t="shared" si="22"/>
        <v>0.38375619444602382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ht="14.25" customHeight="1" x14ac:dyDescent="0.2">
      <c r="A202" s="6"/>
      <c r="B202" s="23">
        <v>9</v>
      </c>
      <c r="C202" s="46" t="s">
        <v>55</v>
      </c>
      <c r="D202" s="25" t="s">
        <v>56</v>
      </c>
      <c r="E202" s="47">
        <v>1560</v>
      </c>
      <c r="F202" s="27" t="s">
        <v>135</v>
      </c>
      <c r="G202" s="28">
        <v>120000</v>
      </c>
      <c r="H202" s="28">
        <f t="shared" si="21"/>
        <v>187200000</v>
      </c>
      <c r="I202" s="30">
        <v>3908731694</v>
      </c>
      <c r="J202" s="31">
        <f t="shared" si="22"/>
        <v>4.789277306686377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 ht="14.25" customHeight="1" x14ac:dyDescent="0.2">
      <c r="A203" s="6"/>
      <c r="B203" s="23">
        <v>10</v>
      </c>
      <c r="C203" s="46" t="s">
        <v>342</v>
      </c>
      <c r="D203" s="25" t="s">
        <v>343</v>
      </c>
      <c r="E203" s="47">
        <v>720</v>
      </c>
      <c r="F203" s="27" t="s">
        <v>57</v>
      </c>
      <c r="G203" s="28">
        <v>55000</v>
      </c>
      <c r="H203" s="28">
        <f t="shared" si="21"/>
        <v>39600000</v>
      </c>
      <c r="I203" s="30">
        <v>3908731694</v>
      </c>
      <c r="J203" s="31">
        <f t="shared" si="22"/>
        <v>1.0131163533375029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 ht="14.25" customHeight="1" x14ac:dyDescent="0.2">
      <c r="A204" s="6"/>
      <c r="B204" s="23"/>
      <c r="C204" s="46"/>
      <c r="D204" s="25"/>
      <c r="E204" s="48"/>
      <c r="F204" s="27"/>
      <c r="G204" s="28"/>
      <c r="H204" s="79">
        <f>SUM(H193:H203)</f>
        <v>291970000</v>
      </c>
      <c r="I204" s="30">
        <v>3908731694</v>
      </c>
      <c r="J204" s="43">
        <f t="shared" si="22"/>
        <v>7.4696864061603714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ht="14.25" customHeight="1" x14ac:dyDescent="0.2">
      <c r="A205" s="6"/>
      <c r="B205" s="68"/>
      <c r="C205" s="69"/>
      <c r="D205" s="70"/>
      <c r="E205" s="70"/>
      <c r="F205" s="68"/>
      <c r="G205" s="71" t="s">
        <v>301</v>
      </c>
      <c r="H205" s="72">
        <f>SUM(H166:H204)/2</f>
        <v>359300000</v>
      </c>
      <c r="I205" s="75"/>
      <c r="J205" s="68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 ht="14.25" customHeight="1" x14ac:dyDescent="0.2">
      <c r="A206" s="6"/>
      <c r="B206" s="68"/>
      <c r="C206" s="68"/>
      <c r="D206" s="68"/>
      <c r="E206" s="68"/>
      <c r="F206" s="68"/>
      <c r="G206" s="84"/>
      <c r="H206" s="68"/>
      <c r="I206" s="68"/>
      <c r="J206" s="68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ht="14.25" customHeight="1" x14ac:dyDescent="0.2">
      <c r="A207" s="6"/>
      <c r="B207" s="73" t="s">
        <v>344</v>
      </c>
      <c r="C207" s="74"/>
      <c r="D207" s="74"/>
      <c r="E207" s="68"/>
      <c r="F207" s="68"/>
      <c r="G207" s="68"/>
      <c r="H207" s="75"/>
      <c r="I207" s="75"/>
      <c r="J207" s="68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 ht="14.25" customHeight="1" x14ac:dyDescent="0.2">
      <c r="A208" s="6"/>
      <c r="B208" s="76"/>
      <c r="C208" s="69"/>
      <c r="D208" s="69"/>
      <c r="E208" s="68"/>
      <c r="F208" s="68"/>
      <c r="G208" s="68"/>
      <c r="H208" s="68"/>
      <c r="I208" s="68"/>
      <c r="J208" s="68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ht="14.25" customHeight="1" x14ac:dyDescent="0.2">
      <c r="A209" s="6"/>
      <c r="B209" s="284" t="s">
        <v>29</v>
      </c>
      <c r="C209" s="284" t="s">
        <v>345</v>
      </c>
      <c r="D209" s="2" t="s">
        <v>346</v>
      </c>
      <c r="E209" s="2" t="s">
        <v>32</v>
      </c>
      <c r="F209" s="2" t="s">
        <v>33</v>
      </c>
      <c r="G209" s="2" t="s">
        <v>34</v>
      </c>
      <c r="H209" s="284" t="s">
        <v>35</v>
      </c>
      <c r="I209" s="285" t="s">
        <v>36</v>
      </c>
      <c r="J209" s="285" t="s">
        <v>37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 ht="14.25" customHeight="1" x14ac:dyDescent="0.2">
      <c r="A210" s="6"/>
      <c r="B210" s="284"/>
      <c r="C210" s="284"/>
      <c r="D210" s="85"/>
      <c r="E210" s="85"/>
      <c r="F210" s="85"/>
      <c r="G210" s="85"/>
      <c r="H210" s="284"/>
      <c r="I210" s="284"/>
      <c r="J210" s="284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 ht="14.25" customHeight="1" x14ac:dyDescent="0.25">
      <c r="A211" s="6"/>
      <c r="B211" s="38" t="s">
        <v>38</v>
      </c>
      <c r="C211" s="86" t="s">
        <v>39</v>
      </c>
      <c r="D211" s="16"/>
      <c r="E211" s="36"/>
      <c r="F211" s="16"/>
      <c r="G211" s="17"/>
      <c r="H211" s="18"/>
      <c r="I211" s="75"/>
      <c r="J211" s="68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 ht="14.25" customHeight="1" x14ac:dyDescent="0.2">
      <c r="A212" s="6"/>
      <c r="B212" s="50">
        <v>1</v>
      </c>
      <c r="C212" s="24" t="s">
        <v>39</v>
      </c>
      <c r="D212" s="36"/>
      <c r="E212" s="36">
        <v>1</v>
      </c>
      <c r="F212" s="27" t="s">
        <v>41</v>
      </c>
      <c r="G212" s="28">
        <v>1690000</v>
      </c>
      <c r="H212" s="29">
        <f>E212*G212</f>
        <v>1690000</v>
      </c>
      <c r="I212" s="30">
        <v>3908731694</v>
      </c>
      <c r="J212" s="31">
        <f>H212/I212*100</f>
        <v>4.3236531240918682E-2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 ht="14.25" customHeight="1" x14ac:dyDescent="0.2">
      <c r="A213" s="6"/>
      <c r="B213" s="50">
        <v>2</v>
      </c>
      <c r="C213" s="46" t="s">
        <v>347</v>
      </c>
      <c r="D213" s="87" t="s">
        <v>348</v>
      </c>
      <c r="E213" s="36">
        <v>1</v>
      </c>
      <c r="F213" s="27" t="s">
        <v>41</v>
      </c>
      <c r="G213" s="28">
        <v>6500000</v>
      </c>
      <c r="H213" s="29">
        <f>E213*G213</f>
        <v>6500000</v>
      </c>
      <c r="I213" s="30">
        <v>3908731694</v>
      </c>
      <c r="J213" s="31">
        <f>H213/I213*100</f>
        <v>0.1662943509266103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 ht="14.25" customHeight="1" x14ac:dyDescent="0.2">
      <c r="A214" s="6"/>
      <c r="B214" s="50">
        <v>3</v>
      </c>
      <c r="C214" s="46" t="s">
        <v>349</v>
      </c>
      <c r="D214" s="87" t="s">
        <v>350</v>
      </c>
      <c r="E214" s="36">
        <v>1</v>
      </c>
      <c r="F214" s="27" t="s">
        <v>41</v>
      </c>
      <c r="G214" s="28">
        <v>2600000</v>
      </c>
      <c r="H214" s="29">
        <f>E214*G214</f>
        <v>2600000</v>
      </c>
      <c r="I214" s="30">
        <v>3908731694</v>
      </c>
      <c r="J214" s="31">
        <f>H214/I214*100</f>
        <v>6.6517740370644132E-2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 ht="14.25" customHeight="1" x14ac:dyDescent="0.2">
      <c r="A215" s="6"/>
      <c r="B215" s="50">
        <v>4</v>
      </c>
      <c r="C215" s="46" t="s">
        <v>351</v>
      </c>
      <c r="D215" s="88"/>
      <c r="E215" s="36">
        <v>1</v>
      </c>
      <c r="F215" s="27" t="s">
        <v>41</v>
      </c>
      <c r="G215" s="28">
        <v>1430000</v>
      </c>
      <c r="H215" s="29">
        <f>E215*G215</f>
        <v>1430000</v>
      </c>
      <c r="I215" s="30">
        <v>3908731694</v>
      </c>
      <c r="J215" s="31">
        <f>H215/I215*100</f>
        <v>3.6584757203854269E-2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 ht="14.25" customHeight="1" x14ac:dyDescent="0.2">
      <c r="A216" s="6"/>
      <c r="B216" s="50"/>
      <c r="C216" s="24"/>
      <c r="D216" s="36"/>
      <c r="E216" s="36"/>
      <c r="F216" s="27"/>
      <c r="G216" s="28"/>
      <c r="H216" s="49">
        <f>SUM(H212:H215)</f>
        <v>12220000</v>
      </c>
      <c r="I216" s="30">
        <v>3908731694</v>
      </c>
      <c r="J216" s="43">
        <f>H216/I216*100</f>
        <v>0.31263337974202737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ht="14.25" customHeight="1" x14ac:dyDescent="0.25">
      <c r="A217" s="6"/>
      <c r="B217" s="38" t="s">
        <v>49</v>
      </c>
      <c r="C217" s="86" t="s">
        <v>352</v>
      </c>
      <c r="D217" s="39"/>
      <c r="E217" s="39"/>
      <c r="F217" s="40"/>
      <c r="G217" s="41"/>
      <c r="H217" s="89"/>
      <c r="I217" s="75"/>
      <c r="J217" s="68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 ht="14.25" customHeight="1" x14ac:dyDescent="0.2">
      <c r="A218" s="6"/>
      <c r="B218" s="50">
        <v>1</v>
      </c>
      <c r="C218" s="24" t="s">
        <v>213</v>
      </c>
      <c r="D218" s="36"/>
      <c r="E218" s="36">
        <v>3.9</v>
      </c>
      <c r="F218" s="27" t="s">
        <v>353</v>
      </c>
      <c r="G218" s="28">
        <v>130000</v>
      </c>
      <c r="H218" s="29">
        <f>E218*G218</f>
        <v>507000</v>
      </c>
      <c r="I218" s="30">
        <v>3908731694</v>
      </c>
      <c r="J218" s="31">
        <f t="shared" ref="J218:J223" si="23">H218/I218*100</f>
        <v>1.2970959372275603E-2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ht="14.25" customHeight="1" x14ac:dyDescent="0.2">
      <c r="A219" s="6"/>
      <c r="B219" s="50">
        <v>2</v>
      </c>
      <c r="C219" s="46" t="s">
        <v>217</v>
      </c>
      <c r="D219" s="36"/>
      <c r="E219" s="36">
        <v>1</v>
      </c>
      <c r="F219" s="27" t="s">
        <v>73</v>
      </c>
      <c r="G219" s="28">
        <v>780000</v>
      </c>
      <c r="H219" s="29">
        <f>E219*G219</f>
        <v>780000</v>
      </c>
      <c r="I219" s="30">
        <v>3908731694</v>
      </c>
      <c r="J219" s="31">
        <f t="shared" si="23"/>
        <v>1.995532211119324E-2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ht="14.25" customHeight="1" x14ac:dyDescent="0.2">
      <c r="A220" s="6"/>
      <c r="B220" s="50">
        <v>3</v>
      </c>
      <c r="C220" s="24" t="s">
        <v>354</v>
      </c>
      <c r="D220" s="25" t="s">
        <v>355</v>
      </c>
      <c r="E220" s="36">
        <v>48</v>
      </c>
      <c r="F220" s="27" t="s">
        <v>135</v>
      </c>
      <c r="G220" s="28">
        <v>400000</v>
      </c>
      <c r="H220" s="29">
        <f>E220*G220</f>
        <v>19200000</v>
      </c>
      <c r="I220" s="30">
        <v>3908731694</v>
      </c>
      <c r="J220" s="31">
        <f t="shared" si="23"/>
        <v>0.49120792889091047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 ht="14.25" customHeight="1" x14ac:dyDescent="0.2">
      <c r="A221" s="6"/>
      <c r="B221" s="50">
        <v>4</v>
      </c>
      <c r="C221" s="24" t="s">
        <v>228</v>
      </c>
      <c r="D221" s="36"/>
      <c r="E221" s="36">
        <v>1</v>
      </c>
      <c r="F221" s="27" t="s">
        <v>54</v>
      </c>
      <c r="G221" s="28">
        <v>1300000</v>
      </c>
      <c r="H221" s="29">
        <f>E221*G221</f>
        <v>1300000</v>
      </c>
      <c r="I221" s="30">
        <v>3908731694</v>
      </c>
      <c r="J221" s="31">
        <f t="shared" si="23"/>
        <v>3.3258870185322066E-2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 ht="14.25" customHeight="1" x14ac:dyDescent="0.2">
      <c r="A222" s="6"/>
      <c r="B222" s="50">
        <v>5</v>
      </c>
      <c r="C222" s="46" t="s">
        <v>356</v>
      </c>
      <c r="D222" s="36"/>
      <c r="E222" s="36">
        <v>2.2999999999999998</v>
      </c>
      <c r="F222" s="27" t="s">
        <v>353</v>
      </c>
      <c r="G222" s="28">
        <v>260000</v>
      </c>
      <c r="H222" s="29">
        <f>E222*G222</f>
        <v>598000</v>
      </c>
      <c r="I222" s="30">
        <v>3908731694</v>
      </c>
      <c r="J222" s="31">
        <f t="shared" si="23"/>
        <v>1.5299080285248149E-2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 ht="14.25" customHeight="1" x14ac:dyDescent="0.2">
      <c r="A223" s="6"/>
      <c r="B223" s="50"/>
      <c r="C223" s="24"/>
      <c r="D223" s="36"/>
      <c r="E223" s="36"/>
      <c r="F223" s="27"/>
      <c r="G223" s="28"/>
      <c r="H223" s="49">
        <f>SUM(H218:H222)</f>
        <v>22385000</v>
      </c>
      <c r="I223" s="30">
        <v>3908731694</v>
      </c>
      <c r="J223" s="43">
        <f t="shared" si="23"/>
        <v>0.57269216084494956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ht="14.25" customHeight="1" x14ac:dyDescent="0.25">
      <c r="A224" s="6"/>
      <c r="B224" s="38" t="s">
        <v>80</v>
      </c>
      <c r="C224" s="86" t="s">
        <v>352</v>
      </c>
      <c r="D224" s="39"/>
      <c r="E224" s="39"/>
      <c r="F224" s="40"/>
      <c r="G224" s="41"/>
      <c r="H224" s="89"/>
      <c r="I224" s="75"/>
      <c r="J224" s="68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ht="14.25" customHeight="1" x14ac:dyDescent="0.2">
      <c r="A225" s="6"/>
      <c r="B225" s="50">
        <v>1</v>
      </c>
      <c r="C225" s="24" t="s">
        <v>357</v>
      </c>
      <c r="D225" s="36"/>
      <c r="E225" s="36">
        <v>280</v>
      </c>
      <c r="F225" s="27" t="s">
        <v>153</v>
      </c>
      <c r="G225" s="28">
        <v>24000</v>
      </c>
      <c r="H225" s="29">
        <f>E225*G225</f>
        <v>6720000</v>
      </c>
      <c r="I225" s="30">
        <v>3908731694</v>
      </c>
      <c r="J225" s="31">
        <f>H225/I225*100</f>
        <v>0.17192277511181867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 ht="14.25" customHeight="1" x14ac:dyDescent="0.2">
      <c r="A226" s="6"/>
      <c r="B226" s="50">
        <v>2</v>
      </c>
      <c r="C226" s="46" t="s">
        <v>358</v>
      </c>
      <c r="D226" s="36"/>
      <c r="E226" s="36">
        <v>280</v>
      </c>
      <c r="F226" s="27" t="s">
        <v>153</v>
      </c>
      <c r="G226" s="28">
        <v>24000</v>
      </c>
      <c r="H226" s="29">
        <f>E226*G226</f>
        <v>6720000</v>
      </c>
      <c r="I226" s="30">
        <v>3908731694</v>
      </c>
      <c r="J226" s="31">
        <f>H226/I226*100</f>
        <v>0.17192277511181867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ht="14.25" customHeight="1" x14ac:dyDescent="0.2">
      <c r="A227" s="6"/>
      <c r="B227" s="50"/>
      <c r="C227" s="24"/>
      <c r="D227" s="36"/>
      <c r="E227" s="36"/>
      <c r="F227" s="27"/>
      <c r="G227" s="28"/>
      <c r="H227" s="49">
        <f>SUM(H225:H226)</f>
        <v>13440000</v>
      </c>
      <c r="I227" s="30">
        <v>3908731694</v>
      </c>
      <c r="J227" s="43">
        <f>H227/I227*100</f>
        <v>0.34384555022363733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 ht="14.25" customHeight="1" x14ac:dyDescent="0.25">
      <c r="A228" s="6"/>
      <c r="B228" s="38" t="s">
        <v>100</v>
      </c>
      <c r="C228" s="86" t="s">
        <v>352</v>
      </c>
      <c r="D228" s="39"/>
      <c r="E228" s="39"/>
      <c r="F228" s="40"/>
      <c r="G228" s="41"/>
      <c r="H228" s="89"/>
      <c r="I228" s="75"/>
      <c r="J228" s="68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 ht="14.25" customHeight="1" x14ac:dyDescent="0.2">
      <c r="A229" s="6"/>
      <c r="B229" s="50">
        <v>1</v>
      </c>
      <c r="C229" s="46" t="s">
        <v>359</v>
      </c>
      <c r="D229" s="82" t="s">
        <v>360</v>
      </c>
      <c r="E229" s="36">
        <v>48</v>
      </c>
      <c r="F229" s="27" t="s">
        <v>135</v>
      </c>
      <c r="G229" s="28">
        <v>680000</v>
      </c>
      <c r="H229" s="29">
        <f>E229*G229</f>
        <v>32640000</v>
      </c>
      <c r="I229" s="30">
        <v>3908731694</v>
      </c>
      <c r="J229" s="31">
        <f>H229/I229*100</f>
        <v>0.83505347911454786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ht="14.25" customHeight="1" x14ac:dyDescent="0.2">
      <c r="A230" s="6"/>
      <c r="B230" s="50">
        <v>2</v>
      </c>
      <c r="C230" s="46" t="s">
        <v>361</v>
      </c>
      <c r="D230" s="82" t="s">
        <v>360</v>
      </c>
      <c r="E230" s="36">
        <v>30</v>
      </c>
      <c r="F230" s="27" t="s">
        <v>135</v>
      </c>
      <c r="G230" s="28">
        <v>800000</v>
      </c>
      <c r="H230" s="29">
        <f>E230*G230</f>
        <v>24000000</v>
      </c>
      <c r="I230" s="30">
        <v>3908731694</v>
      </c>
      <c r="J230" s="31">
        <f>H230/I230*100</f>
        <v>0.61400991111363812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ht="14.25" customHeight="1" x14ac:dyDescent="0.2">
      <c r="A231" s="6"/>
      <c r="B231" s="50"/>
      <c r="C231" s="24"/>
      <c r="D231" s="36"/>
      <c r="E231" s="36"/>
      <c r="F231" s="27"/>
      <c r="G231" s="28"/>
      <c r="H231" s="49">
        <f>SUM(H229:H230)</f>
        <v>56640000</v>
      </c>
      <c r="I231" s="30">
        <v>3908731694</v>
      </c>
      <c r="J231" s="43">
        <f>H231/I231*100</f>
        <v>1.4490633902281858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 ht="14.25" customHeight="1" x14ac:dyDescent="0.25">
      <c r="A232" s="6"/>
      <c r="B232" s="38" t="s">
        <v>112</v>
      </c>
      <c r="C232" s="86" t="s">
        <v>352</v>
      </c>
      <c r="D232" s="39"/>
      <c r="E232" s="39"/>
      <c r="F232" s="40"/>
      <c r="G232" s="41"/>
      <c r="H232" s="89"/>
      <c r="I232" s="75"/>
      <c r="J232" s="68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 ht="14.25" customHeight="1" x14ac:dyDescent="0.2">
      <c r="A233" s="6"/>
      <c r="B233" s="50">
        <v>1</v>
      </c>
      <c r="C233" s="46" t="s">
        <v>362</v>
      </c>
      <c r="D233" s="36"/>
      <c r="E233" s="36">
        <f>56+(6*4)</f>
        <v>80</v>
      </c>
      <c r="F233" s="27" t="s">
        <v>135</v>
      </c>
      <c r="G233" s="28">
        <v>455000</v>
      </c>
      <c r="H233" s="29">
        <f t="shared" ref="H233:H245" si="24">E233*G233</f>
        <v>36400000</v>
      </c>
      <c r="I233" s="30">
        <v>3908731694</v>
      </c>
      <c r="J233" s="31">
        <f t="shared" ref="J233:J246" si="25">H233/I233*100</f>
        <v>0.93124836518901777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 ht="14.25" customHeight="1" x14ac:dyDescent="0.2">
      <c r="A234" s="6"/>
      <c r="B234" s="50">
        <v>2</v>
      </c>
      <c r="C234" s="46" t="s">
        <v>363</v>
      </c>
      <c r="D234" s="36"/>
      <c r="E234" s="36">
        <v>60</v>
      </c>
      <c r="F234" s="27" t="s">
        <v>135</v>
      </c>
      <c r="G234" s="28">
        <v>57500</v>
      </c>
      <c r="H234" s="29">
        <f t="shared" si="24"/>
        <v>3450000</v>
      </c>
      <c r="I234" s="30">
        <v>3908731694</v>
      </c>
      <c r="J234" s="31">
        <f t="shared" si="25"/>
        <v>8.8263924722585471E-2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 ht="14.25" customHeight="1" x14ac:dyDescent="0.2">
      <c r="A235" s="6"/>
      <c r="B235" s="50">
        <v>3</v>
      </c>
      <c r="C235" s="46" t="s">
        <v>364</v>
      </c>
      <c r="D235" s="36"/>
      <c r="E235" s="36">
        <v>60</v>
      </c>
      <c r="F235" s="27" t="s">
        <v>135</v>
      </c>
      <c r="G235" s="28">
        <v>55000</v>
      </c>
      <c r="H235" s="29">
        <f t="shared" si="24"/>
        <v>3300000</v>
      </c>
      <c r="I235" s="30">
        <v>3908731694</v>
      </c>
      <c r="J235" s="31">
        <f t="shared" si="25"/>
        <v>8.4426362778125236E-2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 ht="14.25" customHeight="1" x14ac:dyDescent="0.2">
      <c r="A236" s="6"/>
      <c r="B236" s="50">
        <v>4</v>
      </c>
      <c r="C236" s="46" t="s">
        <v>365</v>
      </c>
      <c r="D236" s="36"/>
      <c r="E236" s="36">
        <v>48</v>
      </c>
      <c r="F236" s="27" t="s">
        <v>135</v>
      </c>
      <c r="G236" s="28">
        <v>260000</v>
      </c>
      <c r="H236" s="29">
        <f t="shared" si="24"/>
        <v>12480000</v>
      </c>
      <c r="I236" s="30">
        <v>3908731694</v>
      </c>
      <c r="J236" s="31">
        <f t="shared" si="25"/>
        <v>0.31928515377909183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 ht="14.25" customHeight="1" x14ac:dyDescent="0.2">
      <c r="A237" s="6"/>
      <c r="B237" s="50">
        <v>5</v>
      </c>
      <c r="C237" s="46" t="s">
        <v>366</v>
      </c>
      <c r="D237" s="36"/>
      <c r="E237" s="36">
        <v>12</v>
      </c>
      <c r="F237" s="27" t="s">
        <v>135</v>
      </c>
      <c r="G237" s="28">
        <v>260000</v>
      </c>
      <c r="H237" s="29">
        <f t="shared" si="24"/>
        <v>3120000</v>
      </c>
      <c r="I237" s="30">
        <v>3908731694</v>
      </c>
      <c r="J237" s="31">
        <f t="shared" si="25"/>
        <v>7.9821288444772959E-2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 ht="14.25" customHeight="1" x14ac:dyDescent="0.2">
      <c r="A238" s="6"/>
      <c r="B238" s="50">
        <v>6</v>
      </c>
      <c r="C238" s="46" t="s">
        <v>367</v>
      </c>
      <c r="D238" s="82" t="s">
        <v>368</v>
      </c>
      <c r="E238" s="36">
        <v>48</v>
      </c>
      <c r="F238" s="27" t="s">
        <v>135</v>
      </c>
      <c r="G238" s="28">
        <v>330000</v>
      </c>
      <c r="H238" s="29">
        <f t="shared" si="24"/>
        <v>15840000</v>
      </c>
      <c r="I238" s="30">
        <v>3908731694</v>
      </c>
      <c r="J238" s="31">
        <f t="shared" si="25"/>
        <v>0.4052465413350011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 ht="14.25" customHeight="1" x14ac:dyDescent="0.2">
      <c r="A239" s="6"/>
      <c r="B239" s="50">
        <v>7</v>
      </c>
      <c r="C239" s="46" t="s">
        <v>369</v>
      </c>
      <c r="D239" s="82" t="s">
        <v>370</v>
      </c>
      <c r="E239" s="36">
        <f>42-24</f>
        <v>18</v>
      </c>
      <c r="F239" s="27" t="s">
        <v>135</v>
      </c>
      <c r="G239" s="28">
        <v>1495000</v>
      </c>
      <c r="H239" s="29">
        <f t="shared" si="24"/>
        <v>26910000</v>
      </c>
      <c r="I239" s="30">
        <v>3908731694</v>
      </c>
      <c r="J239" s="31">
        <f t="shared" si="25"/>
        <v>0.68845861283616672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 ht="14.25" customHeight="1" x14ac:dyDescent="0.2">
      <c r="A240" s="6"/>
      <c r="B240" s="50">
        <v>8</v>
      </c>
      <c r="C240" s="46" t="s">
        <v>371</v>
      </c>
      <c r="D240" s="82" t="s">
        <v>321</v>
      </c>
      <c r="E240" s="36">
        <v>1</v>
      </c>
      <c r="F240" s="27" t="s">
        <v>267</v>
      </c>
      <c r="G240" s="28">
        <v>5200000</v>
      </c>
      <c r="H240" s="29">
        <f t="shared" si="24"/>
        <v>5200000</v>
      </c>
      <c r="I240" s="30">
        <v>3908731694</v>
      </c>
      <c r="J240" s="31">
        <f t="shared" si="25"/>
        <v>0.13303548074128826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1:20" ht="14.25" customHeight="1" x14ac:dyDescent="0.2">
      <c r="A241" s="6"/>
      <c r="B241" s="50">
        <v>9</v>
      </c>
      <c r="C241" s="46" t="s">
        <v>372</v>
      </c>
      <c r="D241" s="36"/>
      <c r="E241" s="36">
        <v>10</v>
      </c>
      <c r="F241" s="27" t="s">
        <v>267</v>
      </c>
      <c r="G241" s="28">
        <v>234000</v>
      </c>
      <c r="H241" s="29">
        <f t="shared" si="24"/>
        <v>2340000</v>
      </c>
      <c r="I241" s="30">
        <v>3908731694</v>
      </c>
      <c r="J241" s="31">
        <f t="shared" si="25"/>
        <v>5.9865966333579719E-2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1:20" ht="14.25" customHeight="1" x14ac:dyDescent="0.2">
      <c r="A242" s="6"/>
      <c r="B242" s="50">
        <v>10</v>
      </c>
      <c r="C242" s="46" t="s">
        <v>373</v>
      </c>
      <c r="D242" s="36"/>
      <c r="E242" s="36">
        <v>14</v>
      </c>
      <c r="F242" s="27" t="s">
        <v>267</v>
      </c>
      <c r="G242" s="28">
        <v>280000</v>
      </c>
      <c r="H242" s="29">
        <f t="shared" si="24"/>
        <v>3920000</v>
      </c>
      <c r="I242" s="30">
        <v>3908731694</v>
      </c>
      <c r="J242" s="31">
        <f t="shared" si="25"/>
        <v>0.10028828548189422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1:20" ht="14.25" customHeight="1" x14ac:dyDescent="0.2">
      <c r="A243" s="6"/>
      <c r="B243" s="50">
        <v>11</v>
      </c>
      <c r="C243" s="46" t="s">
        <v>374</v>
      </c>
      <c r="D243" s="36"/>
      <c r="E243" s="36">
        <v>2</v>
      </c>
      <c r="F243" s="27" t="s">
        <v>375</v>
      </c>
      <c r="G243" s="28">
        <v>11050000</v>
      </c>
      <c r="H243" s="29">
        <f t="shared" si="24"/>
        <v>22100000</v>
      </c>
      <c r="I243" s="30">
        <v>3908731694</v>
      </c>
      <c r="J243" s="31">
        <f t="shared" si="25"/>
        <v>0.56540079315047509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1:20" ht="14.25" customHeight="1" x14ac:dyDescent="0.2">
      <c r="A244" s="6"/>
      <c r="B244" s="50">
        <v>12</v>
      </c>
      <c r="C244" s="46" t="s">
        <v>376</v>
      </c>
      <c r="D244" s="36"/>
      <c r="E244" s="36">
        <v>8</v>
      </c>
      <c r="F244" s="27" t="s">
        <v>135</v>
      </c>
      <c r="G244" s="28">
        <v>455000</v>
      </c>
      <c r="H244" s="29">
        <f t="shared" si="24"/>
        <v>3640000</v>
      </c>
      <c r="I244" s="30">
        <v>3908731694</v>
      </c>
      <c r="J244" s="31">
        <f t="shared" si="25"/>
        <v>9.3124836518901771E-2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1:20" ht="14.25" customHeight="1" x14ac:dyDescent="0.2">
      <c r="A245" s="6"/>
      <c r="B245" s="50">
        <v>13</v>
      </c>
      <c r="C245" s="46" t="s">
        <v>377</v>
      </c>
      <c r="D245" s="36"/>
      <c r="E245" s="36">
        <v>1</v>
      </c>
      <c r="F245" s="27" t="s">
        <v>73</v>
      </c>
      <c r="G245" s="28">
        <v>8000000</v>
      </c>
      <c r="H245" s="29">
        <f t="shared" si="24"/>
        <v>8000000</v>
      </c>
      <c r="I245" s="30">
        <v>3908731694</v>
      </c>
      <c r="J245" s="31">
        <f t="shared" si="25"/>
        <v>0.20466997037121271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1:20" ht="14.25" customHeight="1" x14ac:dyDescent="0.2">
      <c r="A246" s="6"/>
      <c r="B246" s="50"/>
      <c r="C246" s="24"/>
      <c r="D246" s="36"/>
      <c r="E246" s="36"/>
      <c r="F246" s="27"/>
      <c r="G246" s="28"/>
      <c r="H246" s="49">
        <f>SUM(H233:H245)</f>
        <v>146700000</v>
      </c>
      <c r="I246" s="30">
        <v>3908731694</v>
      </c>
      <c r="J246" s="43">
        <f t="shared" si="25"/>
        <v>3.7531355816821126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1:20" ht="14.25" customHeight="1" x14ac:dyDescent="0.25">
      <c r="A247" s="6"/>
      <c r="B247" s="38" t="s">
        <v>122</v>
      </c>
      <c r="C247" s="86" t="s">
        <v>352</v>
      </c>
      <c r="D247" s="39"/>
      <c r="E247" s="39"/>
      <c r="F247" s="40"/>
      <c r="G247" s="41"/>
      <c r="H247" s="89"/>
      <c r="I247" s="75"/>
      <c r="J247" s="68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1:20" ht="14.25" customHeight="1" x14ac:dyDescent="0.2">
      <c r="A248" s="6"/>
      <c r="B248" s="50">
        <v>1</v>
      </c>
      <c r="C248" s="46" t="s">
        <v>378</v>
      </c>
      <c r="D248" s="36"/>
      <c r="E248" s="36">
        <v>20</v>
      </c>
      <c r="F248" s="27" t="s">
        <v>135</v>
      </c>
      <c r="G248" s="28">
        <v>185000</v>
      </c>
      <c r="H248" s="29">
        <f>G248*E248</f>
        <v>3700000</v>
      </c>
      <c r="I248" s="30">
        <v>3908731694</v>
      </c>
      <c r="J248" s="31">
        <f>H248/I248*100</f>
        <v>9.4659861296685868E-2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1:20" ht="14.25" customHeight="1" x14ac:dyDescent="0.2">
      <c r="A249" s="6"/>
      <c r="B249" s="50">
        <v>2</v>
      </c>
      <c r="C249" s="24" t="s">
        <v>300</v>
      </c>
      <c r="D249" s="82"/>
      <c r="E249" s="36">
        <v>1</v>
      </c>
      <c r="F249" s="27" t="s">
        <v>73</v>
      </c>
      <c r="G249" s="28">
        <v>390000</v>
      </c>
      <c r="H249" s="29">
        <f>G249*E249</f>
        <v>390000</v>
      </c>
      <c r="I249" s="30">
        <v>3908731694</v>
      </c>
      <c r="J249" s="31">
        <f>H249/I249*100</f>
        <v>9.9776610555966198E-3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spans="1:20" ht="14.25" customHeight="1" x14ac:dyDescent="0.2">
      <c r="A250" s="6"/>
      <c r="B250" s="50">
        <v>3</v>
      </c>
      <c r="C250" s="46" t="s">
        <v>379</v>
      </c>
      <c r="D250" s="82" t="s">
        <v>380</v>
      </c>
      <c r="E250" s="36">
        <v>30</v>
      </c>
      <c r="F250" s="27" t="s">
        <v>135</v>
      </c>
      <c r="G250" s="28">
        <v>260000</v>
      </c>
      <c r="H250" s="29">
        <f>G250*E250</f>
        <v>7800000</v>
      </c>
      <c r="I250" s="30">
        <v>3908731694</v>
      </c>
      <c r="J250" s="31">
        <f>H250/I250*100</f>
        <v>0.19955322111193238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1:20" ht="14.25" customHeight="1" x14ac:dyDescent="0.2">
      <c r="A251" s="6"/>
      <c r="B251" s="90"/>
      <c r="C251" s="91"/>
      <c r="D251" s="92"/>
      <c r="E251" s="93"/>
      <c r="F251" s="90"/>
      <c r="G251" s="94"/>
      <c r="H251" s="49">
        <f>SUM(H248:H250)</f>
        <v>11890000</v>
      </c>
      <c r="I251" s="30">
        <v>3908731694</v>
      </c>
      <c r="J251" s="43">
        <f>H251/I251*100</f>
        <v>0.30419074346421487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1:20" ht="14.25" customHeight="1" x14ac:dyDescent="0.2">
      <c r="A252" s="6"/>
      <c r="B252" s="38" t="s">
        <v>126</v>
      </c>
      <c r="C252" s="86" t="s">
        <v>381</v>
      </c>
      <c r="D252" s="95"/>
      <c r="E252" s="96"/>
      <c r="F252" s="95"/>
      <c r="G252" s="97"/>
      <c r="H252" s="97"/>
      <c r="I252" s="75"/>
      <c r="J252" s="68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 ht="14.25" customHeight="1" x14ac:dyDescent="0.2">
      <c r="A253" s="6"/>
      <c r="B253" s="95"/>
      <c r="C253" s="95" t="s">
        <v>382</v>
      </c>
      <c r="D253" s="95" t="s">
        <v>383</v>
      </c>
      <c r="E253" s="96">
        <v>1</v>
      </c>
      <c r="F253" s="95" t="s">
        <v>73</v>
      </c>
      <c r="G253" s="97">
        <v>2650000</v>
      </c>
      <c r="H253" s="97">
        <f>G253</f>
        <v>2650000</v>
      </c>
      <c r="I253" s="30">
        <v>3908731694</v>
      </c>
      <c r="J253" s="31">
        <f>H253/I253*100</f>
        <v>6.7796927685464206E-2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1:20" ht="14.25" customHeight="1" x14ac:dyDescent="0.2">
      <c r="A254" s="6"/>
      <c r="B254" s="95"/>
      <c r="C254" s="95" t="s">
        <v>384</v>
      </c>
      <c r="D254" s="95" t="s">
        <v>383</v>
      </c>
      <c r="E254" s="96">
        <v>1</v>
      </c>
      <c r="F254" s="95" t="s">
        <v>73</v>
      </c>
      <c r="G254" s="97">
        <v>2000000</v>
      </c>
      <c r="H254" s="97">
        <f>G254</f>
        <v>2000000</v>
      </c>
      <c r="I254" s="30">
        <v>3908731694</v>
      </c>
      <c r="J254" s="31">
        <f>H254/I254*100</f>
        <v>5.1167492592803177E-2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1:20" ht="14.25" customHeight="1" x14ac:dyDescent="0.2">
      <c r="A255" s="6"/>
      <c r="B255" s="95"/>
      <c r="C255" s="95" t="s">
        <v>385</v>
      </c>
      <c r="D255" s="95" t="s">
        <v>383</v>
      </c>
      <c r="E255" s="96">
        <v>1</v>
      </c>
      <c r="F255" s="95" t="s">
        <v>73</v>
      </c>
      <c r="G255" s="97">
        <v>1050000</v>
      </c>
      <c r="H255" s="97">
        <f>G255</f>
        <v>1050000</v>
      </c>
      <c r="I255" s="30">
        <v>3908731694</v>
      </c>
      <c r="J255" s="31">
        <f>H255/I255*100</f>
        <v>2.6862933611221666E-2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1:20" ht="14.25" customHeight="1" x14ac:dyDescent="0.2">
      <c r="A256" s="6"/>
      <c r="B256" s="95"/>
      <c r="C256" s="95"/>
      <c r="D256" s="95"/>
      <c r="E256" s="96"/>
      <c r="F256" s="95"/>
      <c r="G256" s="97"/>
      <c r="H256" s="98">
        <f>SUM(H253:H255)</f>
        <v>5700000</v>
      </c>
      <c r="I256" s="30">
        <v>3908731694</v>
      </c>
      <c r="J256" s="43">
        <f>H256/I256*100</f>
        <v>0.14582735388948906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1:20" ht="14.25" customHeight="1" x14ac:dyDescent="0.2">
      <c r="A257" s="6"/>
      <c r="B257" s="90"/>
      <c r="C257" s="91"/>
      <c r="D257" s="93"/>
      <c r="E257" s="93"/>
      <c r="F257" s="90"/>
      <c r="G257" s="94"/>
      <c r="H257" s="99"/>
      <c r="I257" s="75"/>
      <c r="J257" s="68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1:20" ht="14.25" customHeight="1" x14ac:dyDescent="0.2">
      <c r="A258" s="6"/>
      <c r="B258" s="90"/>
      <c r="C258" s="91"/>
      <c r="D258" s="93"/>
      <c r="E258" s="93"/>
      <c r="F258" s="90"/>
      <c r="G258" s="100" t="s">
        <v>301</v>
      </c>
      <c r="H258" s="101">
        <f>SUM(H211:H256)/2</f>
        <v>268975000</v>
      </c>
      <c r="I258" s="75"/>
      <c r="J258" s="102">
        <f>SUM(J9:J256)/2</f>
        <v>100.00000001137057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1:20" ht="14.25" customHeight="1" x14ac:dyDescent="0.2">
      <c r="A259" s="6"/>
      <c r="B259" s="6"/>
      <c r="C259" s="6"/>
      <c r="D259" s="6"/>
      <c r="E259" s="6"/>
      <c r="F259" s="6"/>
      <c r="G259" s="103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1:20" ht="14.25" customHeight="1" x14ac:dyDescent="0.2">
      <c r="A260" s="6"/>
      <c r="B260" s="6"/>
      <c r="C260" s="6"/>
      <c r="D260" s="6"/>
      <c r="E260" s="6"/>
      <c r="F260" s="6"/>
      <c r="G260" s="103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1:20" ht="14.25" customHeight="1" x14ac:dyDescent="0.2">
      <c r="A261" s="6"/>
      <c r="B261" s="6"/>
      <c r="C261" s="6"/>
      <c r="D261" s="6"/>
      <c r="E261" s="6"/>
      <c r="F261" s="6"/>
      <c r="G261" s="103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1:20" ht="14.25" customHeight="1" x14ac:dyDescent="0.2">
      <c r="A262" s="6"/>
      <c r="B262" s="6"/>
      <c r="C262" s="6"/>
      <c r="D262" s="6"/>
      <c r="E262" s="6"/>
      <c r="F262" s="283" t="s">
        <v>386</v>
      </c>
      <c r="G262" s="283"/>
      <c r="H262" s="104">
        <f>H159</f>
        <v>3280456694.4444447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1:20" ht="14.25" customHeight="1" x14ac:dyDescent="0.2">
      <c r="A263" s="6"/>
      <c r="B263" s="6"/>
      <c r="C263" s="6"/>
      <c r="D263" s="6"/>
      <c r="E263" s="6"/>
      <c r="F263" s="271" t="s">
        <v>387</v>
      </c>
      <c r="G263" s="271"/>
      <c r="H263" s="104">
        <f>H205</f>
        <v>359300000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1:20" ht="14.25" customHeight="1" x14ac:dyDescent="0.2">
      <c r="A264" s="6"/>
      <c r="B264" s="6"/>
      <c r="C264" s="6"/>
      <c r="D264" s="6"/>
      <c r="E264" s="6"/>
      <c r="F264" s="283" t="s">
        <v>388</v>
      </c>
      <c r="G264" s="283"/>
      <c r="H264" s="104">
        <f>H258</f>
        <v>268975000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 ht="14.25" customHeight="1" x14ac:dyDescent="0.2">
      <c r="A265" s="6"/>
      <c r="B265" s="6"/>
      <c r="C265" s="6"/>
      <c r="D265" s="6"/>
      <c r="E265" s="6"/>
      <c r="F265" s="283" t="s">
        <v>389</v>
      </c>
      <c r="G265" s="283"/>
      <c r="H265" s="104">
        <f>SUM(H262:H264)</f>
        <v>3908731694.4444447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1:20" ht="14.25" customHeight="1" x14ac:dyDescent="0.2">
      <c r="A266" s="6"/>
      <c r="B266" s="6"/>
      <c r="C266" s="6"/>
      <c r="D266" s="6"/>
      <c r="E266" s="6"/>
      <c r="F266" s="6"/>
      <c r="G266" s="103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1:20" ht="14.25" customHeight="1" x14ac:dyDescent="0.2">
      <c r="A267" s="6"/>
      <c r="B267" s="6"/>
      <c r="C267" s="6"/>
      <c r="D267" s="6"/>
      <c r="E267" s="6"/>
      <c r="F267" s="6"/>
      <c r="G267" s="103"/>
      <c r="H267" s="10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1:20" ht="14.25" customHeight="1" x14ac:dyDescent="0.2">
      <c r="A268" s="6"/>
      <c r="B268" s="6"/>
      <c r="C268" s="6"/>
      <c r="D268" s="6"/>
      <c r="E268" s="6"/>
      <c r="F268" s="6"/>
      <c r="G268" s="103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1:20" ht="14.25" customHeight="1" x14ac:dyDescent="0.2">
      <c r="A269" s="6"/>
      <c r="B269" s="6"/>
      <c r="C269" s="6"/>
      <c r="D269" s="6"/>
      <c r="E269" s="6"/>
      <c r="F269" s="6"/>
      <c r="G269" s="103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spans="1:20" ht="14.25" customHeight="1" x14ac:dyDescent="0.2">
      <c r="A270" s="6"/>
      <c r="B270" s="6"/>
      <c r="C270" s="6"/>
      <c r="D270" s="6"/>
      <c r="E270" s="6"/>
      <c r="F270" s="6"/>
      <c r="G270" s="103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1:20" ht="14.25" customHeight="1" x14ac:dyDescent="0.2">
      <c r="A271" s="6"/>
      <c r="B271" s="6"/>
      <c r="C271" s="6"/>
      <c r="D271" s="6"/>
      <c r="E271" s="6"/>
      <c r="F271" s="6"/>
      <c r="G271" s="103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spans="1:20" ht="14.25" customHeight="1" x14ac:dyDescent="0.2">
      <c r="A272" s="6"/>
      <c r="B272" s="6"/>
      <c r="C272" s="6"/>
      <c r="D272" s="6"/>
      <c r="E272" s="6"/>
      <c r="F272" s="6"/>
      <c r="G272" s="103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1:20" ht="14.25" customHeight="1" x14ac:dyDescent="0.2">
      <c r="A273" s="6"/>
      <c r="B273" s="6"/>
      <c r="C273" s="6"/>
      <c r="D273" s="6"/>
      <c r="E273" s="6"/>
      <c r="F273" s="6"/>
      <c r="G273" s="103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spans="1:20" ht="14.25" customHeight="1" x14ac:dyDescent="0.2">
      <c r="A274" s="6"/>
      <c r="B274" s="6"/>
      <c r="C274" s="6"/>
      <c r="D274" s="6"/>
      <c r="E274" s="6"/>
      <c r="F274" s="6"/>
      <c r="G274" s="103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1:20" ht="14.25" customHeight="1" x14ac:dyDescent="0.2">
      <c r="A275" s="6"/>
      <c r="B275" s="6"/>
      <c r="C275" s="6"/>
      <c r="D275" s="6"/>
      <c r="E275" s="6"/>
      <c r="F275" s="6"/>
      <c r="G275" s="103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spans="1:20" ht="14.25" customHeight="1" x14ac:dyDescent="0.2">
      <c r="A276" s="6"/>
      <c r="B276" s="6"/>
      <c r="C276" s="6"/>
      <c r="D276" s="6"/>
      <c r="E276" s="6"/>
      <c r="F276" s="6"/>
      <c r="G276" s="103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1:20" ht="14.25" customHeight="1" x14ac:dyDescent="0.2">
      <c r="A277" s="6"/>
      <c r="B277" s="6"/>
      <c r="C277" s="6"/>
      <c r="D277" s="6"/>
      <c r="E277" s="6"/>
      <c r="F277" s="6"/>
      <c r="G277" s="103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spans="1:20" ht="14.25" customHeight="1" x14ac:dyDescent="0.2">
      <c r="A278" s="6"/>
      <c r="B278" s="6"/>
      <c r="C278" s="6"/>
      <c r="D278" s="6"/>
      <c r="E278" s="6"/>
      <c r="F278" s="6"/>
      <c r="G278" s="103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1:20" ht="14.25" customHeight="1" x14ac:dyDescent="0.2">
      <c r="A279" s="6"/>
      <c r="B279" s="6"/>
      <c r="C279" s="6"/>
      <c r="D279" s="6"/>
      <c r="E279" s="6"/>
      <c r="F279" s="6"/>
      <c r="G279" s="103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spans="1:20" ht="14.25" customHeight="1" x14ac:dyDescent="0.2">
      <c r="A280" s="6"/>
      <c r="B280" s="6"/>
      <c r="C280" s="6"/>
      <c r="D280" s="6"/>
      <c r="E280" s="6"/>
      <c r="F280" s="6"/>
      <c r="G280" s="103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1:20" ht="14.25" customHeight="1" x14ac:dyDescent="0.2">
      <c r="A281" s="6"/>
      <c r="B281" s="6"/>
      <c r="C281" s="6"/>
      <c r="D281" s="6"/>
      <c r="E281" s="6"/>
      <c r="F281" s="6"/>
      <c r="G281" s="103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spans="1:20" ht="14.25" customHeight="1" x14ac:dyDescent="0.2">
      <c r="A282" s="6"/>
      <c r="B282" s="6"/>
      <c r="C282" s="6"/>
      <c r="D282" s="6"/>
      <c r="E282" s="6"/>
      <c r="F282" s="6"/>
      <c r="G282" s="103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1:20" ht="14.25" customHeight="1" x14ac:dyDescent="0.2">
      <c r="A283" s="6"/>
      <c r="B283" s="6"/>
      <c r="C283" s="6"/>
      <c r="D283" s="6"/>
      <c r="E283" s="6"/>
      <c r="F283" s="6"/>
      <c r="G283" s="103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1:20" ht="14.25" customHeight="1" x14ac:dyDescent="0.2">
      <c r="A284" s="6"/>
      <c r="B284" s="6"/>
      <c r="C284" s="6"/>
      <c r="D284" s="6"/>
      <c r="E284" s="6"/>
      <c r="F284" s="6"/>
      <c r="G284" s="103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1:20" ht="14.25" customHeight="1" x14ac:dyDescent="0.2">
      <c r="A285" s="6"/>
      <c r="B285" s="6"/>
      <c r="C285" s="6"/>
      <c r="D285" s="6"/>
      <c r="E285" s="6"/>
      <c r="F285" s="6"/>
      <c r="G285" s="103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spans="1:20" ht="14.25" customHeight="1" x14ac:dyDescent="0.2">
      <c r="A286" s="6"/>
      <c r="B286" s="6"/>
      <c r="C286" s="6"/>
      <c r="D286" s="6"/>
      <c r="E286" s="6"/>
      <c r="F286" s="6"/>
      <c r="G286" s="103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1:20" ht="14.25" customHeight="1" x14ac:dyDescent="0.2">
      <c r="A287" s="6"/>
      <c r="B287" s="6"/>
      <c r="C287" s="6"/>
      <c r="D287" s="6"/>
      <c r="E287" s="6"/>
      <c r="F287" s="6"/>
      <c r="G287" s="103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1:20" ht="14.25" customHeight="1" x14ac:dyDescent="0.2">
      <c r="A288" s="6"/>
      <c r="B288" s="6"/>
      <c r="C288" s="6"/>
      <c r="D288" s="6"/>
      <c r="E288" s="6"/>
      <c r="F288" s="6"/>
      <c r="G288" s="103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spans="1:20" ht="14.25" customHeight="1" x14ac:dyDescent="0.2">
      <c r="A289" s="6"/>
      <c r="B289" s="6"/>
      <c r="C289" s="6"/>
      <c r="D289" s="6"/>
      <c r="E289" s="6"/>
      <c r="F289" s="6"/>
      <c r="G289" s="103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spans="1:20" ht="14.25" customHeight="1" x14ac:dyDescent="0.2">
      <c r="A290" s="6"/>
      <c r="B290" s="6"/>
      <c r="C290" s="6"/>
      <c r="D290" s="6"/>
      <c r="E290" s="6"/>
      <c r="F290" s="6"/>
      <c r="G290" s="103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spans="1:20" ht="14.25" customHeight="1" x14ac:dyDescent="0.2">
      <c r="A291" s="6"/>
      <c r="B291" s="6"/>
      <c r="C291" s="6"/>
      <c r="D291" s="6"/>
      <c r="E291" s="6"/>
      <c r="F291" s="6"/>
      <c r="G291" s="103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spans="1:20" ht="14.25" customHeight="1" x14ac:dyDescent="0.2">
      <c r="A292" s="6"/>
      <c r="B292" s="6"/>
      <c r="C292" s="6"/>
      <c r="D292" s="6"/>
      <c r="E292" s="6"/>
      <c r="F292" s="6"/>
      <c r="G292" s="103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spans="1:20" ht="14.25" customHeight="1" x14ac:dyDescent="0.2">
      <c r="A293" s="6"/>
      <c r="B293" s="6"/>
      <c r="C293" s="6"/>
      <c r="D293" s="6"/>
      <c r="E293" s="6"/>
      <c r="F293" s="6"/>
      <c r="G293" s="103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spans="1:20" ht="14.25" customHeight="1" x14ac:dyDescent="0.2">
      <c r="A294" s="6"/>
      <c r="B294" s="6"/>
      <c r="C294" s="6"/>
      <c r="D294" s="6"/>
      <c r="E294" s="6"/>
      <c r="F294" s="6"/>
      <c r="G294" s="103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spans="1:20" ht="14.25" customHeight="1" x14ac:dyDescent="0.2">
      <c r="A295" s="6"/>
      <c r="B295" s="6"/>
      <c r="C295" s="6"/>
      <c r="D295" s="6"/>
      <c r="E295" s="6"/>
      <c r="F295" s="6"/>
      <c r="G295" s="103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spans="1:20" ht="14.25" customHeight="1" x14ac:dyDescent="0.2">
      <c r="A296" s="6"/>
      <c r="B296" s="6"/>
      <c r="C296" s="6"/>
      <c r="D296" s="6"/>
      <c r="E296" s="6"/>
      <c r="F296" s="6"/>
      <c r="G296" s="103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spans="1:20" ht="14.25" customHeight="1" x14ac:dyDescent="0.2">
      <c r="A297" s="6"/>
      <c r="B297" s="6"/>
      <c r="C297" s="6"/>
      <c r="D297" s="6"/>
      <c r="E297" s="6"/>
      <c r="F297" s="6"/>
      <c r="G297" s="103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1:20" ht="14.25" customHeight="1" x14ac:dyDescent="0.2">
      <c r="A298" s="6"/>
      <c r="B298" s="6"/>
      <c r="C298" s="6"/>
      <c r="D298" s="6"/>
      <c r="E298" s="6"/>
      <c r="F298" s="6"/>
      <c r="G298" s="103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1:20" ht="14.25" customHeight="1" x14ac:dyDescent="0.2">
      <c r="A299" s="6"/>
      <c r="B299" s="6"/>
      <c r="C299" s="6"/>
      <c r="D299" s="6"/>
      <c r="E299" s="6"/>
      <c r="F299" s="6"/>
      <c r="G299" s="103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1:20" ht="14.25" customHeight="1" x14ac:dyDescent="0.2">
      <c r="A300" s="6"/>
      <c r="B300" s="6"/>
      <c r="C300" s="6"/>
      <c r="D300" s="6"/>
      <c r="E300" s="6"/>
      <c r="F300" s="6"/>
      <c r="G300" s="103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1:20" ht="14.25" customHeight="1" x14ac:dyDescent="0.2">
      <c r="A301" s="6"/>
      <c r="B301" s="6"/>
      <c r="C301" s="6"/>
      <c r="D301" s="6"/>
      <c r="E301" s="6"/>
      <c r="F301" s="6"/>
      <c r="G301" s="103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spans="1:20" ht="14.25" customHeight="1" x14ac:dyDescent="0.2">
      <c r="A302" s="6"/>
      <c r="B302" s="6"/>
      <c r="C302" s="6"/>
      <c r="D302" s="6"/>
      <c r="E302" s="6"/>
      <c r="F302" s="6"/>
      <c r="G302" s="103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1:20" ht="14.25" customHeight="1" x14ac:dyDescent="0.2">
      <c r="A303" s="6"/>
      <c r="B303" s="6"/>
      <c r="C303" s="6"/>
      <c r="D303" s="6"/>
      <c r="E303" s="6"/>
      <c r="F303" s="6"/>
      <c r="G303" s="103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spans="1:20" ht="14.25" customHeight="1" x14ac:dyDescent="0.2">
      <c r="A304" s="6"/>
      <c r="B304" s="6"/>
      <c r="C304" s="6"/>
      <c r="D304" s="6"/>
      <c r="E304" s="6"/>
      <c r="F304" s="6"/>
      <c r="G304" s="103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1:20" ht="14.25" customHeight="1" x14ac:dyDescent="0.2">
      <c r="A305" s="6"/>
      <c r="B305" s="6"/>
      <c r="C305" s="6"/>
      <c r="D305" s="6"/>
      <c r="E305" s="6"/>
      <c r="F305" s="6"/>
      <c r="G305" s="103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spans="1:20" ht="14.25" customHeight="1" x14ac:dyDescent="0.2">
      <c r="A306" s="6"/>
      <c r="B306" s="6"/>
      <c r="C306" s="6"/>
      <c r="D306" s="6"/>
      <c r="E306" s="6"/>
      <c r="F306" s="6"/>
      <c r="G306" s="103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spans="1:20" ht="14.25" customHeight="1" x14ac:dyDescent="0.2">
      <c r="A307" s="6"/>
      <c r="B307" s="6"/>
      <c r="C307" s="6"/>
      <c r="D307" s="6"/>
      <c r="E307" s="6"/>
      <c r="F307" s="6"/>
      <c r="G307" s="103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spans="1:20" ht="14.25" customHeight="1" x14ac:dyDescent="0.2">
      <c r="A308" s="6"/>
      <c r="B308" s="6"/>
      <c r="C308" s="6"/>
      <c r="D308" s="6"/>
      <c r="E308" s="6"/>
      <c r="F308" s="6"/>
      <c r="G308" s="103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1:20" ht="14.25" customHeight="1" x14ac:dyDescent="0.2">
      <c r="A309" s="6"/>
      <c r="B309" s="6"/>
      <c r="C309" s="6"/>
      <c r="D309" s="6"/>
      <c r="E309" s="6"/>
      <c r="F309" s="6"/>
      <c r="G309" s="103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spans="1:20" ht="14.25" customHeight="1" x14ac:dyDescent="0.2">
      <c r="A310" s="6"/>
      <c r="B310" s="6"/>
      <c r="C310" s="6"/>
      <c r="D310" s="6"/>
      <c r="E310" s="6"/>
      <c r="F310" s="6"/>
      <c r="G310" s="103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1:20" ht="14.25" customHeight="1" x14ac:dyDescent="0.2">
      <c r="A311" s="6"/>
      <c r="B311" s="6"/>
      <c r="C311" s="6"/>
      <c r="D311" s="6"/>
      <c r="E311" s="6"/>
      <c r="F311" s="6"/>
      <c r="G311" s="103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spans="1:20" ht="14.25" customHeight="1" x14ac:dyDescent="0.2">
      <c r="A312" s="6"/>
      <c r="B312" s="6"/>
      <c r="C312" s="6"/>
      <c r="D312" s="6"/>
      <c r="E312" s="6"/>
      <c r="F312" s="6"/>
      <c r="G312" s="103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spans="1:20" ht="14.25" customHeight="1" x14ac:dyDescent="0.2">
      <c r="A313" s="6"/>
      <c r="B313" s="6"/>
      <c r="C313" s="6"/>
      <c r="D313" s="6"/>
      <c r="E313" s="6"/>
      <c r="F313" s="6"/>
      <c r="G313" s="103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spans="1:20" ht="14.25" customHeight="1" x14ac:dyDescent="0.2">
      <c r="A314" s="6"/>
      <c r="B314" s="6"/>
      <c r="C314" s="6"/>
      <c r="D314" s="6"/>
      <c r="E314" s="6"/>
      <c r="F314" s="6"/>
      <c r="G314" s="103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spans="1:20" ht="14.25" customHeight="1" x14ac:dyDescent="0.2">
      <c r="A315" s="6"/>
      <c r="B315" s="6"/>
      <c r="C315" s="6"/>
      <c r="D315" s="6"/>
      <c r="E315" s="6"/>
      <c r="F315" s="6"/>
      <c r="G315" s="103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spans="1:20" ht="14.25" customHeight="1" x14ac:dyDescent="0.2">
      <c r="A316" s="6"/>
      <c r="B316" s="6"/>
      <c r="C316" s="6"/>
      <c r="D316" s="6"/>
      <c r="E316" s="6"/>
      <c r="F316" s="6"/>
      <c r="G316" s="103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spans="1:20" ht="14.25" customHeight="1" x14ac:dyDescent="0.2">
      <c r="A317" s="6"/>
      <c r="B317" s="6"/>
      <c r="C317" s="6"/>
      <c r="D317" s="6"/>
      <c r="E317" s="6"/>
      <c r="F317" s="6"/>
      <c r="G317" s="103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spans="1:20" ht="14.25" customHeight="1" x14ac:dyDescent="0.2">
      <c r="A318" s="6"/>
      <c r="B318" s="6"/>
      <c r="C318" s="6"/>
      <c r="D318" s="6"/>
      <c r="E318" s="6"/>
      <c r="F318" s="6"/>
      <c r="G318" s="103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1:20" ht="14.25" customHeight="1" x14ac:dyDescent="0.2">
      <c r="A319" s="6"/>
      <c r="B319" s="6"/>
      <c r="C319" s="6"/>
      <c r="D319" s="6"/>
      <c r="E319" s="6"/>
      <c r="F319" s="6"/>
      <c r="G319" s="103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spans="1:20" ht="14.25" customHeight="1" x14ac:dyDescent="0.2">
      <c r="A320" s="6"/>
      <c r="B320" s="6"/>
      <c r="C320" s="6"/>
      <c r="D320" s="6"/>
      <c r="E320" s="6"/>
      <c r="F320" s="6"/>
      <c r="G320" s="103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1:20" ht="14.25" customHeight="1" x14ac:dyDescent="0.2">
      <c r="A321" s="6"/>
      <c r="B321" s="6"/>
      <c r="C321" s="6"/>
      <c r="D321" s="6"/>
      <c r="E321" s="6"/>
      <c r="F321" s="6"/>
      <c r="G321" s="103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1:20" ht="14.25" customHeight="1" x14ac:dyDescent="0.2">
      <c r="A322" s="6"/>
      <c r="B322" s="6"/>
      <c r="C322" s="6"/>
      <c r="D322" s="6"/>
      <c r="E322" s="6"/>
      <c r="F322" s="6"/>
      <c r="G322" s="103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1:20" ht="14.25" customHeight="1" x14ac:dyDescent="0.2">
      <c r="A323" s="6"/>
      <c r="B323" s="6"/>
      <c r="C323" s="6"/>
      <c r="D323" s="6"/>
      <c r="E323" s="6"/>
      <c r="F323" s="6"/>
      <c r="G323" s="103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spans="1:20" ht="14.25" customHeight="1" x14ac:dyDescent="0.2">
      <c r="A324" s="6"/>
      <c r="B324" s="6"/>
      <c r="C324" s="6"/>
      <c r="D324" s="6"/>
      <c r="E324" s="6"/>
      <c r="F324" s="6"/>
      <c r="G324" s="103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spans="1:20" ht="14.25" customHeight="1" x14ac:dyDescent="0.2">
      <c r="A325" s="6"/>
      <c r="B325" s="6"/>
      <c r="C325" s="6"/>
      <c r="D325" s="6"/>
      <c r="E325" s="6"/>
      <c r="F325" s="6"/>
      <c r="G325" s="103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spans="1:20" ht="14.25" customHeight="1" x14ac:dyDescent="0.2">
      <c r="A326" s="6"/>
      <c r="B326" s="6"/>
      <c r="C326" s="6"/>
      <c r="D326" s="6"/>
      <c r="E326" s="6"/>
      <c r="F326" s="6"/>
      <c r="G326" s="103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spans="1:20" ht="14.25" customHeight="1" x14ac:dyDescent="0.2">
      <c r="A327" s="6"/>
      <c r="B327" s="6"/>
      <c r="C327" s="6"/>
      <c r="D327" s="6"/>
      <c r="E327" s="6"/>
      <c r="F327" s="6"/>
      <c r="G327" s="103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spans="1:20" ht="14.25" customHeight="1" x14ac:dyDescent="0.2">
      <c r="A328" s="6"/>
      <c r="B328" s="6"/>
      <c r="C328" s="6"/>
      <c r="D328" s="6"/>
      <c r="E328" s="6"/>
      <c r="F328" s="6"/>
      <c r="G328" s="103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spans="1:20" ht="14.25" customHeight="1" x14ac:dyDescent="0.2">
      <c r="A329" s="6"/>
      <c r="B329" s="6"/>
      <c r="C329" s="6"/>
      <c r="D329" s="6"/>
      <c r="E329" s="6"/>
      <c r="F329" s="6"/>
      <c r="G329" s="103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spans="1:20" ht="14.25" customHeight="1" x14ac:dyDescent="0.2">
      <c r="A330" s="6"/>
      <c r="B330" s="6"/>
      <c r="C330" s="6"/>
      <c r="D330" s="6"/>
      <c r="E330" s="6"/>
      <c r="F330" s="6"/>
      <c r="G330" s="103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spans="1:20" ht="14.25" customHeight="1" x14ac:dyDescent="0.2">
      <c r="A331" s="6"/>
      <c r="B331" s="6"/>
      <c r="C331" s="6"/>
      <c r="D331" s="6"/>
      <c r="E331" s="6"/>
      <c r="F331" s="6"/>
      <c r="G331" s="103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1:20" ht="14.25" customHeight="1" x14ac:dyDescent="0.2">
      <c r="A332" s="6"/>
      <c r="B332" s="6"/>
      <c r="C332" s="6"/>
      <c r="D332" s="6"/>
      <c r="E332" s="6"/>
      <c r="F332" s="6"/>
      <c r="G332" s="103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1:20" ht="14.25" customHeight="1" x14ac:dyDescent="0.2">
      <c r="A333" s="6"/>
      <c r="B333" s="6"/>
      <c r="C333" s="6"/>
      <c r="D333" s="6"/>
      <c r="E333" s="6"/>
      <c r="F333" s="6"/>
      <c r="G333" s="103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spans="1:20" ht="14.25" customHeight="1" x14ac:dyDescent="0.2">
      <c r="A334" s="6"/>
      <c r="B334" s="6"/>
      <c r="C334" s="6"/>
      <c r="D334" s="6"/>
      <c r="E334" s="6"/>
      <c r="F334" s="6"/>
      <c r="G334" s="103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1:20" ht="14.25" customHeight="1" x14ac:dyDescent="0.2">
      <c r="A335" s="6"/>
      <c r="B335" s="6"/>
      <c r="C335" s="6"/>
      <c r="D335" s="6"/>
      <c r="E335" s="6"/>
      <c r="F335" s="6"/>
      <c r="G335" s="103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spans="1:20" ht="14.25" customHeight="1" x14ac:dyDescent="0.2">
      <c r="A336" s="6"/>
      <c r="B336" s="6"/>
      <c r="C336" s="6"/>
      <c r="D336" s="6"/>
      <c r="E336" s="6"/>
      <c r="F336" s="6"/>
      <c r="G336" s="103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1:20" ht="14.25" customHeight="1" x14ac:dyDescent="0.2">
      <c r="A337" s="6"/>
      <c r="B337" s="6"/>
      <c r="C337" s="6"/>
      <c r="D337" s="6"/>
      <c r="E337" s="6"/>
      <c r="F337" s="6"/>
      <c r="G337" s="103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spans="1:20" ht="14.25" customHeight="1" x14ac:dyDescent="0.2">
      <c r="A338" s="6"/>
      <c r="B338" s="6"/>
      <c r="C338" s="6"/>
      <c r="D338" s="6"/>
      <c r="E338" s="6"/>
      <c r="F338" s="6"/>
      <c r="G338" s="103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1:20" ht="14.25" customHeight="1" x14ac:dyDescent="0.2">
      <c r="A339" s="6"/>
      <c r="B339" s="6"/>
      <c r="C339" s="6"/>
      <c r="D339" s="6"/>
      <c r="E339" s="6"/>
      <c r="F339" s="6"/>
      <c r="G339" s="103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spans="1:20" ht="14.25" customHeight="1" x14ac:dyDescent="0.2">
      <c r="A340" s="6"/>
      <c r="B340" s="6"/>
      <c r="C340" s="6"/>
      <c r="D340" s="6"/>
      <c r="E340" s="6"/>
      <c r="F340" s="6"/>
      <c r="G340" s="103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1:20" ht="14.25" customHeight="1" x14ac:dyDescent="0.2">
      <c r="A341" s="6"/>
      <c r="B341" s="6"/>
      <c r="C341" s="6"/>
      <c r="D341" s="6"/>
      <c r="E341" s="6"/>
      <c r="F341" s="6"/>
      <c r="G341" s="103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spans="1:20" ht="14.25" customHeight="1" x14ac:dyDescent="0.2">
      <c r="A342" s="6"/>
      <c r="B342" s="6"/>
      <c r="C342" s="6"/>
      <c r="D342" s="6"/>
      <c r="E342" s="6"/>
      <c r="F342" s="6"/>
      <c r="G342" s="103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1:20" ht="14.25" customHeight="1" x14ac:dyDescent="0.2">
      <c r="A343" s="6"/>
      <c r="B343" s="6"/>
      <c r="C343" s="6"/>
      <c r="D343" s="6"/>
      <c r="E343" s="6"/>
      <c r="F343" s="6"/>
      <c r="G343" s="103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spans="1:20" ht="14.25" customHeight="1" x14ac:dyDescent="0.2">
      <c r="A344" s="6"/>
      <c r="B344" s="6"/>
      <c r="C344" s="6"/>
      <c r="D344" s="6"/>
      <c r="E344" s="6"/>
      <c r="F344" s="6"/>
      <c r="G344" s="103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1:20" ht="14.25" customHeight="1" x14ac:dyDescent="0.2">
      <c r="A345" s="6"/>
      <c r="B345" s="6"/>
      <c r="C345" s="6"/>
      <c r="D345" s="6"/>
      <c r="E345" s="6"/>
      <c r="F345" s="6"/>
      <c r="G345" s="103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spans="1:20" ht="14.25" customHeight="1" x14ac:dyDescent="0.2">
      <c r="A346" s="6"/>
      <c r="B346" s="6"/>
      <c r="C346" s="6"/>
      <c r="D346" s="6"/>
      <c r="E346" s="6"/>
      <c r="F346" s="6"/>
      <c r="G346" s="103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1:20" ht="14.25" customHeight="1" x14ac:dyDescent="0.2">
      <c r="A347" s="6"/>
      <c r="B347" s="6"/>
      <c r="C347" s="6"/>
      <c r="D347" s="6"/>
      <c r="E347" s="6"/>
      <c r="F347" s="6"/>
      <c r="G347" s="103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spans="1:20" ht="14.25" customHeight="1" x14ac:dyDescent="0.2">
      <c r="A348" s="6"/>
      <c r="B348" s="6"/>
      <c r="C348" s="6"/>
      <c r="D348" s="6"/>
      <c r="E348" s="6"/>
      <c r="F348" s="6"/>
      <c r="G348" s="103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spans="1:20" ht="14.25" customHeight="1" x14ac:dyDescent="0.2">
      <c r="A349" s="6"/>
      <c r="B349" s="6"/>
      <c r="C349" s="6"/>
      <c r="D349" s="6"/>
      <c r="E349" s="6"/>
      <c r="F349" s="6"/>
      <c r="G349" s="103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spans="1:20" ht="14.25" customHeight="1" x14ac:dyDescent="0.2">
      <c r="A350" s="6"/>
      <c r="B350" s="6"/>
      <c r="C350" s="6"/>
      <c r="D350" s="6"/>
      <c r="E350" s="6"/>
      <c r="F350" s="6"/>
      <c r="G350" s="103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spans="1:20" ht="14.25" customHeight="1" x14ac:dyDescent="0.2">
      <c r="A351" s="6"/>
      <c r="B351" s="6"/>
      <c r="C351" s="6"/>
      <c r="D351" s="6"/>
      <c r="E351" s="6"/>
      <c r="F351" s="6"/>
      <c r="G351" s="103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spans="1:20" ht="14.25" customHeight="1" x14ac:dyDescent="0.2">
      <c r="A352" s="6"/>
      <c r="B352" s="6"/>
      <c r="C352" s="6"/>
      <c r="D352" s="6"/>
      <c r="E352" s="6"/>
      <c r="F352" s="6"/>
      <c r="G352" s="103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spans="1:20" ht="14.25" customHeight="1" x14ac:dyDescent="0.2">
      <c r="A353" s="6"/>
      <c r="B353" s="6"/>
      <c r="C353" s="6"/>
      <c r="D353" s="6"/>
      <c r="E353" s="6"/>
      <c r="F353" s="6"/>
      <c r="G353" s="103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spans="1:20" ht="14.25" customHeight="1" x14ac:dyDescent="0.2">
      <c r="A354" s="6"/>
      <c r="B354" s="6"/>
      <c r="C354" s="6"/>
      <c r="D354" s="6"/>
      <c r="E354" s="6"/>
      <c r="F354" s="6"/>
      <c r="G354" s="103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1:20" ht="14.25" customHeight="1" x14ac:dyDescent="0.2">
      <c r="A355" s="6"/>
      <c r="B355" s="6"/>
      <c r="C355" s="6"/>
      <c r="D355" s="6"/>
      <c r="E355" s="6"/>
      <c r="F355" s="6"/>
      <c r="G355" s="103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1:20" ht="14.25" customHeight="1" x14ac:dyDescent="0.2">
      <c r="A356" s="6"/>
      <c r="B356" s="6"/>
      <c r="C356" s="6"/>
      <c r="D356" s="6"/>
      <c r="E356" s="6"/>
      <c r="F356" s="6"/>
      <c r="G356" s="103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spans="1:20" ht="14.25" customHeight="1" x14ac:dyDescent="0.2">
      <c r="A357" s="6"/>
      <c r="B357" s="6"/>
      <c r="C357" s="6"/>
      <c r="D357" s="6"/>
      <c r="E357" s="6"/>
      <c r="F357" s="6"/>
      <c r="G357" s="103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spans="1:20" ht="14.25" customHeight="1" x14ac:dyDescent="0.2">
      <c r="A358" s="6"/>
      <c r="B358" s="6"/>
      <c r="C358" s="6"/>
      <c r="D358" s="6"/>
      <c r="E358" s="6"/>
      <c r="F358" s="6"/>
      <c r="G358" s="103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spans="1:20" ht="14.25" customHeight="1" x14ac:dyDescent="0.2">
      <c r="A359" s="6"/>
      <c r="B359" s="6"/>
      <c r="C359" s="6"/>
      <c r="D359" s="6"/>
      <c r="E359" s="6"/>
      <c r="F359" s="6"/>
      <c r="G359" s="103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spans="1:20" ht="14.25" customHeight="1" x14ac:dyDescent="0.2">
      <c r="A360" s="6"/>
      <c r="B360" s="6"/>
      <c r="C360" s="6"/>
      <c r="D360" s="6"/>
      <c r="E360" s="6"/>
      <c r="F360" s="6"/>
      <c r="G360" s="103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spans="1:20" ht="14.25" customHeight="1" x14ac:dyDescent="0.2">
      <c r="A361" s="6"/>
      <c r="B361" s="6"/>
      <c r="C361" s="6"/>
      <c r="D361" s="6"/>
      <c r="E361" s="6"/>
      <c r="F361" s="6"/>
      <c r="G361" s="103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spans="1:20" ht="14.25" customHeight="1" x14ac:dyDescent="0.2">
      <c r="A362" s="6"/>
      <c r="B362" s="6"/>
      <c r="C362" s="6"/>
      <c r="D362" s="6"/>
      <c r="E362" s="6"/>
      <c r="F362" s="6"/>
      <c r="G362" s="103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1:20" ht="14.25" customHeight="1" x14ac:dyDescent="0.2">
      <c r="A363" s="6"/>
      <c r="B363" s="6"/>
      <c r="C363" s="6"/>
      <c r="D363" s="6"/>
      <c r="E363" s="6"/>
      <c r="F363" s="6"/>
      <c r="G363" s="103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spans="1:20" ht="14.25" customHeight="1" x14ac:dyDescent="0.2">
      <c r="A364" s="6"/>
      <c r="B364" s="6"/>
      <c r="C364" s="6"/>
      <c r="D364" s="6"/>
      <c r="E364" s="6"/>
      <c r="F364" s="6"/>
      <c r="G364" s="103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spans="1:20" ht="14.25" customHeight="1" x14ac:dyDescent="0.2">
      <c r="A365" s="6"/>
      <c r="B365" s="6"/>
      <c r="C365" s="6"/>
      <c r="D365" s="6"/>
      <c r="E365" s="6"/>
      <c r="F365" s="6"/>
      <c r="G365" s="103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1:20" ht="14.25" customHeight="1" x14ac:dyDescent="0.2">
      <c r="A366" s="6"/>
      <c r="B366" s="6"/>
      <c r="C366" s="6"/>
      <c r="D366" s="6"/>
      <c r="E366" s="6"/>
      <c r="F366" s="6"/>
      <c r="G366" s="103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1:20" ht="14.25" customHeight="1" x14ac:dyDescent="0.2">
      <c r="A367" s="6"/>
      <c r="B367" s="6"/>
      <c r="C367" s="6"/>
      <c r="D367" s="6"/>
      <c r="E367" s="6"/>
      <c r="F367" s="6"/>
      <c r="G367" s="103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spans="1:20" ht="14.25" customHeight="1" x14ac:dyDescent="0.2">
      <c r="A368" s="6"/>
      <c r="B368" s="6"/>
      <c r="C368" s="6"/>
      <c r="D368" s="6"/>
      <c r="E368" s="6"/>
      <c r="F368" s="6"/>
      <c r="G368" s="103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1:20" ht="14.25" customHeight="1" x14ac:dyDescent="0.2">
      <c r="A369" s="6"/>
      <c r="B369" s="6"/>
      <c r="C369" s="6"/>
      <c r="D369" s="6"/>
      <c r="E369" s="6"/>
      <c r="F369" s="6"/>
      <c r="G369" s="103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spans="1:20" ht="14.25" customHeight="1" x14ac:dyDescent="0.2">
      <c r="A370" s="6"/>
      <c r="B370" s="6"/>
      <c r="C370" s="6"/>
      <c r="D370" s="6"/>
      <c r="E370" s="6"/>
      <c r="F370" s="6"/>
      <c r="G370" s="103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1:20" ht="14.25" customHeight="1" x14ac:dyDescent="0.2">
      <c r="A371" s="6"/>
      <c r="B371" s="6"/>
      <c r="C371" s="6"/>
      <c r="D371" s="6"/>
      <c r="E371" s="6"/>
      <c r="F371" s="6"/>
      <c r="G371" s="103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spans="1:20" ht="14.25" customHeight="1" x14ac:dyDescent="0.2">
      <c r="A372" s="6"/>
      <c r="B372" s="6"/>
      <c r="C372" s="6"/>
      <c r="D372" s="6"/>
      <c r="E372" s="6"/>
      <c r="F372" s="6"/>
      <c r="G372" s="103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1:20" ht="14.25" customHeight="1" x14ac:dyDescent="0.2">
      <c r="A373" s="6"/>
      <c r="B373" s="6"/>
      <c r="C373" s="6"/>
      <c r="D373" s="6"/>
      <c r="E373" s="6"/>
      <c r="F373" s="6"/>
      <c r="G373" s="103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spans="1:20" ht="14.25" customHeight="1" x14ac:dyDescent="0.2">
      <c r="A374" s="6"/>
      <c r="B374" s="6"/>
      <c r="C374" s="6"/>
      <c r="D374" s="6"/>
      <c r="E374" s="6"/>
      <c r="F374" s="6"/>
      <c r="G374" s="103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1:20" ht="14.25" customHeight="1" x14ac:dyDescent="0.2">
      <c r="A375" s="6"/>
      <c r="B375" s="6"/>
      <c r="C375" s="6"/>
      <c r="D375" s="6"/>
      <c r="E375" s="6"/>
      <c r="F375" s="6"/>
      <c r="G375" s="103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spans="1:20" ht="14.25" customHeight="1" x14ac:dyDescent="0.2">
      <c r="A376" s="6"/>
      <c r="B376" s="6"/>
      <c r="C376" s="6"/>
      <c r="D376" s="6"/>
      <c r="E376" s="6"/>
      <c r="F376" s="6"/>
      <c r="G376" s="103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1:20" ht="14.25" customHeight="1" x14ac:dyDescent="0.2">
      <c r="A377" s="6"/>
      <c r="B377" s="6"/>
      <c r="C377" s="6"/>
      <c r="D377" s="6"/>
      <c r="E377" s="6"/>
      <c r="F377" s="6"/>
      <c r="G377" s="103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1:20" ht="14.25" customHeight="1" x14ac:dyDescent="0.2">
      <c r="A378" s="6"/>
      <c r="B378" s="6"/>
      <c r="C378" s="6"/>
      <c r="D378" s="6"/>
      <c r="E378" s="6"/>
      <c r="F378" s="6"/>
      <c r="G378" s="103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1:20" ht="14.25" customHeight="1" x14ac:dyDescent="0.2">
      <c r="A379" s="6"/>
      <c r="B379" s="6"/>
      <c r="C379" s="6"/>
      <c r="D379" s="6"/>
      <c r="E379" s="6"/>
      <c r="F379" s="6"/>
      <c r="G379" s="103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1:20" ht="14.25" customHeight="1" x14ac:dyDescent="0.2">
      <c r="A380" s="6"/>
      <c r="B380" s="6"/>
      <c r="C380" s="6"/>
      <c r="D380" s="6"/>
      <c r="E380" s="6"/>
      <c r="F380" s="6"/>
      <c r="G380" s="103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1:20" ht="14.25" customHeight="1" x14ac:dyDescent="0.2">
      <c r="A381" s="6"/>
      <c r="B381" s="6"/>
      <c r="C381" s="6"/>
      <c r="D381" s="6"/>
      <c r="E381" s="6"/>
      <c r="F381" s="6"/>
      <c r="G381" s="103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spans="1:20" ht="14.25" customHeight="1" x14ac:dyDescent="0.2">
      <c r="A382" s="6"/>
      <c r="B382" s="6"/>
      <c r="C382" s="6"/>
      <c r="D382" s="6"/>
      <c r="E382" s="6"/>
      <c r="F382" s="6"/>
      <c r="G382" s="103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1:20" ht="14.25" customHeight="1" x14ac:dyDescent="0.2">
      <c r="A383" s="6"/>
      <c r="B383" s="6"/>
      <c r="C383" s="6"/>
      <c r="D383" s="6"/>
      <c r="E383" s="6"/>
      <c r="F383" s="6"/>
      <c r="G383" s="103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spans="1:20" ht="14.25" customHeight="1" x14ac:dyDescent="0.2">
      <c r="A384" s="6"/>
      <c r="B384" s="6"/>
      <c r="C384" s="6"/>
      <c r="D384" s="6"/>
      <c r="E384" s="6"/>
      <c r="F384" s="6"/>
      <c r="G384" s="103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1:20" ht="14.25" customHeight="1" x14ac:dyDescent="0.2">
      <c r="A385" s="6"/>
      <c r="B385" s="6"/>
      <c r="C385" s="6"/>
      <c r="D385" s="6"/>
      <c r="E385" s="6"/>
      <c r="F385" s="6"/>
      <c r="G385" s="103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spans="1:20" ht="14.25" customHeight="1" x14ac:dyDescent="0.2">
      <c r="A386" s="6"/>
      <c r="B386" s="6"/>
      <c r="C386" s="6"/>
      <c r="D386" s="6"/>
      <c r="E386" s="6"/>
      <c r="F386" s="6"/>
      <c r="G386" s="103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1:20" ht="14.25" customHeight="1" x14ac:dyDescent="0.2">
      <c r="A387" s="6"/>
      <c r="B387" s="6"/>
      <c r="C387" s="6"/>
      <c r="D387" s="6"/>
      <c r="E387" s="6"/>
      <c r="F387" s="6"/>
      <c r="G387" s="103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spans="1:20" ht="14.25" customHeight="1" x14ac:dyDescent="0.2">
      <c r="A388" s="6"/>
      <c r="B388" s="6"/>
      <c r="C388" s="6"/>
      <c r="D388" s="6"/>
      <c r="E388" s="6"/>
      <c r="F388" s="6"/>
      <c r="G388" s="103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1:20" ht="14.25" customHeight="1" x14ac:dyDescent="0.2">
      <c r="A389" s="6"/>
      <c r="B389" s="6"/>
      <c r="C389" s="6"/>
      <c r="D389" s="6"/>
      <c r="E389" s="6"/>
      <c r="F389" s="6"/>
      <c r="G389" s="103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1:20" ht="14.25" customHeight="1" x14ac:dyDescent="0.2">
      <c r="A390" s="6"/>
      <c r="B390" s="6"/>
      <c r="C390" s="6"/>
      <c r="D390" s="6"/>
      <c r="E390" s="6"/>
      <c r="F390" s="6"/>
      <c r="G390" s="103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1:20" ht="14.25" customHeight="1" x14ac:dyDescent="0.2">
      <c r="A391" s="6"/>
      <c r="B391" s="6"/>
      <c r="C391" s="6"/>
      <c r="D391" s="6"/>
      <c r="E391" s="6"/>
      <c r="F391" s="6"/>
      <c r="G391" s="103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spans="1:20" ht="14.25" customHeight="1" x14ac:dyDescent="0.2">
      <c r="A392" s="6"/>
      <c r="B392" s="6"/>
      <c r="C392" s="6"/>
      <c r="D392" s="6"/>
      <c r="E392" s="6"/>
      <c r="F392" s="6"/>
      <c r="G392" s="103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spans="1:20" ht="14.25" customHeight="1" x14ac:dyDescent="0.2">
      <c r="A393" s="6"/>
      <c r="B393" s="6"/>
      <c r="C393" s="6"/>
      <c r="D393" s="6"/>
      <c r="E393" s="6"/>
      <c r="F393" s="6"/>
      <c r="G393" s="103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spans="1:20" ht="14.25" customHeight="1" x14ac:dyDescent="0.2">
      <c r="A394" s="6"/>
      <c r="B394" s="6"/>
      <c r="C394" s="6"/>
      <c r="D394" s="6"/>
      <c r="E394" s="6"/>
      <c r="F394" s="6"/>
      <c r="G394" s="103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spans="1:20" ht="14.25" customHeight="1" x14ac:dyDescent="0.2">
      <c r="A395" s="6"/>
      <c r="B395" s="6"/>
      <c r="C395" s="6"/>
      <c r="D395" s="6"/>
      <c r="E395" s="6"/>
      <c r="F395" s="6"/>
      <c r="G395" s="103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spans="1:20" ht="14.25" customHeight="1" x14ac:dyDescent="0.2">
      <c r="A396" s="6"/>
      <c r="B396" s="6"/>
      <c r="C396" s="6"/>
      <c r="D396" s="6"/>
      <c r="E396" s="6"/>
      <c r="F396" s="6"/>
      <c r="G396" s="103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spans="1:20" ht="14.25" customHeight="1" x14ac:dyDescent="0.2">
      <c r="A397" s="6"/>
      <c r="B397" s="6"/>
      <c r="C397" s="6"/>
      <c r="D397" s="6"/>
      <c r="E397" s="6"/>
      <c r="F397" s="6"/>
      <c r="G397" s="103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spans="1:20" ht="14.25" customHeight="1" x14ac:dyDescent="0.2">
      <c r="A398" s="6"/>
      <c r="B398" s="6"/>
      <c r="C398" s="6"/>
      <c r="D398" s="6"/>
      <c r="E398" s="6"/>
      <c r="F398" s="6"/>
      <c r="G398" s="103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spans="1:20" ht="14.25" customHeight="1" x14ac:dyDescent="0.2">
      <c r="A399" s="6"/>
      <c r="B399" s="6"/>
      <c r="C399" s="6"/>
      <c r="D399" s="6"/>
      <c r="E399" s="6"/>
      <c r="F399" s="6"/>
      <c r="G399" s="103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spans="1:20" ht="14.25" customHeight="1" x14ac:dyDescent="0.2">
      <c r="A400" s="6"/>
      <c r="B400" s="6"/>
      <c r="C400" s="6"/>
      <c r="D400" s="6"/>
      <c r="E400" s="6"/>
      <c r="F400" s="6"/>
      <c r="G400" s="103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1:20" ht="14.25" customHeight="1" x14ac:dyDescent="0.2">
      <c r="A401" s="6"/>
      <c r="B401" s="6"/>
      <c r="C401" s="6"/>
      <c r="D401" s="6"/>
      <c r="E401" s="6"/>
      <c r="F401" s="6"/>
      <c r="G401" s="103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spans="1:20" ht="14.25" customHeight="1" x14ac:dyDescent="0.2">
      <c r="A402" s="6"/>
      <c r="B402" s="6"/>
      <c r="C402" s="6"/>
      <c r="D402" s="6"/>
      <c r="E402" s="6"/>
      <c r="F402" s="6"/>
      <c r="G402" s="103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spans="1:20" ht="14.25" customHeight="1" x14ac:dyDescent="0.2">
      <c r="A403" s="6"/>
      <c r="B403" s="6"/>
      <c r="C403" s="6"/>
      <c r="D403" s="6"/>
      <c r="E403" s="6"/>
      <c r="F403" s="6"/>
      <c r="G403" s="103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spans="1:20" ht="14.25" customHeight="1" x14ac:dyDescent="0.2">
      <c r="A404" s="6"/>
      <c r="B404" s="6"/>
      <c r="C404" s="6"/>
      <c r="D404" s="6"/>
      <c r="E404" s="6"/>
      <c r="F404" s="6"/>
      <c r="G404" s="103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spans="1:20" ht="14.25" customHeight="1" x14ac:dyDescent="0.2">
      <c r="A405" s="6"/>
      <c r="B405" s="6"/>
      <c r="C405" s="6"/>
      <c r="D405" s="6"/>
      <c r="E405" s="6"/>
      <c r="F405" s="6"/>
      <c r="G405" s="103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spans="1:20" ht="14.25" customHeight="1" x14ac:dyDescent="0.2">
      <c r="A406" s="6"/>
      <c r="B406" s="6"/>
      <c r="C406" s="6"/>
      <c r="D406" s="6"/>
      <c r="E406" s="6"/>
      <c r="F406" s="6"/>
      <c r="G406" s="103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spans="1:20" ht="14.25" customHeight="1" x14ac:dyDescent="0.2">
      <c r="A407" s="6"/>
      <c r="B407" s="6"/>
      <c r="C407" s="6"/>
      <c r="D407" s="6"/>
      <c r="E407" s="6"/>
      <c r="F407" s="6"/>
      <c r="G407" s="103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spans="1:20" ht="14.25" customHeight="1" x14ac:dyDescent="0.2">
      <c r="A408" s="6"/>
      <c r="B408" s="6"/>
      <c r="C408" s="6"/>
      <c r="D408" s="6"/>
      <c r="E408" s="6"/>
      <c r="F408" s="6"/>
      <c r="G408" s="103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spans="1:20" ht="14.25" customHeight="1" x14ac:dyDescent="0.2">
      <c r="A409" s="6"/>
      <c r="B409" s="6"/>
      <c r="C409" s="6"/>
      <c r="D409" s="6"/>
      <c r="E409" s="6"/>
      <c r="F409" s="6"/>
      <c r="G409" s="103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spans="1:20" ht="14.25" customHeight="1" x14ac:dyDescent="0.2">
      <c r="A410" s="6"/>
      <c r="B410" s="6"/>
      <c r="C410" s="6"/>
      <c r="D410" s="6"/>
      <c r="E410" s="6"/>
      <c r="F410" s="6"/>
      <c r="G410" s="103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spans="1:20" ht="14.25" customHeight="1" x14ac:dyDescent="0.2">
      <c r="A411" s="6"/>
      <c r="B411" s="6"/>
      <c r="C411" s="6"/>
      <c r="D411" s="6"/>
      <c r="E411" s="6"/>
      <c r="F411" s="6"/>
      <c r="G411" s="103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spans="1:20" ht="14.25" customHeight="1" x14ac:dyDescent="0.2">
      <c r="A412" s="6"/>
      <c r="B412" s="6"/>
      <c r="C412" s="6"/>
      <c r="D412" s="6"/>
      <c r="E412" s="6"/>
      <c r="F412" s="6"/>
      <c r="G412" s="103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spans="1:20" ht="14.25" customHeight="1" x14ac:dyDescent="0.2">
      <c r="A413" s="6"/>
      <c r="B413" s="6"/>
      <c r="C413" s="6"/>
      <c r="D413" s="6"/>
      <c r="E413" s="6"/>
      <c r="F413" s="6"/>
      <c r="G413" s="103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spans="1:20" ht="14.25" customHeight="1" x14ac:dyDescent="0.2">
      <c r="A414" s="6"/>
      <c r="B414" s="6"/>
      <c r="C414" s="6"/>
      <c r="D414" s="6"/>
      <c r="E414" s="6"/>
      <c r="F414" s="6"/>
      <c r="G414" s="103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spans="1:20" ht="14.25" customHeight="1" x14ac:dyDescent="0.2">
      <c r="A415" s="6"/>
      <c r="B415" s="6"/>
      <c r="C415" s="6"/>
      <c r="D415" s="6"/>
      <c r="E415" s="6"/>
      <c r="F415" s="6"/>
      <c r="G415" s="103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spans="1:20" ht="14.25" customHeight="1" x14ac:dyDescent="0.2">
      <c r="A416" s="6"/>
      <c r="B416" s="6"/>
      <c r="C416" s="6"/>
      <c r="D416" s="6"/>
      <c r="E416" s="6"/>
      <c r="F416" s="6"/>
      <c r="G416" s="103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spans="1:20" ht="14.25" customHeight="1" x14ac:dyDescent="0.2">
      <c r="A417" s="6"/>
      <c r="B417" s="6"/>
      <c r="C417" s="6"/>
      <c r="D417" s="6"/>
      <c r="E417" s="6"/>
      <c r="F417" s="6"/>
      <c r="G417" s="103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spans="1:20" ht="14.25" customHeight="1" x14ac:dyDescent="0.2">
      <c r="A418" s="6"/>
      <c r="B418" s="6"/>
      <c r="C418" s="6"/>
      <c r="D418" s="6"/>
      <c r="E418" s="6"/>
      <c r="F418" s="6"/>
      <c r="G418" s="103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1:20" ht="14.25" customHeight="1" x14ac:dyDescent="0.2">
      <c r="A419" s="6"/>
      <c r="B419" s="6"/>
      <c r="C419" s="6"/>
      <c r="D419" s="6"/>
      <c r="E419" s="6"/>
      <c r="F419" s="6"/>
      <c r="G419" s="103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spans="1:20" ht="14.25" customHeight="1" x14ac:dyDescent="0.2">
      <c r="A420" s="6"/>
      <c r="B420" s="6"/>
      <c r="C420" s="6"/>
      <c r="D420" s="6"/>
      <c r="E420" s="6"/>
      <c r="F420" s="6"/>
      <c r="G420" s="103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spans="1:20" ht="14.25" customHeight="1" x14ac:dyDescent="0.2">
      <c r="A421" s="6"/>
      <c r="B421" s="6"/>
      <c r="C421" s="6"/>
      <c r="D421" s="6"/>
      <c r="E421" s="6"/>
      <c r="F421" s="6"/>
      <c r="G421" s="103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spans="1:20" ht="14.25" customHeight="1" x14ac:dyDescent="0.2">
      <c r="A422" s="6"/>
      <c r="B422" s="6"/>
      <c r="C422" s="6"/>
      <c r="D422" s="6"/>
      <c r="E422" s="6"/>
      <c r="F422" s="6"/>
      <c r="G422" s="103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spans="1:20" ht="14.25" customHeight="1" x14ac:dyDescent="0.2">
      <c r="A423" s="6"/>
      <c r="B423" s="6"/>
      <c r="C423" s="6"/>
      <c r="D423" s="6"/>
      <c r="E423" s="6"/>
      <c r="F423" s="6"/>
      <c r="G423" s="103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spans="1:20" ht="14.25" customHeight="1" x14ac:dyDescent="0.2">
      <c r="A424" s="6"/>
      <c r="B424" s="6"/>
      <c r="C424" s="6"/>
      <c r="D424" s="6"/>
      <c r="E424" s="6"/>
      <c r="F424" s="6"/>
      <c r="G424" s="103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spans="1:20" ht="14.25" customHeight="1" x14ac:dyDescent="0.2">
      <c r="A425" s="6"/>
      <c r="B425" s="6"/>
      <c r="C425" s="6"/>
      <c r="D425" s="6"/>
      <c r="E425" s="6"/>
      <c r="F425" s="6"/>
      <c r="G425" s="103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spans="1:20" ht="14.25" customHeight="1" x14ac:dyDescent="0.2">
      <c r="A426" s="6"/>
      <c r="B426" s="6"/>
      <c r="C426" s="6"/>
      <c r="D426" s="6"/>
      <c r="E426" s="6"/>
      <c r="F426" s="6"/>
      <c r="G426" s="103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spans="1:20" ht="14.25" customHeight="1" x14ac:dyDescent="0.2">
      <c r="A427" s="6"/>
      <c r="B427" s="6"/>
      <c r="C427" s="6"/>
      <c r="D427" s="6"/>
      <c r="E427" s="6"/>
      <c r="F427" s="6"/>
      <c r="G427" s="103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spans="1:20" ht="14.25" customHeight="1" x14ac:dyDescent="0.2">
      <c r="A428" s="6"/>
      <c r="B428" s="6"/>
      <c r="C428" s="6"/>
      <c r="D428" s="6"/>
      <c r="E428" s="6"/>
      <c r="F428" s="6"/>
      <c r="G428" s="103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spans="1:20" ht="14.25" customHeight="1" x14ac:dyDescent="0.2">
      <c r="A429" s="6"/>
      <c r="B429" s="6"/>
      <c r="C429" s="6"/>
      <c r="D429" s="6"/>
      <c r="E429" s="6"/>
      <c r="F429" s="6"/>
      <c r="G429" s="103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spans="1:20" ht="14.25" customHeight="1" x14ac:dyDescent="0.2">
      <c r="A430" s="6"/>
      <c r="B430" s="6"/>
      <c r="C430" s="6"/>
      <c r="D430" s="6"/>
      <c r="E430" s="6"/>
      <c r="F430" s="6"/>
      <c r="G430" s="103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spans="1:20" ht="14.25" customHeight="1" x14ac:dyDescent="0.2">
      <c r="A431" s="6"/>
      <c r="B431" s="6"/>
      <c r="C431" s="6"/>
      <c r="D431" s="6"/>
      <c r="E431" s="6"/>
      <c r="F431" s="6"/>
      <c r="G431" s="103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spans="1:20" ht="14.25" customHeight="1" x14ac:dyDescent="0.2">
      <c r="A432" s="6"/>
      <c r="B432" s="6"/>
      <c r="C432" s="6"/>
      <c r="D432" s="6"/>
      <c r="E432" s="6"/>
      <c r="F432" s="6"/>
      <c r="G432" s="103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spans="1:20" ht="14.25" customHeight="1" x14ac:dyDescent="0.2">
      <c r="A433" s="6"/>
      <c r="B433" s="6"/>
      <c r="C433" s="6"/>
      <c r="D433" s="6"/>
      <c r="E433" s="6"/>
      <c r="F433" s="6"/>
      <c r="G433" s="103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spans="1:20" ht="14.25" customHeight="1" x14ac:dyDescent="0.2">
      <c r="A434" s="6"/>
      <c r="B434" s="6"/>
      <c r="C434" s="6"/>
      <c r="D434" s="6"/>
      <c r="E434" s="6"/>
      <c r="F434" s="6"/>
      <c r="G434" s="103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spans="1:20" ht="14.25" customHeight="1" x14ac:dyDescent="0.2">
      <c r="A435" s="6"/>
      <c r="B435" s="6"/>
      <c r="C435" s="6"/>
      <c r="D435" s="6"/>
      <c r="E435" s="6"/>
      <c r="F435" s="6"/>
      <c r="G435" s="103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spans="1:20" ht="14.25" customHeight="1" x14ac:dyDescent="0.2">
      <c r="A436" s="6"/>
      <c r="B436" s="6"/>
      <c r="C436" s="6"/>
      <c r="D436" s="6"/>
      <c r="E436" s="6"/>
      <c r="F436" s="6"/>
      <c r="G436" s="103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spans="1:20" ht="14.25" customHeight="1" x14ac:dyDescent="0.2">
      <c r="A437" s="6"/>
      <c r="B437" s="6"/>
      <c r="C437" s="6"/>
      <c r="D437" s="6"/>
      <c r="E437" s="6"/>
      <c r="F437" s="6"/>
      <c r="G437" s="103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spans="1:20" ht="14.25" customHeight="1" x14ac:dyDescent="0.2">
      <c r="A438" s="6"/>
      <c r="B438" s="6"/>
      <c r="C438" s="6"/>
      <c r="D438" s="6"/>
      <c r="E438" s="6"/>
      <c r="F438" s="6"/>
      <c r="G438" s="103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spans="1:20" ht="14.25" customHeight="1" x14ac:dyDescent="0.2">
      <c r="A439" s="6"/>
      <c r="B439" s="6"/>
      <c r="C439" s="6"/>
      <c r="D439" s="6"/>
      <c r="E439" s="6"/>
      <c r="F439" s="6"/>
      <c r="G439" s="103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spans="1:20" ht="14.25" customHeight="1" x14ac:dyDescent="0.2">
      <c r="A440" s="6"/>
      <c r="B440" s="6"/>
      <c r="C440" s="6"/>
      <c r="D440" s="6"/>
      <c r="E440" s="6"/>
      <c r="F440" s="6"/>
      <c r="G440" s="103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spans="1:20" ht="14.25" customHeight="1" x14ac:dyDescent="0.2">
      <c r="A441" s="6"/>
      <c r="B441" s="6"/>
      <c r="C441" s="6"/>
      <c r="D441" s="6"/>
      <c r="E441" s="6"/>
      <c r="F441" s="6"/>
      <c r="G441" s="103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spans="1:20" ht="14.25" customHeight="1" x14ac:dyDescent="0.2">
      <c r="A442" s="6"/>
      <c r="B442" s="6"/>
      <c r="C442" s="6"/>
      <c r="D442" s="6"/>
      <c r="E442" s="6"/>
      <c r="F442" s="6"/>
      <c r="G442" s="103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spans="1:20" ht="14.25" customHeight="1" x14ac:dyDescent="0.2">
      <c r="A443" s="6"/>
      <c r="B443" s="6"/>
      <c r="C443" s="6"/>
      <c r="D443" s="6"/>
      <c r="E443" s="6"/>
      <c r="F443" s="6"/>
      <c r="G443" s="103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spans="1:20" ht="14.25" customHeight="1" x14ac:dyDescent="0.2">
      <c r="A444" s="6"/>
      <c r="B444" s="6"/>
      <c r="C444" s="6"/>
      <c r="D444" s="6"/>
      <c r="E444" s="6"/>
      <c r="F444" s="6"/>
      <c r="G444" s="103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spans="1:20" ht="14.25" customHeight="1" x14ac:dyDescent="0.2">
      <c r="A445" s="6"/>
      <c r="B445" s="6"/>
      <c r="C445" s="6"/>
      <c r="D445" s="6"/>
      <c r="E445" s="6"/>
      <c r="F445" s="6"/>
      <c r="G445" s="103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spans="1:20" ht="14.25" customHeight="1" x14ac:dyDescent="0.2">
      <c r="A446" s="6"/>
      <c r="B446" s="6"/>
      <c r="C446" s="6"/>
      <c r="D446" s="6"/>
      <c r="E446" s="6"/>
      <c r="F446" s="6"/>
      <c r="G446" s="103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spans="1:20" ht="14.25" customHeight="1" x14ac:dyDescent="0.2">
      <c r="A447" s="6"/>
      <c r="B447" s="6"/>
      <c r="C447" s="6"/>
      <c r="D447" s="6"/>
      <c r="E447" s="6"/>
      <c r="F447" s="6"/>
      <c r="G447" s="103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spans="1:20" ht="14.25" customHeight="1" x14ac:dyDescent="0.2">
      <c r="A448" s="6"/>
      <c r="B448" s="6"/>
      <c r="C448" s="6"/>
      <c r="D448" s="6"/>
      <c r="E448" s="6"/>
      <c r="F448" s="6"/>
      <c r="G448" s="103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spans="1:20" ht="14.25" customHeight="1" x14ac:dyDescent="0.2">
      <c r="A449" s="6"/>
      <c r="B449" s="6"/>
      <c r="C449" s="6"/>
      <c r="D449" s="6"/>
      <c r="E449" s="6"/>
      <c r="F449" s="6"/>
      <c r="G449" s="103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spans="1:20" ht="14.25" customHeight="1" x14ac:dyDescent="0.2">
      <c r="A450" s="6"/>
      <c r="B450" s="6"/>
      <c r="C450" s="6"/>
      <c r="D450" s="6"/>
      <c r="E450" s="6"/>
      <c r="F450" s="6"/>
      <c r="G450" s="103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spans="1:20" ht="14.25" customHeight="1" x14ac:dyDescent="0.2">
      <c r="A451" s="6"/>
      <c r="B451" s="6"/>
      <c r="C451" s="6"/>
      <c r="D451" s="6"/>
      <c r="E451" s="6"/>
      <c r="F451" s="6"/>
      <c r="G451" s="103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spans="1:20" ht="14.25" customHeight="1" x14ac:dyDescent="0.2">
      <c r="A452" s="6"/>
      <c r="B452" s="6"/>
      <c r="C452" s="6"/>
      <c r="D452" s="6"/>
      <c r="E452" s="6"/>
      <c r="F452" s="6"/>
      <c r="G452" s="103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spans="1:20" ht="14.25" customHeight="1" x14ac:dyDescent="0.2">
      <c r="A453" s="6"/>
      <c r="B453" s="6"/>
      <c r="C453" s="6"/>
      <c r="D453" s="6"/>
      <c r="E453" s="6"/>
      <c r="F453" s="6"/>
      <c r="G453" s="103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spans="1:20" ht="14.25" customHeight="1" x14ac:dyDescent="0.2">
      <c r="A454" s="6"/>
      <c r="B454" s="6"/>
      <c r="C454" s="6"/>
      <c r="D454" s="6"/>
      <c r="E454" s="6"/>
      <c r="F454" s="6"/>
      <c r="G454" s="103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spans="1:20" ht="14.25" customHeight="1" x14ac:dyDescent="0.2">
      <c r="A455" s="6"/>
      <c r="B455" s="6"/>
      <c r="C455" s="6"/>
      <c r="D455" s="6"/>
      <c r="E455" s="6"/>
      <c r="F455" s="6"/>
      <c r="G455" s="103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spans="1:20" ht="14.25" customHeight="1" x14ac:dyDescent="0.2">
      <c r="A456" s="6"/>
      <c r="B456" s="6"/>
      <c r="C456" s="6"/>
      <c r="D456" s="6"/>
      <c r="E456" s="6"/>
      <c r="F456" s="6"/>
      <c r="G456" s="103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spans="1:20" ht="14.25" customHeight="1" x14ac:dyDescent="0.2">
      <c r="A457" s="6"/>
      <c r="B457" s="6"/>
      <c r="C457" s="6"/>
      <c r="D457" s="6"/>
      <c r="E457" s="6"/>
      <c r="F457" s="6"/>
      <c r="G457" s="103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1:20" ht="14.25" customHeight="1" x14ac:dyDescent="0.2">
      <c r="A458" s="6"/>
      <c r="B458" s="6"/>
      <c r="C458" s="6"/>
      <c r="D458" s="6"/>
      <c r="E458" s="6"/>
      <c r="F458" s="6"/>
      <c r="G458" s="103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1:20" ht="14.25" customHeight="1" x14ac:dyDescent="0.2">
      <c r="A459" s="6"/>
      <c r="B459" s="6"/>
      <c r="C459" s="6"/>
      <c r="D459" s="6"/>
      <c r="E459" s="6"/>
      <c r="F459" s="6"/>
      <c r="G459" s="103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spans="1:20" ht="14.25" customHeight="1" x14ac:dyDescent="0.2">
      <c r="A460" s="6"/>
      <c r="B460" s="6"/>
      <c r="C460" s="6"/>
      <c r="D460" s="6"/>
      <c r="E460" s="6"/>
      <c r="F460" s="6"/>
      <c r="G460" s="103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1:20" ht="14.25" customHeight="1" x14ac:dyDescent="0.2">
      <c r="A461" s="6"/>
      <c r="B461" s="6"/>
      <c r="C461" s="6"/>
      <c r="D461" s="6"/>
      <c r="E461" s="6"/>
      <c r="F461" s="6"/>
      <c r="G461" s="103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spans="1:20" ht="14.25" customHeight="1" x14ac:dyDescent="0.2">
      <c r="A462" s="6"/>
      <c r="B462" s="6"/>
      <c r="C462" s="6"/>
      <c r="D462" s="6"/>
      <c r="E462" s="6"/>
      <c r="F462" s="6"/>
      <c r="G462" s="103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spans="1:20" ht="14.25" customHeight="1" x14ac:dyDescent="0.2">
      <c r="A463" s="6"/>
      <c r="B463" s="6"/>
      <c r="C463" s="6"/>
      <c r="D463" s="6"/>
      <c r="E463" s="6"/>
      <c r="F463" s="6"/>
      <c r="G463" s="103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spans="1:20" ht="14.25" customHeight="1" x14ac:dyDescent="0.2">
      <c r="A464" s="6"/>
      <c r="B464" s="6"/>
      <c r="C464" s="6"/>
      <c r="D464" s="6"/>
      <c r="E464" s="6"/>
      <c r="F464" s="6"/>
      <c r="G464" s="103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spans="1:20" ht="14.25" customHeight="1" x14ac:dyDescent="0.2">
      <c r="A465" s="6"/>
      <c r="B465" s="6"/>
      <c r="C465" s="6"/>
      <c r="D465" s="6"/>
      <c r="E465" s="6"/>
      <c r="F465" s="6"/>
      <c r="G465" s="103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</sheetData>
  <mergeCells count="30">
    <mergeCell ref="G1:H1"/>
    <mergeCell ref="G2:H2"/>
    <mergeCell ref="B6:B7"/>
    <mergeCell ref="C6:C7"/>
    <mergeCell ref="D6:D7"/>
    <mergeCell ref="E6:E7"/>
    <mergeCell ref="F6:F7"/>
    <mergeCell ref="G6:G7"/>
    <mergeCell ref="H6:H7"/>
    <mergeCell ref="C89:G89"/>
    <mergeCell ref="B164:B165"/>
    <mergeCell ref="C164:C165"/>
    <mergeCell ref="D164:D165"/>
    <mergeCell ref="E164:E165"/>
    <mergeCell ref="F164:F165"/>
    <mergeCell ref="G164:G165"/>
    <mergeCell ref="H209:H210"/>
    <mergeCell ref="I209:I210"/>
    <mergeCell ref="J209:J210"/>
    <mergeCell ref="I6:I7"/>
    <mergeCell ref="J6:J7"/>
    <mergeCell ref="H164:H165"/>
    <mergeCell ref="I164:I165"/>
    <mergeCell ref="J164:J165"/>
    <mergeCell ref="F262:G262"/>
    <mergeCell ref="F263:G263"/>
    <mergeCell ref="F264:G264"/>
    <mergeCell ref="F265:G265"/>
    <mergeCell ref="B209:B210"/>
    <mergeCell ref="C209:C210"/>
  </mergeCells>
  <conditionalFormatting sqref="B1:B3 B251:F251 B257:F258">
    <cfRule type="expression" dxfId="30" priority="3">
      <formula>$C1&lt;&gt;""</formula>
    </cfRule>
  </conditionalFormatting>
  <conditionalFormatting sqref="B1:B5 B205:F205 H205">
    <cfRule type="expression" dxfId="29" priority="2">
      <formula>#REF!&lt;&gt;""</formula>
    </cfRule>
  </conditionalFormatting>
  <conditionalFormatting sqref="B160:B163">
    <cfRule type="expression" dxfId="28" priority="7">
      <formula>#REF!&lt;&gt;""</formula>
    </cfRule>
  </conditionalFormatting>
  <conditionalFormatting sqref="B207:B208">
    <cfRule type="expression" dxfId="27" priority="8">
      <formula>$C207&lt;&gt;""</formula>
    </cfRule>
  </conditionalFormatting>
  <conditionalFormatting sqref="G1:G2">
    <cfRule type="expression" dxfId="26" priority="4">
      <formula>#REF!&lt;&gt;""</formula>
    </cfRule>
  </conditionalFormatting>
  <conditionalFormatting sqref="G158:I158 B158:F159">
    <cfRule type="expression" dxfId="25" priority="5">
      <formula>#REF!&lt;&gt;""</formula>
    </cfRule>
  </conditionalFormatting>
  <conditionalFormatting sqref="H158:H159">
    <cfRule type="expression" dxfId="24" priority="6">
      <formula>#REF!&lt;&gt;""</formula>
    </cfRule>
  </conditionalFormatting>
  <conditionalFormatting sqref="H257:H258">
    <cfRule type="expression" dxfId="23" priority="9">
      <formula>$C257&lt;&gt;""</formula>
    </cfRule>
  </conditionalFormatting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465"/>
  <sheetViews>
    <sheetView topLeftCell="A233" zoomScaleNormal="100" workbookViewId="0">
      <selection activeCell="V256" sqref="V256"/>
    </sheetView>
  </sheetViews>
  <sheetFormatPr defaultColWidth="14.42578125" defaultRowHeight="12.75" x14ac:dyDescent="0.2"/>
  <cols>
    <col min="1" max="1" width="8" customWidth="1"/>
    <col min="2" max="2" width="3.42578125" customWidth="1"/>
    <col min="3" max="3" width="37" customWidth="1"/>
    <col min="4" max="4" width="19.42578125" customWidth="1"/>
    <col min="5" max="5" width="8.5703125" customWidth="1"/>
    <col min="6" max="6" width="3.7109375" customWidth="1"/>
    <col min="7" max="7" width="18.85546875" customWidth="1"/>
    <col min="8" max="8" width="16.85546875" customWidth="1"/>
    <col min="9" max="9" width="15.85546875" customWidth="1"/>
    <col min="10" max="10" width="13.5703125" customWidth="1"/>
    <col min="11" max="12" width="8" hidden="1" customWidth="1"/>
    <col min="13" max="13" width="9.28515625" hidden="1" customWidth="1"/>
    <col min="14" max="14" width="21.85546875" hidden="1" customWidth="1"/>
    <col min="15" max="15" width="8" hidden="1" customWidth="1"/>
    <col min="16" max="16" width="9.85546875" hidden="1" customWidth="1"/>
    <col min="17" max="18" width="8" hidden="1" customWidth="1"/>
    <col min="19" max="20" width="8" customWidth="1"/>
    <col min="21" max="23" width="10" customWidth="1"/>
    <col min="24" max="25" width="12" customWidth="1"/>
    <col min="26" max="26" width="10" customWidth="1"/>
    <col min="27" max="27" width="12" customWidth="1"/>
    <col min="28" max="43" width="4.42578125" customWidth="1"/>
    <col min="44" max="44" width="12" customWidth="1"/>
  </cols>
  <sheetData>
    <row r="1" spans="1:44" ht="14.25" customHeight="1" x14ac:dyDescent="0.2">
      <c r="A1" s="6"/>
      <c r="B1" s="7" t="s">
        <v>21</v>
      </c>
      <c r="C1" s="8"/>
      <c r="D1" s="6"/>
      <c r="E1" s="6"/>
      <c r="F1" s="6"/>
      <c r="G1" s="287" t="s">
        <v>22</v>
      </c>
      <c r="H1" s="287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44" ht="14.25" customHeight="1" x14ac:dyDescent="0.2">
      <c r="A2" s="6"/>
      <c r="B2" s="9" t="s">
        <v>23</v>
      </c>
      <c r="C2" s="8"/>
      <c r="D2" s="6"/>
      <c r="E2" s="6"/>
      <c r="F2" s="6"/>
      <c r="G2" s="287" t="s">
        <v>24</v>
      </c>
      <c r="H2" s="287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44" ht="14.25" customHeight="1" x14ac:dyDescent="0.2">
      <c r="A3" s="6"/>
      <c r="B3" s="9" t="s">
        <v>25</v>
      </c>
      <c r="C3" s="8"/>
      <c r="D3" s="6"/>
      <c r="E3" s="6"/>
      <c r="F3" s="6"/>
      <c r="G3" s="10" t="s">
        <v>26</v>
      </c>
      <c r="H3" s="11" t="s">
        <v>27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44" ht="14.25" customHeight="1" x14ac:dyDescent="0.2">
      <c r="A4" s="6"/>
      <c r="B4" s="7" t="s">
        <v>28</v>
      </c>
      <c r="C4" s="8"/>
      <c r="D4" s="6"/>
      <c r="E4" s="6"/>
      <c r="F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44" ht="14.25" customHeight="1" x14ac:dyDescent="0.2">
      <c r="A5" s="6"/>
      <c r="B5" s="12"/>
      <c r="C5" s="1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288" t="s">
        <v>390</v>
      </c>
      <c r="V5" s="288"/>
      <c r="W5" s="288"/>
      <c r="X5" s="288"/>
      <c r="Y5" s="288"/>
      <c r="Z5" s="288"/>
      <c r="AA5" s="288"/>
      <c r="AB5" s="288"/>
      <c r="AC5" s="288"/>
      <c r="AD5" s="288"/>
      <c r="AE5" s="288"/>
      <c r="AF5" s="288"/>
      <c r="AG5" s="288"/>
      <c r="AH5" s="288"/>
      <c r="AI5" s="288"/>
      <c r="AJ5" s="288"/>
      <c r="AK5" s="288"/>
      <c r="AL5" s="288"/>
      <c r="AM5" s="288"/>
      <c r="AN5" s="288"/>
      <c r="AO5" s="288"/>
      <c r="AP5" s="288"/>
      <c r="AQ5" s="288"/>
    </row>
    <row r="6" spans="1:44" ht="14.25" customHeight="1" x14ac:dyDescent="0.2">
      <c r="A6" s="14"/>
      <c r="B6" s="284" t="s">
        <v>29</v>
      </c>
      <c r="C6" s="284" t="s">
        <v>30</v>
      </c>
      <c r="D6" s="284" t="s">
        <v>31</v>
      </c>
      <c r="E6" s="284" t="s">
        <v>32</v>
      </c>
      <c r="F6" s="284" t="s">
        <v>33</v>
      </c>
      <c r="G6" s="284" t="s">
        <v>34</v>
      </c>
      <c r="H6" s="284" t="s">
        <v>35</v>
      </c>
      <c r="I6" s="285" t="s">
        <v>36</v>
      </c>
      <c r="J6" s="285" t="s">
        <v>37</v>
      </c>
      <c r="K6" s="6"/>
      <c r="L6" s="6"/>
      <c r="M6" s="6"/>
      <c r="N6" s="6"/>
      <c r="O6" s="6"/>
      <c r="P6" s="6"/>
      <c r="Q6" s="6"/>
      <c r="R6" s="6"/>
      <c r="S6" s="6"/>
      <c r="T6" s="6"/>
      <c r="U6" s="106" t="s">
        <v>391</v>
      </c>
      <c r="V6" s="106" t="s">
        <v>392</v>
      </c>
      <c r="W6" s="106" t="s">
        <v>393</v>
      </c>
      <c r="X6" s="106" t="s">
        <v>394</v>
      </c>
      <c r="Y6" s="106" t="s">
        <v>395</v>
      </c>
      <c r="Z6" s="106" t="s">
        <v>396</v>
      </c>
      <c r="AA6" s="106" t="s">
        <v>397</v>
      </c>
      <c r="AB6" s="107" t="s">
        <v>398</v>
      </c>
      <c r="AC6" s="107" t="s">
        <v>399</v>
      </c>
      <c r="AD6" s="107" t="s">
        <v>400</v>
      </c>
      <c r="AE6" s="107" t="s">
        <v>401</v>
      </c>
      <c r="AF6" s="107" t="s">
        <v>402</v>
      </c>
      <c r="AG6" s="107" t="s">
        <v>403</v>
      </c>
      <c r="AH6" s="107" t="s">
        <v>404</v>
      </c>
      <c r="AI6" s="107" t="s">
        <v>405</v>
      </c>
      <c r="AJ6" s="107" t="s">
        <v>406</v>
      </c>
      <c r="AK6" s="107" t="s">
        <v>407</v>
      </c>
      <c r="AL6" s="107" t="s">
        <v>408</v>
      </c>
      <c r="AM6" s="107" t="s">
        <v>409</v>
      </c>
      <c r="AN6" s="107" t="s">
        <v>410</v>
      </c>
      <c r="AO6" s="107" t="s">
        <v>411</v>
      </c>
      <c r="AP6" s="107" t="s">
        <v>412</v>
      </c>
      <c r="AQ6" s="107" t="s">
        <v>413</v>
      </c>
      <c r="AR6" t="s">
        <v>414</v>
      </c>
    </row>
    <row r="7" spans="1:44" ht="14.25" customHeight="1" x14ac:dyDescent="0.2">
      <c r="A7" s="14"/>
      <c r="B7" s="284"/>
      <c r="C7" s="284"/>
      <c r="D7" s="284"/>
      <c r="E7" s="284"/>
      <c r="F7" s="284"/>
      <c r="G7" s="284"/>
      <c r="H7" s="284"/>
      <c r="I7" s="284"/>
      <c r="J7" s="284"/>
      <c r="K7" s="6"/>
      <c r="L7" s="6"/>
      <c r="M7" s="6"/>
      <c r="N7" s="6"/>
      <c r="O7" s="6"/>
      <c r="P7" s="6"/>
      <c r="Q7" s="6"/>
      <c r="R7" s="6"/>
      <c r="S7" s="6"/>
      <c r="T7" s="6"/>
      <c r="U7" s="289" t="s">
        <v>415</v>
      </c>
      <c r="V7" s="289"/>
      <c r="W7" s="289"/>
      <c r="X7" s="289"/>
      <c r="Y7" s="289"/>
      <c r="Z7" s="289"/>
      <c r="AA7" s="289"/>
      <c r="AB7" s="289"/>
      <c r="AC7" s="289"/>
      <c r="AD7" s="289"/>
      <c r="AE7" s="289"/>
      <c r="AF7" s="289"/>
      <c r="AG7" s="289"/>
      <c r="AH7" s="289"/>
      <c r="AI7" s="289"/>
      <c r="AJ7" s="289"/>
      <c r="AK7" s="289"/>
      <c r="AL7" s="289"/>
      <c r="AM7" s="289"/>
      <c r="AN7" s="289"/>
      <c r="AO7" s="289"/>
      <c r="AP7" s="289"/>
      <c r="AQ7" s="289"/>
    </row>
    <row r="8" spans="1:44" ht="14.25" customHeight="1" x14ac:dyDescent="0.25">
      <c r="A8" s="15"/>
      <c r="B8" s="16" t="s">
        <v>38</v>
      </c>
      <c r="C8" s="16" t="s">
        <v>416</v>
      </c>
      <c r="D8" s="16"/>
      <c r="E8" s="16"/>
      <c r="F8" s="16"/>
      <c r="G8" s="17"/>
      <c r="H8" s="18"/>
      <c r="I8" s="1"/>
      <c r="J8" s="1"/>
      <c r="K8" s="19" t="s">
        <v>38</v>
      </c>
      <c r="L8" s="20" t="s">
        <v>39</v>
      </c>
      <c r="M8" s="21"/>
      <c r="N8" s="21"/>
      <c r="O8" s="21"/>
      <c r="P8" s="15"/>
      <c r="Q8" s="15"/>
      <c r="R8" s="6"/>
      <c r="S8" s="6"/>
      <c r="T8" s="6"/>
    </row>
    <row r="9" spans="1:44" ht="14.25" customHeight="1" x14ac:dyDescent="0.2">
      <c r="A9" s="22"/>
      <c r="B9" s="23">
        <v>1</v>
      </c>
      <c r="C9" s="24" t="s">
        <v>39</v>
      </c>
      <c r="D9" s="25" t="s">
        <v>40</v>
      </c>
      <c r="E9" s="26">
        <v>1</v>
      </c>
      <c r="F9" s="27" t="s">
        <v>41</v>
      </c>
      <c r="G9" s="28">
        <v>20000000</v>
      </c>
      <c r="H9" s="29">
        <f>E9*G9</f>
        <v>20000000</v>
      </c>
      <c r="I9" s="30">
        <v>3908731694</v>
      </c>
      <c r="J9" s="31">
        <f t="shared" ref="J9:J14" si="0">H9/I9*100</f>
        <v>0.51167492592803177</v>
      </c>
      <c r="K9" s="32">
        <v>1</v>
      </c>
      <c r="L9" s="33" t="s">
        <v>39</v>
      </c>
      <c r="M9" s="34"/>
      <c r="N9" s="34"/>
      <c r="O9" s="35" t="s">
        <v>42</v>
      </c>
      <c r="P9" s="22">
        <v>1300000</v>
      </c>
      <c r="Q9" s="22">
        <v>1300000</v>
      </c>
      <c r="R9" s="6"/>
      <c r="S9" s="6"/>
      <c r="T9" s="6"/>
      <c r="U9" s="108">
        <v>1</v>
      </c>
      <c r="V9" s="108">
        <v>4</v>
      </c>
      <c r="W9" s="109">
        <f t="shared" ref="W9:W14" si="1">MAX(1,V9-U9+1)</f>
        <v>4</v>
      </c>
      <c r="X9" s="110">
        <f t="array" ref="X9">INDEX('KALENDER MINGGU'!$B$6:$B$21,U9)</f>
        <v>46226</v>
      </c>
      <c r="Y9" s="110">
        <f t="array" ref="Y9">INDEX('KALENDER MINGGU'!$C$6:$C$21,V9)</f>
        <v>46253</v>
      </c>
      <c r="AB9" s="109" t="str">
        <f>IF(AND($U9&lt;=1,$V9&gt;=1),"■","")</f>
        <v>■</v>
      </c>
      <c r="AC9" s="109" t="str">
        <f>IF(AND($U9&lt;=2,$V9&gt;=2),"■","")</f>
        <v>■</v>
      </c>
      <c r="AD9" s="109" t="str">
        <f>IF(AND($U9&lt;=3,$V9&gt;=3),"■","")</f>
        <v>■</v>
      </c>
      <c r="AE9" s="109" t="str">
        <f>IF(AND($U9&lt;=4,$V9&gt;=4),"■","")</f>
        <v>■</v>
      </c>
      <c r="AF9" s="109" t="str">
        <f>IF(AND($U9&lt;=5,$V9&gt;=5),"■","")</f>
        <v/>
      </c>
      <c r="AG9" s="109" t="str">
        <f>IF(AND($U9&lt;=6,$V9&gt;=6),"■","")</f>
        <v/>
      </c>
      <c r="AH9" s="109" t="str">
        <f>IF(AND($U9&lt;=7,$V9&gt;=7),"■","")</f>
        <v/>
      </c>
      <c r="AI9" s="109" t="str">
        <f>IF(AND($U9&lt;=8,$V9&gt;=8),"■","")</f>
        <v/>
      </c>
      <c r="AJ9" s="109" t="str">
        <f>IF(AND($U9&lt;=9,$V9&gt;=9),"■","")</f>
        <v/>
      </c>
      <c r="AK9" s="109" t="str">
        <f>IF(AND($U9&lt;=10,$V9&gt;=10),"■","")</f>
        <v/>
      </c>
      <c r="AL9" s="109" t="str">
        <f>IF(AND($U9&lt;=11,$V9&gt;=11),"■","")</f>
        <v/>
      </c>
      <c r="AM9" s="109" t="str">
        <f>IF(AND($U9&lt;=12,$V9&gt;=12),"■","")</f>
        <v/>
      </c>
      <c r="AN9" s="109" t="str">
        <f>IF(AND($U9&lt;=13,$V9&gt;=13),"■","")</f>
        <v/>
      </c>
      <c r="AO9" s="109" t="str">
        <f>IF(AND($U9&lt;=14,$V9&gt;=14),"■","")</f>
        <v/>
      </c>
      <c r="AP9" s="109" t="str">
        <f>IF(AND($U9&lt;=15,$V9&gt;=15),"■","")</f>
        <v/>
      </c>
      <c r="AQ9" s="109" t="str">
        <f>IF(AND($U9&lt;=16,$V9&gt;=16),"■","")</f>
        <v/>
      </c>
      <c r="AR9" t="s">
        <v>417</v>
      </c>
    </row>
    <row r="10" spans="1:44" ht="14.25" customHeight="1" x14ac:dyDescent="0.2">
      <c r="A10" s="22"/>
      <c r="B10" s="23">
        <v>2</v>
      </c>
      <c r="C10" s="24" t="s">
        <v>43</v>
      </c>
      <c r="D10" s="36"/>
      <c r="E10" s="26">
        <v>1</v>
      </c>
      <c r="F10" s="27" t="s">
        <v>41</v>
      </c>
      <c r="G10" s="28">
        <v>10000000</v>
      </c>
      <c r="H10" s="29">
        <f>E10*G10</f>
        <v>10000000</v>
      </c>
      <c r="I10" s="30">
        <v>3908731694</v>
      </c>
      <c r="J10" s="31">
        <f t="shared" si="0"/>
        <v>0.25583746296401588</v>
      </c>
      <c r="K10" s="32">
        <v>2</v>
      </c>
      <c r="L10" s="33" t="s">
        <v>43</v>
      </c>
      <c r="M10" s="34"/>
      <c r="N10" s="34"/>
      <c r="O10" s="35" t="s">
        <v>42</v>
      </c>
      <c r="P10" s="22">
        <v>5000000</v>
      </c>
      <c r="Q10" s="22">
        <v>5000000</v>
      </c>
      <c r="R10" s="6"/>
      <c r="S10" s="6"/>
      <c r="T10" s="6"/>
      <c r="U10" s="108">
        <v>1</v>
      </c>
      <c r="V10" s="108">
        <v>4</v>
      </c>
      <c r="W10" s="109">
        <f t="shared" si="1"/>
        <v>4</v>
      </c>
      <c r="X10" s="110">
        <f t="array" ref="X10">INDEX('KALENDER MINGGU'!$B$6:$B$21,U10)</f>
        <v>46226</v>
      </c>
      <c r="Y10" s="110">
        <f t="array" ref="Y10">INDEX('KALENDER MINGGU'!$C$6:$C$21,V10)</f>
        <v>46253</v>
      </c>
      <c r="AB10" s="109" t="str">
        <f>IF(AND($U10&lt;=1,$V10&gt;=1),"■","")</f>
        <v>■</v>
      </c>
      <c r="AC10" s="109" t="str">
        <f>IF(AND($U10&lt;=2,$V10&gt;=2),"■","")</f>
        <v>■</v>
      </c>
      <c r="AD10" s="109" t="str">
        <f>IF(AND($U10&lt;=3,$V10&gt;=3),"■","")</f>
        <v>■</v>
      </c>
      <c r="AE10" s="109" t="str">
        <f>IF(AND($U10&lt;=4,$V10&gt;=4),"■","")</f>
        <v>■</v>
      </c>
      <c r="AF10" s="109" t="str">
        <f>IF(AND($U10&lt;=5,$V10&gt;=5),"■","")</f>
        <v/>
      </c>
      <c r="AG10" s="109" t="str">
        <f>IF(AND($U10&lt;=6,$V10&gt;=6),"■","")</f>
        <v/>
      </c>
      <c r="AH10" s="109" t="str">
        <f>IF(AND($U10&lt;=7,$V10&gt;=7),"■","")</f>
        <v/>
      </c>
      <c r="AI10" s="109" t="str">
        <f>IF(AND($U10&lt;=8,$V10&gt;=8),"■","")</f>
        <v/>
      </c>
      <c r="AJ10" s="109" t="str">
        <f>IF(AND($U10&lt;=9,$V10&gt;=9),"■","")</f>
        <v/>
      </c>
      <c r="AK10" s="109" t="str">
        <f>IF(AND($U10&lt;=10,$V10&gt;=10),"■","")</f>
        <v/>
      </c>
      <c r="AL10" s="109" t="str">
        <f>IF(AND($U10&lt;=11,$V10&gt;=11),"■","")</f>
        <v/>
      </c>
      <c r="AM10" s="109" t="str">
        <f>IF(AND($U10&lt;=12,$V10&gt;=12),"■","")</f>
        <v/>
      </c>
      <c r="AN10" s="109" t="str">
        <f>IF(AND($U10&lt;=13,$V10&gt;=13),"■","")</f>
        <v/>
      </c>
      <c r="AO10" s="109" t="str">
        <f>IF(AND($U10&lt;=14,$V10&gt;=14),"■","")</f>
        <v/>
      </c>
      <c r="AP10" s="109" t="str">
        <f>IF(AND($U10&lt;=15,$V10&gt;=15),"■","")</f>
        <v/>
      </c>
      <c r="AQ10" s="109" t="str">
        <f>IF(AND($U10&lt;=16,$V10&gt;=16),"■","")</f>
        <v/>
      </c>
      <c r="AR10" t="s">
        <v>418</v>
      </c>
    </row>
    <row r="11" spans="1:44" ht="14.25" customHeight="1" x14ac:dyDescent="0.2">
      <c r="A11" s="22"/>
      <c r="B11" s="23">
        <v>3</v>
      </c>
      <c r="C11" s="24" t="s">
        <v>44</v>
      </c>
      <c r="D11" s="36"/>
      <c r="E11" s="36"/>
      <c r="F11" s="27"/>
      <c r="G11" s="28"/>
      <c r="H11" s="29">
        <f>E11*G11</f>
        <v>0</v>
      </c>
      <c r="I11" s="30">
        <v>3908731694</v>
      </c>
      <c r="J11" s="31">
        <f t="shared" si="0"/>
        <v>0</v>
      </c>
      <c r="K11" s="32">
        <v>3</v>
      </c>
      <c r="L11" s="33" t="s">
        <v>45</v>
      </c>
      <c r="M11" s="34"/>
      <c r="N11" s="34"/>
      <c r="O11" s="35" t="s">
        <v>42</v>
      </c>
      <c r="P11" s="22">
        <v>2000000</v>
      </c>
      <c r="Q11" s="22">
        <v>2000000</v>
      </c>
      <c r="R11" s="6"/>
      <c r="S11" s="6"/>
      <c r="T11" s="6"/>
      <c r="U11" s="108">
        <v>1</v>
      </c>
      <c r="V11" s="108">
        <v>4</v>
      </c>
      <c r="W11" s="109">
        <f t="shared" si="1"/>
        <v>4</v>
      </c>
      <c r="X11" s="110">
        <f t="array" ref="X11">INDEX('KALENDER MINGGU'!$B$6:$B$21,U11)</f>
        <v>46226</v>
      </c>
      <c r="Y11" s="110">
        <f t="array" ref="Y11">INDEX('KALENDER MINGGU'!$C$6:$C$21,V11)</f>
        <v>46253</v>
      </c>
      <c r="AB11" s="109" t="str">
        <f>IF(AND($U11&lt;=1,$V11&gt;=1),"■","")</f>
        <v>■</v>
      </c>
      <c r="AC11" s="109" t="str">
        <f>IF(AND($U11&lt;=2,$V11&gt;=2),"■","")</f>
        <v>■</v>
      </c>
      <c r="AD11" s="109" t="str">
        <f>IF(AND($U11&lt;=3,$V11&gt;=3),"■","")</f>
        <v>■</v>
      </c>
      <c r="AE11" s="109" t="str">
        <f>IF(AND($U11&lt;=4,$V11&gt;=4),"■","")</f>
        <v>■</v>
      </c>
      <c r="AF11" s="109" t="str">
        <f>IF(AND($U11&lt;=5,$V11&gt;=5),"■","")</f>
        <v/>
      </c>
      <c r="AG11" s="109" t="str">
        <f>IF(AND($U11&lt;=6,$V11&gt;=6),"■","")</f>
        <v/>
      </c>
      <c r="AH11" s="109" t="str">
        <f>IF(AND($U11&lt;=7,$V11&gt;=7),"■","")</f>
        <v/>
      </c>
      <c r="AI11" s="109" t="str">
        <f>IF(AND($U11&lt;=8,$V11&gt;=8),"■","")</f>
        <v/>
      </c>
      <c r="AJ11" s="109" t="str">
        <f>IF(AND($U11&lt;=9,$V11&gt;=9),"■","")</f>
        <v/>
      </c>
      <c r="AK11" s="109" t="str">
        <f>IF(AND($U11&lt;=10,$V11&gt;=10),"■","")</f>
        <v/>
      </c>
      <c r="AL11" s="109" t="str">
        <f>IF(AND($U11&lt;=11,$V11&gt;=11),"■","")</f>
        <v/>
      </c>
      <c r="AM11" s="109" t="str">
        <f>IF(AND($U11&lt;=12,$V11&gt;=12),"■","")</f>
        <v/>
      </c>
      <c r="AN11" s="109" t="str">
        <f>IF(AND($U11&lt;=13,$V11&gt;=13),"■","")</f>
        <v/>
      </c>
      <c r="AO11" s="109" t="str">
        <f>IF(AND($U11&lt;=14,$V11&gt;=14),"■","")</f>
        <v/>
      </c>
      <c r="AP11" s="109" t="str">
        <f>IF(AND($U11&lt;=15,$V11&gt;=15),"■","")</f>
        <v/>
      </c>
      <c r="AQ11" s="109" t="str">
        <f>IF(AND($U11&lt;=16,$V11&gt;=16),"■","")</f>
        <v/>
      </c>
      <c r="AR11" t="s">
        <v>419</v>
      </c>
    </row>
    <row r="12" spans="1:44" ht="14.25" customHeight="1" x14ac:dyDescent="0.2">
      <c r="A12" s="22"/>
      <c r="B12" s="23">
        <v>4</v>
      </c>
      <c r="C12" s="24" t="s">
        <v>46</v>
      </c>
      <c r="D12" s="36"/>
      <c r="E12" s="26">
        <v>1</v>
      </c>
      <c r="F12" s="27" t="s">
        <v>41</v>
      </c>
      <c r="G12" s="28">
        <v>5000000</v>
      </c>
      <c r="H12" s="29">
        <f>E12*G12</f>
        <v>5000000</v>
      </c>
      <c r="I12" s="30">
        <v>3908731694</v>
      </c>
      <c r="J12" s="31">
        <f t="shared" si="0"/>
        <v>0.12791873148200794</v>
      </c>
      <c r="K12" s="32">
        <v>4</v>
      </c>
      <c r="L12" s="33" t="s">
        <v>47</v>
      </c>
      <c r="M12" s="34"/>
      <c r="N12" s="34"/>
      <c r="O12" s="35" t="s">
        <v>42</v>
      </c>
      <c r="P12" s="22">
        <v>1100000</v>
      </c>
      <c r="Q12" s="22">
        <v>1100000</v>
      </c>
      <c r="R12" s="6"/>
      <c r="S12" s="6"/>
      <c r="T12" s="6"/>
      <c r="U12" s="108">
        <v>1</v>
      </c>
      <c r="V12" s="108">
        <v>4</v>
      </c>
      <c r="W12" s="109">
        <f t="shared" si="1"/>
        <v>4</v>
      </c>
      <c r="X12" s="110">
        <f t="array" ref="X12">INDEX('KALENDER MINGGU'!$B$6:$B$21,U12)</f>
        <v>46226</v>
      </c>
      <c r="Y12" s="110">
        <f t="array" ref="Y12">INDEX('KALENDER MINGGU'!$C$6:$C$21,V12)</f>
        <v>46253</v>
      </c>
      <c r="AB12" s="109" t="str">
        <f>IF(AND($U12&lt;=1,$V12&gt;=1),"■","")</f>
        <v>■</v>
      </c>
      <c r="AC12" s="109" t="str">
        <f>IF(AND($U12&lt;=2,$V12&gt;=2),"■","")</f>
        <v>■</v>
      </c>
      <c r="AD12" s="109" t="str">
        <f>IF(AND($U12&lt;=3,$V12&gt;=3),"■","")</f>
        <v>■</v>
      </c>
      <c r="AE12" s="109" t="str">
        <f>IF(AND($U12&lt;=4,$V12&gt;=4),"■","")</f>
        <v>■</v>
      </c>
      <c r="AF12" s="109" t="str">
        <f>IF(AND($U12&lt;=5,$V12&gt;=5),"■","")</f>
        <v/>
      </c>
      <c r="AG12" s="109" t="str">
        <f>IF(AND($U12&lt;=6,$V12&gt;=6),"■","")</f>
        <v/>
      </c>
      <c r="AH12" s="109" t="str">
        <f>IF(AND($U12&lt;=7,$V12&gt;=7),"■","")</f>
        <v/>
      </c>
      <c r="AI12" s="109" t="str">
        <f>IF(AND($U12&lt;=8,$V12&gt;=8),"■","")</f>
        <v/>
      </c>
      <c r="AJ12" s="109" t="str">
        <f>IF(AND($U12&lt;=9,$V12&gt;=9),"■","")</f>
        <v/>
      </c>
      <c r="AK12" s="109" t="str">
        <f>IF(AND($U12&lt;=10,$V12&gt;=10),"■","")</f>
        <v/>
      </c>
      <c r="AL12" s="109" t="str">
        <f>IF(AND($U12&lt;=11,$V12&gt;=11),"■","")</f>
        <v/>
      </c>
      <c r="AM12" s="109" t="str">
        <f>IF(AND($U12&lt;=12,$V12&gt;=12),"■","")</f>
        <v/>
      </c>
      <c r="AN12" s="109" t="str">
        <f>IF(AND($U12&lt;=13,$V12&gt;=13),"■","")</f>
        <v/>
      </c>
      <c r="AO12" s="109" t="str">
        <f>IF(AND($U12&lt;=14,$V12&gt;=14),"■","")</f>
        <v/>
      </c>
      <c r="AP12" s="109" t="str">
        <f>IF(AND($U12&lt;=15,$V12&gt;=15),"■","")</f>
        <v/>
      </c>
      <c r="AQ12" s="109" t="str">
        <f>IF(AND($U12&lt;=16,$V12&gt;=16),"■","")</f>
        <v/>
      </c>
      <c r="AR12" t="s">
        <v>420</v>
      </c>
    </row>
    <row r="13" spans="1:44" ht="14.25" customHeight="1" x14ac:dyDescent="0.2">
      <c r="A13" s="22"/>
      <c r="B13" s="23">
        <v>5</v>
      </c>
      <c r="C13" s="24" t="s">
        <v>45</v>
      </c>
      <c r="D13" s="25" t="s">
        <v>48</v>
      </c>
      <c r="E13" s="26">
        <v>1</v>
      </c>
      <c r="F13" s="27" t="s">
        <v>41</v>
      </c>
      <c r="G13" s="28">
        <v>15000000</v>
      </c>
      <c r="H13" s="29">
        <f>E13*G13</f>
        <v>15000000</v>
      </c>
      <c r="I13" s="30">
        <v>3908731694</v>
      </c>
      <c r="J13" s="31">
        <f t="shared" si="0"/>
        <v>0.38375619444602382</v>
      </c>
      <c r="K13" s="37"/>
      <c r="L13" s="22"/>
      <c r="M13" s="22"/>
      <c r="N13" s="22"/>
      <c r="O13" s="22"/>
      <c r="P13" s="22"/>
      <c r="Q13" s="22"/>
      <c r="R13" s="6"/>
      <c r="S13" s="6"/>
      <c r="T13" s="6"/>
      <c r="U13" s="108">
        <v>1</v>
      </c>
      <c r="V13" s="108">
        <v>6</v>
      </c>
      <c r="W13" s="109">
        <f t="shared" si="1"/>
        <v>6</v>
      </c>
      <c r="X13" s="110">
        <f t="array" ref="X13">INDEX('KALENDER MINGGU'!$B$6:$B$21,U13)</f>
        <v>46226</v>
      </c>
      <c r="Y13" s="110">
        <f t="array" ref="Y13">INDEX('KALENDER MINGGU'!$C$6:$C$21,V13)</f>
        <v>46267</v>
      </c>
      <c r="AB13" s="109" t="str">
        <f>IF(AND($U13&lt;=1,$V13&gt;=1),"■","")</f>
        <v>■</v>
      </c>
      <c r="AC13" s="109" t="str">
        <f>IF(AND($U13&lt;=2,$V13&gt;=2),"■","")</f>
        <v>■</v>
      </c>
      <c r="AD13" s="109" t="str">
        <f>IF(AND($U13&lt;=3,$V13&gt;=3),"■","")</f>
        <v>■</v>
      </c>
      <c r="AE13" s="109" t="str">
        <f>IF(AND($U13&lt;=4,$V13&gt;=4),"■","")</f>
        <v>■</v>
      </c>
      <c r="AF13" s="109" t="str">
        <f>IF(AND($U13&lt;=5,$V13&gt;=5),"■","")</f>
        <v>■</v>
      </c>
      <c r="AG13" s="109" t="str">
        <f>IF(AND($U13&lt;=6,$V13&gt;=6),"■","")</f>
        <v>■</v>
      </c>
      <c r="AH13" s="109" t="str">
        <f>IF(AND($U13&lt;=7,$V13&gt;=7),"■","")</f>
        <v/>
      </c>
      <c r="AI13" s="109" t="str">
        <f>IF(AND($U13&lt;=8,$V13&gt;=8),"■","")</f>
        <v/>
      </c>
      <c r="AJ13" s="109" t="str">
        <f>IF(AND($U13&lt;=9,$V13&gt;=9),"■","")</f>
        <v/>
      </c>
      <c r="AK13" s="109" t="str">
        <f>IF(AND($U13&lt;=10,$V13&gt;=10),"■","")</f>
        <v/>
      </c>
      <c r="AL13" s="109" t="str">
        <f>IF(AND($U13&lt;=11,$V13&gt;=11),"■","")</f>
        <v/>
      </c>
      <c r="AM13" s="109" t="str">
        <f>IF(AND($U13&lt;=12,$V13&gt;=12),"■","")</f>
        <v/>
      </c>
      <c r="AN13" s="109" t="str">
        <f>IF(AND($U13&lt;=13,$V13&gt;=13),"■","")</f>
        <v/>
      </c>
      <c r="AO13" s="109" t="str">
        <f>IF(AND($U13&lt;=14,$V13&gt;=14),"■","")</f>
        <v/>
      </c>
      <c r="AP13" s="109" t="str">
        <f>IF(AND($U13&lt;=15,$V13&gt;=15),"■","")</f>
        <v/>
      </c>
      <c r="AQ13" s="109" t="str">
        <f>IF(AND($U13&lt;=16,$V13&gt;=16),"■","")</f>
        <v/>
      </c>
      <c r="AR13" t="s">
        <v>421</v>
      </c>
    </row>
    <row r="14" spans="1:44" ht="14.25" customHeight="1" x14ac:dyDescent="0.25">
      <c r="A14" s="15"/>
      <c r="B14" s="38"/>
      <c r="C14" s="16"/>
      <c r="D14" s="39"/>
      <c r="E14" s="39"/>
      <c r="F14" s="40"/>
      <c r="G14" s="41"/>
      <c r="H14" s="42">
        <f>SUM(H8:H13)</f>
        <v>50000000</v>
      </c>
      <c r="I14" s="30">
        <v>3908731694</v>
      </c>
      <c r="J14" s="43">
        <f t="shared" si="0"/>
        <v>1.2791873148200794</v>
      </c>
      <c r="K14" s="19" t="s">
        <v>49</v>
      </c>
      <c r="L14" s="21" t="s">
        <v>50</v>
      </c>
      <c r="M14" s="21"/>
      <c r="N14" s="21"/>
      <c r="O14" s="21"/>
      <c r="P14" s="15"/>
      <c r="Q14" s="15"/>
      <c r="R14" s="6"/>
      <c r="S14" s="6"/>
      <c r="T14" s="6"/>
      <c r="U14" s="109">
        <f>MIN(U9:U13)</f>
        <v>1</v>
      </c>
      <c r="V14" s="109">
        <f>MAX(V9:V13)</f>
        <v>6</v>
      </c>
      <c r="W14" s="109">
        <f t="shared" si="1"/>
        <v>6</v>
      </c>
      <c r="X14" s="110">
        <f t="array" ref="X14">INDEX('KALENDER MINGGU'!$B$6:$B$21,U14)</f>
        <v>46226</v>
      </c>
      <c r="Y14" s="110">
        <f t="array" ref="Y14">INDEX('KALENDER MINGGU'!$C$6:$C$21,V14)</f>
        <v>46267</v>
      </c>
      <c r="Z14" s="111">
        <f>SUM(TS!M14:AB14)/TS!L13*100</f>
        <v>99.999999999999972</v>
      </c>
      <c r="AA14" s="109" t="str">
        <f>IF(Z14&gt;=99.9,"COMPLETED",IF(U14&gt;'RENCANA MINGGUAN'!$J$7,"NOT STARTED",IF(V14&lt;'RENCANA MINGGUAN'!$J$7,"CRITICAL",IF(Z14+1&lt;W14,"DELAYED","ON SCHEDULE"))))</f>
        <v>COMPLETED</v>
      </c>
      <c r="AB14" s="109" t="str">
        <f>IF(AND(U14&lt;=1,V14&gt;=1),"■","")</f>
        <v>■</v>
      </c>
      <c r="AC14" s="109" t="str">
        <f>IF(AND(U14&lt;=2,V14&gt;=2),"■","")</f>
        <v>■</v>
      </c>
      <c r="AD14" s="109" t="str">
        <f>IF(AND(U14&lt;=3,V14&gt;=3),"■","")</f>
        <v>■</v>
      </c>
      <c r="AE14" s="109" t="str">
        <f>IF(AND(U14&lt;=4,V14&gt;=4),"■","")</f>
        <v>■</v>
      </c>
      <c r="AF14" s="109" t="str">
        <f>IF(AND(U14&lt;=5,V14&gt;=5),"■","")</f>
        <v>■</v>
      </c>
      <c r="AG14" s="109" t="str">
        <f>IF(AND(U14&lt;=6,V14&gt;=6),"■","")</f>
        <v>■</v>
      </c>
      <c r="AH14" s="109" t="str">
        <f>IF(AND(U14&lt;=7,V14&gt;=7),"■","")</f>
        <v/>
      </c>
      <c r="AI14" s="109" t="str">
        <f>IF(AND(U14&lt;=8,V14&gt;=8),"■","")</f>
        <v/>
      </c>
      <c r="AJ14" s="109" t="str">
        <f>IF(AND(U14&lt;=9,V14&gt;=9),"■","")</f>
        <v/>
      </c>
      <c r="AK14" s="109" t="str">
        <f>IF(AND(U14&lt;=10,V14&gt;=10),"■","")</f>
        <v/>
      </c>
      <c r="AL14" s="109" t="str">
        <f>IF(AND(U14&lt;=11,V14&gt;=11),"■","")</f>
        <v/>
      </c>
      <c r="AM14" s="109" t="str">
        <f>IF(AND(U14&lt;=12,V14&gt;=12),"■","")</f>
        <v/>
      </c>
      <c r="AN14" s="109" t="str">
        <f>IF(AND(U14&lt;=13,V14&gt;=13),"■","")</f>
        <v/>
      </c>
      <c r="AO14" s="109" t="str">
        <f>IF(AND(U14&lt;=14,V14&gt;=14),"■","")</f>
        <v/>
      </c>
      <c r="AP14" s="109" t="str">
        <f>IF(AND(U14&lt;=15,V14&gt;=15),"■","")</f>
        <v/>
      </c>
      <c r="AQ14" s="109" t="str">
        <f>IF(AND(U14&lt;=16,V14&gt;=16),"■","")</f>
        <v/>
      </c>
    </row>
    <row r="15" spans="1:44" ht="15.75" customHeight="1" x14ac:dyDescent="0.25">
      <c r="A15" s="22"/>
      <c r="B15" s="16" t="s">
        <v>49</v>
      </c>
      <c r="C15" s="16" t="s">
        <v>422</v>
      </c>
      <c r="D15" s="25"/>
      <c r="E15" s="25"/>
      <c r="F15" s="27"/>
      <c r="G15" s="28"/>
      <c r="H15" s="29"/>
      <c r="I15" s="44"/>
      <c r="J15" s="44"/>
      <c r="K15" s="37"/>
      <c r="L15" s="22"/>
      <c r="M15" s="22"/>
      <c r="N15" s="22"/>
      <c r="O15" s="45"/>
      <c r="P15" s="22"/>
      <c r="Q15" s="22"/>
      <c r="R15" s="6"/>
      <c r="S15" s="6"/>
      <c r="T15" s="6"/>
    </row>
    <row r="16" spans="1:44" ht="14.25" customHeight="1" x14ac:dyDescent="0.2">
      <c r="A16" s="22"/>
      <c r="B16" s="23">
        <v>1</v>
      </c>
      <c r="C16" s="46" t="s">
        <v>52</v>
      </c>
      <c r="D16" s="25" t="s">
        <v>53</v>
      </c>
      <c r="E16" s="47">
        <v>4</v>
      </c>
      <c r="F16" s="27" t="s">
        <v>54</v>
      </c>
      <c r="G16" s="28">
        <v>650000</v>
      </c>
      <c r="H16" s="29">
        <f t="shared" ref="H16:H28" si="2">E16*G16</f>
        <v>2600000</v>
      </c>
      <c r="I16" s="30">
        <v>3908731694</v>
      </c>
      <c r="J16" s="31">
        <f t="shared" ref="J16:J29" si="3">H16/I16*100</f>
        <v>6.6517740370644132E-2</v>
      </c>
      <c r="K16" s="37"/>
      <c r="L16" s="22"/>
      <c r="M16" s="22"/>
      <c r="N16" s="22"/>
      <c r="O16" s="45"/>
      <c r="P16" s="22"/>
      <c r="Q16" s="22"/>
      <c r="R16" s="6"/>
      <c r="S16" s="6"/>
      <c r="T16" s="6"/>
      <c r="U16" s="108">
        <v>7</v>
      </c>
      <c r="V16" s="108">
        <v>9</v>
      </c>
      <c r="W16" s="109">
        <f t="shared" ref="W16:W29" si="4">MAX(1,V16-U16+1)</f>
        <v>3</v>
      </c>
      <c r="X16" s="110">
        <f t="array" ref="X16">INDEX('KALENDER MINGGU'!$B$6:$B$21,U16)</f>
        <v>46268</v>
      </c>
      <c r="Y16" s="110">
        <f t="array" ref="Y16">INDEX('KALENDER MINGGU'!$C$6:$C$21,V16)</f>
        <v>46288</v>
      </c>
      <c r="AB16" s="109" t="str">
        <f t="shared" ref="AB16:AB28" si="5">IF(AND($U16&lt;=1,$V16&gt;=1),"■","")</f>
        <v/>
      </c>
      <c r="AC16" s="109" t="str">
        <f t="shared" ref="AC16:AC28" si="6">IF(AND($U16&lt;=2,$V16&gt;=2),"■","")</f>
        <v/>
      </c>
      <c r="AD16" s="109" t="str">
        <f t="shared" ref="AD16:AD28" si="7">IF(AND($U16&lt;=3,$V16&gt;=3),"■","")</f>
        <v/>
      </c>
      <c r="AE16" s="109" t="str">
        <f t="shared" ref="AE16:AE28" si="8">IF(AND($U16&lt;=4,$V16&gt;=4),"■","")</f>
        <v/>
      </c>
      <c r="AF16" s="109" t="str">
        <f t="shared" ref="AF16:AF28" si="9">IF(AND($U16&lt;=5,$V16&gt;=5),"■","")</f>
        <v/>
      </c>
      <c r="AG16" s="109" t="str">
        <f t="shared" ref="AG16:AG28" si="10">IF(AND($U16&lt;=6,$V16&gt;=6),"■","")</f>
        <v/>
      </c>
      <c r="AH16" s="109" t="str">
        <f t="shared" ref="AH16:AH28" si="11">IF(AND($U16&lt;=7,$V16&gt;=7),"■","")</f>
        <v>■</v>
      </c>
      <c r="AI16" s="109" t="str">
        <f t="shared" ref="AI16:AI28" si="12">IF(AND($U16&lt;=8,$V16&gt;=8),"■","")</f>
        <v>■</v>
      </c>
      <c r="AJ16" s="109" t="str">
        <f t="shared" ref="AJ16:AJ28" si="13">IF(AND($U16&lt;=9,$V16&gt;=9),"■","")</f>
        <v>■</v>
      </c>
      <c r="AK16" s="109" t="str">
        <f t="shared" ref="AK16:AK28" si="14">IF(AND($U16&lt;=10,$V16&gt;=10),"■","")</f>
        <v/>
      </c>
      <c r="AL16" s="109" t="str">
        <f t="shared" ref="AL16:AL28" si="15">IF(AND($U16&lt;=11,$V16&gt;=11),"■","")</f>
        <v/>
      </c>
      <c r="AM16" s="109" t="str">
        <f t="shared" ref="AM16:AM28" si="16">IF(AND($U16&lt;=12,$V16&gt;=12),"■","")</f>
        <v/>
      </c>
      <c r="AN16" s="109" t="str">
        <f t="shared" ref="AN16:AN28" si="17">IF(AND($U16&lt;=13,$V16&gt;=13),"■","")</f>
        <v/>
      </c>
      <c r="AO16" s="109" t="str">
        <f t="shared" ref="AO16:AO28" si="18">IF(AND($U16&lt;=14,$V16&gt;=14),"■","")</f>
        <v/>
      </c>
      <c r="AP16" s="109" t="str">
        <f t="shared" ref="AP16:AP28" si="19">IF(AND($U16&lt;=15,$V16&gt;=15),"■","")</f>
        <v/>
      </c>
      <c r="AQ16" s="109" t="str">
        <f t="shared" ref="AQ16:AQ28" si="20">IF(AND($U16&lt;=16,$V16&gt;=16),"■","")</f>
        <v/>
      </c>
      <c r="AR16" t="s">
        <v>423</v>
      </c>
    </row>
    <row r="17" spans="1:44" ht="14.25" customHeight="1" x14ac:dyDescent="0.2">
      <c r="A17" s="22"/>
      <c r="B17" s="23">
        <v>2</v>
      </c>
      <c r="C17" s="46" t="s">
        <v>55</v>
      </c>
      <c r="D17" s="25" t="s">
        <v>56</v>
      </c>
      <c r="E17" s="47">
        <v>2875</v>
      </c>
      <c r="F17" s="27" t="s">
        <v>57</v>
      </c>
      <c r="G17" s="28">
        <v>120000</v>
      </c>
      <c r="H17" s="29">
        <f t="shared" si="2"/>
        <v>345000000</v>
      </c>
      <c r="I17" s="30">
        <v>3908731694</v>
      </c>
      <c r="J17" s="31">
        <f t="shared" si="3"/>
        <v>8.8263924722585472</v>
      </c>
      <c r="K17" s="37"/>
      <c r="L17" s="22"/>
      <c r="M17" s="22"/>
      <c r="N17" s="22"/>
      <c r="O17" s="45"/>
      <c r="P17" s="22"/>
      <c r="Q17" s="22"/>
      <c r="R17" s="6"/>
      <c r="S17" s="6"/>
      <c r="T17" s="6"/>
      <c r="U17" s="108">
        <v>6</v>
      </c>
      <c r="V17" s="108">
        <v>9</v>
      </c>
      <c r="W17" s="109">
        <f t="shared" si="4"/>
        <v>4</v>
      </c>
      <c r="X17" s="110">
        <f t="array" ref="X17">INDEX('KALENDER MINGGU'!$B$6:$B$21,U17)</f>
        <v>46261</v>
      </c>
      <c r="Y17" s="110">
        <f t="array" ref="Y17">INDEX('KALENDER MINGGU'!$C$6:$C$21,V17)</f>
        <v>46288</v>
      </c>
      <c r="AB17" s="109" t="str">
        <f t="shared" si="5"/>
        <v/>
      </c>
      <c r="AC17" s="109" t="str">
        <f t="shared" si="6"/>
        <v/>
      </c>
      <c r="AD17" s="109" t="str">
        <f t="shared" si="7"/>
        <v/>
      </c>
      <c r="AE17" s="109" t="str">
        <f t="shared" si="8"/>
        <v/>
      </c>
      <c r="AF17" s="109" t="str">
        <f t="shared" si="9"/>
        <v/>
      </c>
      <c r="AG17" s="109" t="str">
        <f t="shared" si="10"/>
        <v>■</v>
      </c>
      <c r="AH17" s="109" t="str">
        <f t="shared" si="11"/>
        <v>■</v>
      </c>
      <c r="AI17" s="109" t="str">
        <f t="shared" si="12"/>
        <v>■</v>
      </c>
      <c r="AJ17" s="109" t="str">
        <f t="shared" si="13"/>
        <v>■</v>
      </c>
      <c r="AK17" s="109" t="str">
        <f t="shared" si="14"/>
        <v/>
      </c>
      <c r="AL17" s="109" t="str">
        <f t="shared" si="15"/>
        <v/>
      </c>
      <c r="AM17" s="109" t="str">
        <f t="shared" si="16"/>
        <v/>
      </c>
      <c r="AN17" s="109" t="str">
        <f t="shared" si="17"/>
        <v/>
      </c>
      <c r="AO17" s="109" t="str">
        <f t="shared" si="18"/>
        <v/>
      </c>
      <c r="AP17" s="109" t="str">
        <f t="shared" si="19"/>
        <v/>
      </c>
      <c r="AQ17" s="109" t="str">
        <f t="shared" si="20"/>
        <v/>
      </c>
      <c r="AR17" t="s">
        <v>424</v>
      </c>
    </row>
    <row r="18" spans="1:44" ht="14.25" customHeight="1" x14ac:dyDescent="0.2">
      <c r="A18" s="22"/>
      <c r="B18" s="23">
        <v>3</v>
      </c>
      <c r="C18" s="46" t="s">
        <v>58</v>
      </c>
      <c r="D18" s="25" t="s">
        <v>59</v>
      </c>
      <c r="E18" s="47">
        <v>1230</v>
      </c>
      <c r="F18" s="27" t="s">
        <v>57</v>
      </c>
      <c r="G18" s="28">
        <v>57500</v>
      </c>
      <c r="H18" s="29">
        <f t="shared" si="2"/>
        <v>70725000</v>
      </c>
      <c r="I18" s="30">
        <v>3908731694</v>
      </c>
      <c r="J18" s="31">
        <f t="shared" si="3"/>
        <v>1.8094104568130023</v>
      </c>
      <c r="K18" s="37"/>
      <c r="L18" s="22"/>
      <c r="M18" s="22"/>
      <c r="N18" s="22"/>
      <c r="O18" s="45"/>
      <c r="P18" s="22"/>
      <c r="Q18" s="22"/>
      <c r="R18" s="6"/>
      <c r="S18" s="6"/>
      <c r="T18" s="6"/>
      <c r="U18" s="108">
        <v>7</v>
      </c>
      <c r="V18" s="108">
        <v>9</v>
      </c>
      <c r="W18" s="109">
        <f t="shared" si="4"/>
        <v>3</v>
      </c>
      <c r="X18" s="110">
        <f t="array" ref="X18">INDEX('KALENDER MINGGU'!$B$6:$B$21,U18)</f>
        <v>46268</v>
      </c>
      <c r="Y18" s="110">
        <f t="array" ref="Y18">INDEX('KALENDER MINGGU'!$C$6:$C$21,V18)</f>
        <v>46288</v>
      </c>
      <c r="AB18" s="109" t="str">
        <f t="shared" si="5"/>
        <v/>
      </c>
      <c r="AC18" s="109" t="str">
        <f t="shared" si="6"/>
        <v/>
      </c>
      <c r="AD18" s="109" t="str">
        <f t="shared" si="7"/>
        <v/>
      </c>
      <c r="AE18" s="109" t="str">
        <f t="shared" si="8"/>
        <v/>
      </c>
      <c r="AF18" s="109" t="str">
        <f t="shared" si="9"/>
        <v/>
      </c>
      <c r="AG18" s="109" t="str">
        <f t="shared" si="10"/>
        <v/>
      </c>
      <c r="AH18" s="109" t="str">
        <f t="shared" si="11"/>
        <v>■</v>
      </c>
      <c r="AI18" s="109" t="str">
        <f t="shared" si="12"/>
        <v>■</v>
      </c>
      <c r="AJ18" s="109" t="str">
        <f t="shared" si="13"/>
        <v>■</v>
      </c>
      <c r="AK18" s="109" t="str">
        <f t="shared" si="14"/>
        <v/>
      </c>
      <c r="AL18" s="109" t="str">
        <f t="shared" si="15"/>
        <v/>
      </c>
      <c r="AM18" s="109" t="str">
        <f t="shared" si="16"/>
        <v/>
      </c>
      <c r="AN18" s="109" t="str">
        <f t="shared" si="17"/>
        <v/>
      </c>
      <c r="AO18" s="109" t="str">
        <f t="shared" si="18"/>
        <v/>
      </c>
      <c r="AP18" s="109" t="str">
        <f t="shared" si="19"/>
        <v/>
      </c>
      <c r="AQ18" s="109" t="str">
        <f t="shared" si="20"/>
        <v/>
      </c>
      <c r="AR18" t="s">
        <v>425</v>
      </c>
    </row>
    <row r="19" spans="1:44" ht="14.25" customHeight="1" x14ac:dyDescent="0.2">
      <c r="A19" s="22"/>
      <c r="B19" s="23">
        <v>4</v>
      </c>
      <c r="C19" s="46" t="s">
        <v>60</v>
      </c>
      <c r="D19" s="25" t="s">
        <v>61</v>
      </c>
      <c r="E19" s="47">
        <v>18</v>
      </c>
      <c r="F19" s="27" t="s">
        <v>54</v>
      </c>
      <c r="G19" s="28">
        <v>2500000</v>
      </c>
      <c r="H19" s="29">
        <f t="shared" si="2"/>
        <v>45000000</v>
      </c>
      <c r="I19" s="30">
        <v>3908731694</v>
      </c>
      <c r="J19" s="31">
        <f t="shared" si="3"/>
        <v>1.1512685833380714</v>
      </c>
      <c r="K19" s="37"/>
      <c r="L19" s="22"/>
      <c r="M19" s="22"/>
      <c r="N19" s="22"/>
      <c r="O19" s="45"/>
      <c r="P19" s="22"/>
      <c r="Q19" s="22"/>
      <c r="R19" s="6"/>
      <c r="S19" s="6"/>
      <c r="T19" s="6"/>
      <c r="U19" s="108">
        <v>7</v>
      </c>
      <c r="V19" s="108">
        <v>9</v>
      </c>
      <c r="W19" s="109">
        <f t="shared" si="4"/>
        <v>3</v>
      </c>
      <c r="X19" s="110">
        <f t="array" ref="X19">INDEX('KALENDER MINGGU'!$B$6:$B$21,U19)</f>
        <v>46268</v>
      </c>
      <c r="Y19" s="110">
        <f t="array" ref="Y19">INDEX('KALENDER MINGGU'!$C$6:$C$21,V19)</f>
        <v>46288</v>
      </c>
      <c r="AB19" s="109" t="str">
        <f t="shared" si="5"/>
        <v/>
      </c>
      <c r="AC19" s="109" t="str">
        <f t="shared" si="6"/>
        <v/>
      </c>
      <c r="AD19" s="109" t="str">
        <f t="shared" si="7"/>
        <v/>
      </c>
      <c r="AE19" s="109" t="str">
        <f t="shared" si="8"/>
        <v/>
      </c>
      <c r="AF19" s="109" t="str">
        <f t="shared" si="9"/>
        <v/>
      </c>
      <c r="AG19" s="109" t="str">
        <f t="shared" si="10"/>
        <v/>
      </c>
      <c r="AH19" s="109" t="str">
        <f t="shared" si="11"/>
        <v>■</v>
      </c>
      <c r="AI19" s="109" t="str">
        <f t="shared" si="12"/>
        <v>■</v>
      </c>
      <c r="AJ19" s="109" t="str">
        <f t="shared" si="13"/>
        <v>■</v>
      </c>
      <c r="AK19" s="109" t="str">
        <f t="shared" si="14"/>
        <v/>
      </c>
      <c r="AL19" s="109" t="str">
        <f t="shared" si="15"/>
        <v/>
      </c>
      <c r="AM19" s="109" t="str">
        <f t="shared" si="16"/>
        <v/>
      </c>
      <c r="AN19" s="109" t="str">
        <f t="shared" si="17"/>
        <v/>
      </c>
      <c r="AO19" s="109" t="str">
        <f t="shared" si="18"/>
        <v/>
      </c>
      <c r="AP19" s="109" t="str">
        <f t="shared" si="19"/>
        <v/>
      </c>
      <c r="AQ19" s="109" t="str">
        <f t="shared" si="20"/>
        <v/>
      </c>
      <c r="AR19" t="s">
        <v>426</v>
      </c>
    </row>
    <row r="20" spans="1:44" ht="14.25" customHeight="1" x14ac:dyDescent="0.2">
      <c r="A20" s="22"/>
      <c r="B20" s="23">
        <v>5</v>
      </c>
      <c r="C20" s="46" t="s">
        <v>62</v>
      </c>
      <c r="D20" s="25" t="s">
        <v>63</v>
      </c>
      <c r="E20" s="47">
        <v>196</v>
      </c>
      <c r="F20" s="27" t="s">
        <v>57</v>
      </c>
      <c r="G20" s="28">
        <v>25000</v>
      </c>
      <c r="H20" s="29">
        <f t="shared" si="2"/>
        <v>4900000</v>
      </c>
      <c r="I20" s="30">
        <v>3908731694</v>
      </c>
      <c r="J20" s="31">
        <f t="shared" si="3"/>
        <v>0.12536035685236779</v>
      </c>
      <c r="K20" s="37"/>
      <c r="L20" s="22"/>
      <c r="M20" s="22"/>
      <c r="N20" s="22"/>
      <c r="O20" s="45"/>
      <c r="P20" s="22"/>
      <c r="Q20" s="22"/>
      <c r="R20" s="6"/>
      <c r="S20" s="6"/>
      <c r="T20" s="6"/>
      <c r="U20" s="108">
        <v>7</v>
      </c>
      <c r="V20" s="108">
        <v>9</v>
      </c>
      <c r="W20" s="109">
        <f t="shared" si="4"/>
        <v>3</v>
      </c>
      <c r="X20" s="110">
        <f t="array" ref="X20">INDEX('KALENDER MINGGU'!$B$6:$B$21,U20)</f>
        <v>46268</v>
      </c>
      <c r="Y20" s="110">
        <f t="array" ref="Y20">INDEX('KALENDER MINGGU'!$C$6:$C$21,V20)</f>
        <v>46288</v>
      </c>
      <c r="AB20" s="109" t="str">
        <f t="shared" si="5"/>
        <v/>
      </c>
      <c r="AC20" s="109" t="str">
        <f t="shared" si="6"/>
        <v/>
      </c>
      <c r="AD20" s="109" t="str">
        <f t="shared" si="7"/>
        <v/>
      </c>
      <c r="AE20" s="109" t="str">
        <f t="shared" si="8"/>
        <v/>
      </c>
      <c r="AF20" s="109" t="str">
        <f t="shared" si="9"/>
        <v/>
      </c>
      <c r="AG20" s="109" t="str">
        <f t="shared" si="10"/>
        <v/>
      </c>
      <c r="AH20" s="109" t="str">
        <f t="shared" si="11"/>
        <v>■</v>
      </c>
      <c r="AI20" s="109" t="str">
        <f t="shared" si="12"/>
        <v>■</v>
      </c>
      <c r="AJ20" s="109" t="str">
        <f t="shared" si="13"/>
        <v>■</v>
      </c>
      <c r="AK20" s="109" t="str">
        <f t="shared" si="14"/>
        <v/>
      </c>
      <c r="AL20" s="109" t="str">
        <f t="shared" si="15"/>
        <v/>
      </c>
      <c r="AM20" s="109" t="str">
        <f t="shared" si="16"/>
        <v/>
      </c>
      <c r="AN20" s="109" t="str">
        <f t="shared" si="17"/>
        <v/>
      </c>
      <c r="AO20" s="109" t="str">
        <f t="shared" si="18"/>
        <v/>
      </c>
      <c r="AP20" s="109" t="str">
        <f t="shared" si="19"/>
        <v/>
      </c>
      <c r="AQ20" s="109" t="str">
        <f t="shared" si="20"/>
        <v/>
      </c>
      <c r="AR20" t="s">
        <v>427</v>
      </c>
    </row>
    <row r="21" spans="1:44" ht="14.25" customHeight="1" x14ac:dyDescent="0.2">
      <c r="A21" s="22"/>
      <c r="B21" s="23">
        <v>6</v>
      </c>
      <c r="C21" s="46" t="s">
        <v>64</v>
      </c>
      <c r="D21" s="25" t="s">
        <v>65</v>
      </c>
      <c r="E21" s="47">
        <v>196</v>
      </c>
      <c r="F21" s="27" t="s">
        <v>57</v>
      </c>
      <c r="G21" s="28">
        <v>143000</v>
      </c>
      <c r="H21" s="29">
        <f t="shared" si="2"/>
        <v>28028000</v>
      </c>
      <c r="I21" s="30">
        <v>3908731694</v>
      </c>
      <c r="J21" s="31">
        <f t="shared" si="3"/>
        <v>0.71706124119554371</v>
      </c>
      <c r="K21" s="37"/>
      <c r="L21" s="22"/>
      <c r="M21" s="22"/>
      <c r="N21" s="22"/>
      <c r="O21" s="45"/>
      <c r="P21" s="22"/>
      <c r="Q21" s="22"/>
      <c r="R21" s="6"/>
      <c r="S21" s="6"/>
      <c r="T21" s="6"/>
      <c r="U21" s="108">
        <v>7</v>
      </c>
      <c r="V21" s="108">
        <v>9</v>
      </c>
      <c r="W21" s="109">
        <f t="shared" si="4"/>
        <v>3</v>
      </c>
      <c r="X21" s="110">
        <f t="array" ref="X21">INDEX('KALENDER MINGGU'!$B$6:$B$21,U21)</f>
        <v>46268</v>
      </c>
      <c r="Y21" s="110">
        <f t="array" ref="Y21">INDEX('KALENDER MINGGU'!$C$6:$C$21,V21)</f>
        <v>46288</v>
      </c>
      <c r="AB21" s="109" t="str">
        <f t="shared" si="5"/>
        <v/>
      </c>
      <c r="AC21" s="109" t="str">
        <f t="shared" si="6"/>
        <v/>
      </c>
      <c r="AD21" s="109" t="str">
        <f t="shared" si="7"/>
        <v/>
      </c>
      <c r="AE21" s="109" t="str">
        <f t="shared" si="8"/>
        <v/>
      </c>
      <c r="AF21" s="109" t="str">
        <f t="shared" si="9"/>
        <v/>
      </c>
      <c r="AG21" s="109" t="str">
        <f t="shared" si="10"/>
        <v/>
      </c>
      <c r="AH21" s="109" t="str">
        <f t="shared" si="11"/>
        <v>■</v>
      </c>
      <c r="AI21" s="109" t="str">
        <f t="shared" si="12"/>
        <v>■</v>
      </c>
      <c r="AJ21" s="109" t="str">
        <f t="shared" si="13"/>
        <v>■</v>
      </c>
      <c r="AK21" s="109" t="str">
        <f t="shared" si="14"/>
        <v/>
      </c>
      <c r="AL21" s="109" t="str">
        <f t="shared" si="15"/>
        <v/>
      </c>
      <c r="AM21" s="109" t="str">
        <f t="shared" si="16"/>
        <v/>
      </c>
      <c r="AN21" s="109" t="str">
        <f t="shared" si="17"/>
        <v/>
      </c>
      <c r="AO21" s="109" t="str">
        <f t="shared" si="18"/>
        <v/>
      </c>
      <c r="AP21" s="109" t="str">
        <f t="shared" si="19"/>
        <v/>
      </c>
      <c r="AQ21" s="109" t="str">
        <f t="shared" si="20"/>
        <v/>
      </c>
      <c r="AR21" t="s">
        <v>428</v>
      </c>
    </row>
    <row r="22" spans="1:44" ht="14.25" customHeight="1" x14ac:dyDescent="0.2">
      <c r="A22" s="22"/>
      <c r="B22" s="23">
        <v>7</v>
      </c>
      <c r="C22" s="46" t="s">
        <v>66</v>
      </c>
      <c r="D22" s="25" t="s">
        <v>67</v>
      </c>
      <c r="E22" s="47">
        <v>290</v>
      </c>
      <c r="F22" s="27" t="s">
        <v>57</v>
      </c>
      <c r="G22" s="28">
        <v>85000</v>
      </c>
      <c r="H22" s="29">
        <f t="shared" si="2"/>
        <v>24650000</v>
      </c>
      <c r="I22" s="30">
        <v>3908731694</v>
      </c>
      <c r="J22" s="31">
        <f t="shared" si="3"/>
        <v>0.63063934620629902</v>
      </c>
      <c r="K22" s="37"/>
      <c r="L22" s="22"/>
      <c r="M22" s="22"/>
      <c r="N22" s="22"/>
      <c r="O22" s="45"/>
      <c r="P22" s="22"/>
      <c r="Q22" s="22"/>
      <c r="R22" s="6"/>
      <c r="S22" s="6"/>
      <c r="T22" s="6"/>
      <c r="U22" s="108">
        <v>7</v>
      </c>
      <c r="V22" s="108">
        <v>9</v>
      </c>
      <c r="W22" s="109">
        <f t="shared" si="4"/>
        <v>3</v>
      </c>
      <c r="X22" s="110">
        <f t="array" ref="X22">INDEX('KALENDER MINGGU'!$B$6:$B$21,U22)</f>
        <v>46268</v>
      </c>
      <c r="Y22" s="110">
        <f t="array" ref="Y22">INDEX('KALENDER MINGGU'!$C$6:$C$21,V22)</f>
        <v>46288</v>
      </c>
      <c r="AB22" s="109" t="str">
        <f t="shared" si="5"/>
        <v/>
      </c>
      <c r="AC22" s="109" t="str">
        <f t="shared" si="6"/>
        <v/>
      </c>
      <c r="AD22" s="109" t="str">
        <f t="shared" si="7"/>
        <v/>
      </c>
      <c r="AE22" s="109" t="str">
        <f t="shared" si="8"/>
        <v/>
      </c>
      <c r="AF22" s="109" t="str">
        <f t="shared" si="9"/>
        <v/>
      </c>
      <c r="AG22" s="109" t="str">
        <f t="shared" si="10"/>
        <v/>
      </c>
      <c r="AH22" s="109" t="str">
        <f t="shared" si="11"/>
        <v>■</v>
      </c>
      <c r="AI22" s="109" t="str">
        <f t="shared" si="12"/>
        <v>■</v>
      </c>
      <c r="AJ22" s="109" t="str">
        <f t="shared" si="13"/>
        <v>■</v>
      </c>
      <c r="AK22" s="109" t="str">
        <f t="shared" si="14"/>
        <v/>
      </c>
      <c r="AL22" s="109" t="str">
        <f t="shared" si="15"/>
        <v/>
      </c>
      <c r="AM22" s="109" t="str">
        <f t="shared" si="16"/>
        <v/>
      </c>
      <c r="AN22" s="109" t="str">
        <f t="shared" si="17"/>
        <v/>
      </c>
      <c r="AO22" s="109" t="str">
        <f t="shared" si="18"/>
        <v/>
      </c>
      <c r="AP22" s="109" t="str">
        <f t="shared" si="19"/>
        <v/>
      </c>
      <c r="AQ22" s="109" t="str">
        <f t="shared" si="20"/>
        <v/>
      </c>
      <c r="AR22" t="s">
        <v>429</v>
      </c>
    </row>
    <row r="23" spans="1:44" ht="14.25" customHeight="1" x14ac:dyDescent="0.2">
      <c r="A23" s="22"/>
      <c r="B23" s="23">
        <v>8</v>
      </c>
      <c r="C23" s="46" t="s">
        <v>68</v>
      </c>
      <c r="D23" s="25" t="s">
        <v>69</v>
      </c>
      <c r="E23" s="47">
        <v>45</v>
      </c>
      <c r="F23" s="27" t="s">
        <v>70</v>
      </c>
      <c r="G23" s="28">
        <v>344500</v>
      </c>
      <c r="H23" s="29">
        <f t="shared" si="2"/>
        <v>15502500</v>
      </c>
      <c r="I23" s="30">
        <v>3908731694</v>
      </c>
      <c r="J23" s="31">
        <f t="shared" si="3"/>
        <v>0.39661202695996561</v>
      </c>
      <c r="K23" s="37"/>
      <c r="L23" s="22"/>
      <c r="M23" s="22"/>
      <c r="N23" s="22"/>
      <c r="O23" s="45"/>
      <c r="P23" s="22"/>
      <c r="Q23" s="22"/>
      <c r="R23" s="6"/>
      <c r="S23" s="6"/>
      <c r="T23" s="6"/>
      <c r="U23" s="108">
        <v>8</v>
      </c>
      <c r="V23" s="108">
        <v>9</v>
      </c>
      <c r="W23" s="109">
        <f t="shared" si="4"/>
        <v>2</v>
      </c>
      <c r="X23" s="110">
        <f t="array" ref="X23">INDEX('KALENDER MINGGU'!$B$6:$B$21,U23)</f>
        <v>46275</v>
      </c>
      <c r="Y23" s="110">
        <f t="array" ref="Y23">INDEX('KALENDER MINGGU'!$C$6:$C$21,V23)</f>
        <v>46288</v>
      </c>
      <c r="AB23" s="109" t="str">
        <f t="shared" si="5"/>
        <v/>
      </c>
      <c r="AC23" s="109" t="str">
        <f t="shared" si="6"/>
        <v/>
      </c>
      <c r="AD23" s="109" t="str">
        <f t="shared" si="7"/>
        <v/>
      </c>
      <c r="AE23" s="109" t="str">
        <f t="shared" si="8"/>
        <v/>
      </c>
      <c r="AF23" s="109" t="str">
        <f t="shared" si="9"/>
        <v/>
      </c>
      <c r="AG23" s="109" t="str">
        <f t="shared" si="10"/>
        <v/>
      </c>
      <c r="AH23" s="109" t="str">
        <f t="shared" si="11"/>
        <v/>
      </c>
      <c r="AI23" s="109" t="str">
        <f t="shared" si="12"/>
        <v>■</v>
      </c>
      <c r="AJ23" s="109" t="str">
        <f t="shared" si="13"/>
        <v>■</v>
      </c>
      <c r="AK23" s="109" t="str">
        <f t="shared" si="14"/>
        <v/>
      </c>
      <c r="AL23" s="109" t="str">
        <f t="shared" si="15"/>
        <v/>
      </c>
      <c r="AM23" s="109" t="str">
        <f t="shared" si="16"/>
        <v/>
      </c>
      <c r="AN23" s="109" t="str">
        <f t="shared" si="17"/>
        <v/>
      </c>
      <c r="AO23" s="109" t="str">
        <f t="shared" si="18"/>
        <v/>
      </c>
      <c r="AP23" s="109" t="str">
        <f t="shared" si="19"/>
        <v/>
      </c>
      <c r="AQ23" s="109" t="str">
        <f t="shared" si="20"/>
        <v/>
      </c>
      <c r="AR23" t="s">
        <v>430</v>
      </c>
    </row>
    <row r="24" spans="1:44" ht="14.25" customHeight="1" x14ac:dyDescent="0.2">
      <c r="A24" s="22"/>
      <c r="B24" s="23">
        <v>9</v>
      </c>
      <c r="C24" s="46" t="s">
        <v>71</v>
      </c>
      <c r="D24" s="25" t="s">
        <v>59</v>
      </c>
      <c r="E24" s="47">
        <v>37</v>
      </c>
      <c r="F24" s="27" t="s">
        <v>70</v>
      </c>
      <c r="G24" s="28">
        <v>57500</v>
      </c>
      <c r="H24" s="29">
        <f t="shared" si="2"/>
        <v>2127500</v>
      </c>
      <c r="I24" s="30">
        <v>3908731694</v>
      </c>
      <c r="J24" s="31">
        <f t="shared" si="3"/>
        <v>5.4429420245594377E-2</v>
      </c>
      <c r="K24" s="37"/>
      <c r="L24" s="22"/>
      <c r="M24" s="22"/>
      <c r="N24" s="22"/>
      <c r="O24" s="45"/>
      <c r="P24" s="22"/>
      <c r="Q24" s="22"/>
      <c r="R24" s="6"/>
      <c r="S24" s="6"/>
      <c r="T24" s="6"/>
      <c r="U24" s="108">
        <v>8</v>
      </c>
      <c r="V24" s="108">
        <v>9</v>
      </c>
      <c r="W24" s="109">
        <f t="shared" si="4"/>
        <v>2</v>
      </c>
      <c r="X24" s="110">
        <f t="array" ref="X24">INDEX('KALENDER MINGGU'!$B$6:$B$21,U24)</f>
        <v>46275</v>
      </c>
      <c r="Y24" s="110">
        <f t="array" ref="Y24">INDEX('KALENDER MINGGU'!$C$6:$C$21,V24)</f>
        <v>46288</v>
      </c>
      <c r="AB24" s="109" t="str">
        <f t="shared" si="5"/>
        <v/>
      </c>
      <c r="AC24" s="109" t="str">
        <f t="shared" si="6"/>
        <v/>
      </c>
      <c r="AD24" s="109" t="str">
        <f t="shared" si="7"/>
        <v/>
      </c>
      <c r="AE24" s="109" t="str">
        <f t="shared" si="8"/>
        <v/>
      </c>
      <c r="AF24" s="109" t="str">
        <f t="shared" si="9"/>
        <v/>
      </c>
      <c r="AG24" s="109" t="str">
        <f t="shared" si="10"/>
        <v/>
      </c>
      <c r="AH24" s="109" t="str">
        <f t="shared" si="11"/>
        <v/>
      </c>
      <c r="AI24" s="109" t="str">
        <f t="shared" si="12"/>
        <v>■</v>
      </c>
      <c r="AJ24" s="109" t="str">
        <f t="shared" si="13"/>
        <v>■</v>
      </c>
      <c r="AK24" s="109" t="str">
        <f t="shared" si="14"/>
        <v/>
      </c>
      <c r="AL24" s="109" t="str">
        <f t="shared" si="15"/>
        <v/>
      </c>
      <c r="AM24" s="109" t="str">
        <f t="shared" si="16"/>
        <v/>
      </c>
      <c r="AN24" s="109" t="str">
        <f t="shared" si="17"/>
        <v/>
      </c>
      <c r="AO24" s="109" t="str">
        <f t="shared" si="18"/>
        <v/>
      </c>
      <c r="AP24" s="109" t="str">
        <f t="shared" si="19"/>
        <v/>
      </c>
      <c r="AQ24" s="109" t="str">
        <f t="shared" si="20"/>
        <v/>
      </c>
      <c r="AR24" t="s">
        <v>431</v>
      </c>
    </row>
    <row r="25" spans="1:44" ht="14.25" customHeight="1" x14ac:dyDescent="0.2">
      <c r="A25" s="22"/>
      <c r="B25" s="23">
        <v>10</v>
      </c>
      <c r="C25" s="46" t="s">
        <v>72</v>
      </c>
      <c r="D25" s="25"/>
      <c r="E25" s="48">
        <v>1</v>
      </c>
      <c r="F25" s="27" t="s">
        <v>73</v>
      </c>
      <c r="G25" s="28">
        <v>5200000</v>
      </c>
      <c r="H25" s="29">
        <f t="shared" si="2"/>
        <v>5200000</v>
      </c>
      <c r="I25" s="30">
        <v>3908731694</v>
      </c>
      <c r="J25" s="31">
        <f t="shared" si="3"/>
        <v>0.13303548074128826</v>
      </c>
      <c r="K25" s="37"/>
      <c r="L25" s="22"/>
      <c r="M25" s="22"/>
      <c r="N25" s="22"/>
      <c r="O25" s="45"/>
      <c r="P25" s="22"/>
      <c r="Q25" s="22"/>
      <c r="R25" s="6"/>
      <c r="S25" s="6"/>
      <c r="T25" s="6"/>
      <c r="U25" s="108">
        <v>7</v>
      </c>
      <c r="V25" s="108">
        <v>9</v>
      </c>
      <c r="W25" s="109">
        <f t="shared" si="4"/>
        <v>3</v>
      </c>
      <c r="X25" s="110">
        <f t="array" ref="X25">INDEX('KALENDER MINGGU'!$B$6:$B$21,U25)</f>
        <v>46268</v>
      </c>
      <c r="Y25" s="110">
        <f t="array" ref="Y25">INDEX('KALENDER MINGGU'!$C$6:$C$21,V25)</f>
        <v>46288</v>
      </c>
      <c r="AB25" s="109" t="str">
        <f t="shared" si="5"/>
        <v/>
      </c>
      <c r="AC25" s="109" t="str">
        <f t="shared" si="6"/>
        <v/>
      </c>
      <c r="AD25" s="109" t="str">
        <f t="shared" si="7"/>
        <v/>
      </c>
      <c r="AE25" s="109" t="str">
        <f t="shared" si="8"/>
        <v/>
      </c>
      <c r="AF25" s="109" t="str">
        <f t="shared" si="9"/>
        <v/>
      </c>
      <c r="AG25" s="109" t="str">
        <f t="shared" si="10"/>
        <v/>
      </c>
      <c r="AH25" s="109" t="str">
        <f t="shared" si="11"/>
        <v>■</v>
      </c>
      <c r="AI25" s="109" t="str">
        <f t="shared" si="12"/>
        <v>■</v>
      </c>
      <c r="AJ25" s="109" t="str">
        <f t="shared" si="13"/>
        <v>■</v>
      </c>
      <c r="AK25" s="109" t="str">
        <f t="shared" si="14"/>
        <v/>
      </c>
      <c r="AL25" s="109" t="str">
        <f t="shared" si="15"/>
        <v/>
      </c>
      <c r="AM25" s="109" t="str">
        <f t="shared" si="16"/>
        <v/>
      </c>
      <c r="AN25" s="109" t="str">
        <f t="shared" si="17"/>
        <v/>
      </c>
      <c r="AO25" s="109" t="str">
        <f t="shared" si="18"/>
        <v/>
      </c>
      <c r="AP25" s="109" t="str">
        <f t="shared" si="19"/>
        <v/>
      </c>
      <c r="AQ25" s="109" t="str">
        <f t="shared" si="20"/>
        <v/>
      </c>
      <c r="AR25" t="s">
        <v>432</v>
      </c>
    </row>
    <row r="26" spans="1:44" ht="14.25" customHeight="1" x14ac:dyDescent="0.2">
      <c r="A26" s="22"/>
      <c r="B26" s="23">
        <v>11</v>
      </c>
      <c r="C26" s="46" t="s">
        <v>74</v>
      </c>
      <c r="D26" s="25" t="s">
        <v>75</v>
      </c>
      <c r="E26" s="48">
        <v>60</v>
      </c>
      <c r="F26" s="27" t="s">
        <v>57</v>
      </c>
      <c r="G26" s="28">
        <v>1100000</v>
      </c>
      <c r="H26" s="29">
        <f t="shared" si="2"/>
        <v>66000000</v>
      </c>
      <c r="I26" s="30">
        <v>3908731694</v>
      </c>
      <c r="J26" s="31">
        <f t="shared" si="3"/>
        <v>1.6885272555625046</v>
      </c>
      <c r="K26" s="37"/>
      <c r="L26" s="22"/>
      <c r="M26" s="22"/>
      <c r="N26" s="22"/>
      <c r="O26" s="45"/>
      <c r="P26" s="22"/>
      <c r="Q26" s="22"/>
      <c r="R26" s="6"/>
      <c r="S26" s="6"/>
      <c r="T26" s="6"/>
      <c r="U26" s="108">
        <v>9</v>
      </c>
      <c r="V26" s="108">
        <v>11</v>
      </c>
      <c r="W26" s="109">
        <f t="shared" si="4"/>
        <v>3</v>
      </c>
      <c r="X26" s="110">
        <f t="array" ref="X26">INDEX('KALENDER MINGGU'!$B$6:$B$21,U26)</f>
        <v>46282</v>
      </c>
      <c r="Y26" s="110">
        <f t="array" ref="Y26">INDEX('KALENDER MINGGU'!$C$6:$C$21,V26)</f>
        <v>46302</v>
      </c>
      <c r="AB26" s="109" t="str">
        <f t="shared" si="5"/>
        <v/>
      </c>
      <c r="AC26" s="109" t="str">
        <f t="shared" si="6"/>
        <v/>
      </c>
      <c r="AD26" s="109" t="str">
        <f t="shared" si="7"/>
        <v/>
      </c>
      <c r="AE26" s="109" t="str">
        <f t="shared" si="8"/>
        <v/>
      </c>
      <c r="AF26" s="109" t="str">
        <f t="shared" si="9"/>
        <v/>
      </c>
      <c r="AG26" s="109" t="str">
        <f t="shared" si="10"/>
        <v/>
      </c>
      <c r="AH26" s="109" t="str">
        <f t="shared" si="11"/>
        <v/>
      </c>
      <c r="AI26" s="109" t="str">
        <f t="shared" si="12"/>
        <v/>
      </c>
      <c r="AJ26" s="109" t="str">
        <f t="shared" si="13"/>
        <v>■</v>
      </c>
      <c r="AK26" s="109" t="str">
        <f t="shared" si="14"/>
        <v>■</v>
      </c>
      <c r="AL26" s="109" t="str">
        <f t="shared" si="15"/>
        <v>■</v>
      </c>
      <c r="AM26" s="109" t="str">
        <f t="shared" si="16"/>
        <v/>
      </c>
      <c r="AN26" s="109" t="str">
        <f t="shared" si="17"/>
        <v/>
      </c>
      <c r="AO26" s="109" t="str">
        <f t="shared" si="18"/>
        <v/>
      </c>
      <c r="AP26" s="109" t="str">
        <f t="shared" si="19"/>
        <v/>
      </c>
      <c r="AQ26" s="109" t="str">
        <f t="shared" si="20"/>
        <v/>
      </c>
      <c r="AR26" t="s">
        <v>433</v>
      </c>
    </row>
    <row r="27" spans="1:44" ht="14.25" customHeight="1" x14ac:dyDescent="0.2">
      <c r="A27" s="22"/>
      <c r="B27" s="23">
        <v>12</v>
      </c>
      <c r="C27" s="46" t="s">
        <v>76</v>
      </c>
      <c r="D27" s="25" t="s">
        <v>77</v>
      </c>
      <c r="E27" s="48">
        <v>1</v>
      </c>
      <c r="F27" s="27" t="s">
        <v>73</v>
      </c>
      <c r="G27" s="28">
        <v>2500000</v>
      </c>
      <c r="H27" s="29">
        <f t="shared" si="2"/>
        <v>2500000</v>
      </c>
      <c r="I27" s="30">
        <v>3908731694</v>
      </c>
      <c r="J27" s="31">
        <f t="shared" si="3"/>
        <v>6.3959365741003971E-2</v>
      </c>
      <c r="K27" s="37"/>
      <c r="L27" s="22"/>
      <c r="M27" s="22"/>
      <c r="N27" s="22"/>
      <c r="O27" s="45"/>
      <c r="P27" s="22"/>
      <c r="Q27" s="22"/>
      <c r="R27" s="6"/>
      <c r="S27" s="6"/>
      <c r="T27" s="6"/>
      <c r="U27" s="108">
        <v>8</v>
      </c>
      <c r="V27" s="108">
        <v>9</v>
      </c>
      <c r="W27" s="109">
        <f t="shared" si="4"/>
        <v>2</v>
      </c>
      <c r="X27" s="110">
        <f t="array" ref="X27">INDEX('KALENDER MINGGU'!$B$6:$B$21,U27)</f>
        <v>46275</v>
      </c>
      <c r="Y27" s="110">
        <f t="array" ref="Y27">INDEX('KALENDER MINGGU'!$C$6:$C$21,V27)</f>
        <v>46288</v>
      </c>
      <c r="AB27" s="109" t="str">
        <f t="shared" si="5"/>
        <v/>
      </c>
      <c r="AC27" s="109" t="str">
        <f t="shared" si="6"/>
        <v/>
      </c>
      <c r="AD27" s="109" t="str">
        <f t="shared" si="7"/>
        <v/>
      </c>
      <c r="AE27" s="109" t="str">
        <f t="shared" si="8"/>
        <v/>
      </c>
      <c r="AF27" s="109" t="str">
        <f t="shared" si="9"/>
        <v/>
      </c>
      <c r="AG27" s="109" t="str">
        <f t="shared" si="10"/>
        <v/>
      </c>
      <c r="AH27" s="109" t="str">
        <f t="shared" si="11"/>
        <v/>
      </c>
      <c r="AI27" s="109" t="str">
        <f t="shared" si="12"/>
        <v>■</v>
      </c>
      <c r="AJ27" s="109" t="str">
        <f t="shared" si="13"/>
        <v>■</v>
      </c>
      <c r="AK27" s="109" t="str">
        <f t="shared" si="14"/>
        <v/>
      </c>
      <c r="AL27" s="109" t="str">
        <f t="shared" si="15"/>
        <v/>
      </c>
      <c r="AM27" s="109" t="str">
        <f t="shared" si="16"/>
        <v/>
      </c>
      <c r="AN27" s="109" t="str">
        <f t="shared" si="17"/>
        <v/>
      </c>
      <c r="AO27" s="109" t="str">
        <f t="shared" si="18"/>
        <v/>
      </c>
      <c r="AP27" s="109" t="str">
        <f t="shared" si="19"/>
        <v/>
      </c>
      <c r="AQ27" s="109" t="str">
        <f t="shared" si="20"/>
        <v/>
      </c>
      <c r="AR27" t="s">
        <v>434</v>
      </c>
    </row>
    <row r="28" spans="1:44" ht="14.25" customHeight="1" x14ac:dyDescent="0.2">
      <c r="A28" s="22"/>
      <c r="B28" s="23">
        <v>13</v>
      </c>
      <c r="C28" s="46" t="s">
        <v>78</v>
      </c>
      <c r="D28" s="25" t="s">
        <v>79</v>
      </c>
      <c r="E28" s="48">
        <v>54</v>
      </c>
      <c r="F28" s="27" t="s">
        <v>70</v>
      </c>
      <c r="G28" s="28">
        <v>360000</v>
      </c>
      <c r="H28" s="29">
        <f t="shared" si="2"/>
        <v>19440000</v>
      </c>
      <c r="I28" s="30">
        <v>3908731694</v>
      </c>
      <c r="J28" s="31">
        <f t="shared" si="3"/>
        <v>0.49734802800204686</v>
      </c>
      <c r="K28" s="37"/>
      <c r="L28" s="22"/>
      <c r="M28" s="22"/>
      <c r="N28" s="22"/>
      <c r="O28" s="45"/>
      <c r="P28" s="22"/>
      <c r="Q28" s="22"/>
      <c r="R28" s="6"/>
      <c r="S28" s="6"/>
      <c r="T28" s="6"/>
      <c r="U28" s="108">
        <v>8</v>
      </c>
      <c r="V28" s="108">
        <v>10</v>
      </c>
      <c r="W28" s="109">
        <f t="shared" si="4"/>
        <v>3</v>
      </c>
      <c r="X28" s="110">
        <f t="array" ref="X28">INDEX('KALENDER MINGGU'!$B$6:$B$21,U28)</f>
        <v>46275</v>
      </c>
      <c r="Y28" s="110">
        <f t="array" ref="Y28">INDEX('KALENDER MINGGU'!$C$6:$C$21,V28)</f>
        <v>46295</v>
      </c>
      <c r="AB28" s="109" t="str">
        <f t="shared" si="5"/>
        <v/>
      </c>
      <c r="AC28" s="109" t="str">
        <f t="shared" si="6"/>
        <v/>
      </c>
      <c r="AD28" s="109" t="str">
        <f t="shared" si="7"/>
        <v/>
      </c>
      <c r="AE28" s="109" t="str">
        <f t="shared" si="8"/>
        <v/>
      </c>
      <c r="AF28" s="109" t="str">
        <f t="shared" si="9"/>
        <v/>
      </c>
      <c r="AG28" s="109" t="str">
        <f t="shared" si="10"/>
        <v/>
      </c>
      <c r="AH28" s="109" t="str">
        <f t="shared" si="11"/>
        <v/>
      </c>
      <c r="AI28" s="109" t="str">
        <f t="shared" si="12"/>
        <v>■</v>
      </c>
      <c r="AJ28" s="109" t="str">
        <f t="shared" si="13"/>
        <v>■</v>
      </c>
      <c r="AK28" s="109" t="str">
        <f t="shared" si="14"/>
        <v>■</v>
      </c>
      <c r="AL28" s="109" t="str">
        <f t="shared" si="15"/>
        <v/>
      </c>
      <c r="AM28" s="109" t="str">
        <f t="shared" si="16"/>
        <v/>
      </c>
      <c r="AN28" s="109" t="str">
        <f t="shared" si="17"/>
        <v/>
      </c>
      <c r="AO28" s="109" t="str">
        <f t="shared" si="18"/>
        <v/>
      </c>
      <c r="AP28" s="109" t="str">
        <f t="shared" si="19"/>
        <v/>
      </c>
      <c r="AQ28" s="109" t="str">
        <f t="shared" si="20"/>
        <v/>
      </c>
      <c r="AR28" t="s">
        <v>435</v>
      </c>
    </row>
    <row r="29" spans="1:44" ht="14.25" customHeight="1" x14ac:dyDescent="0.2">
      <c r="A29" s="22"/>
      <c r="B29" s="23"/>
      <c r="C29" s="46"/>
      <c r="D29" s="25"/>
      <c r="E29" s="48"/>
      <c r="F29" s="27"/>
      <c r="G29" s="28"/>
      <c r="H29" s="49">
        <f>SUM(H16:H28)</f>
        <v>631673000</v>
      </c>
      <c r="I29" s="30">
        <v>3908731694</v>
      </c>
      <c r="J29" s="43">
        <f t="shared" si="3"/>
        <v>16.160561774286879</v>
      </c>
      <c r="K29" s="37"/>
      <c r="L29" s="22"/>
      <c r="M29" s="22"/>
      <c r="N29" s="22"/>
      <c r="O29" s="45"/>
      <c r="P29" s="22"/>
      <c r="Q29" s="22"/>
      <c r="R29" s="6"/>
      <c r="S29" s="6"/>
      <c r="T29" s="6"/>
      <c r="U29" s="109">
        <f>MIN(U16:U28)</f>
        <v>6</v>
      </c>
      <c r="V29" s="109">
        <f>MAX(V16:V28)</f>
        <v>11</v>
      </c>
      <c r="W29" s="109">
        <f t="shared" si="4"/>
        <v>6</v>
      </c>
      <c r="X29" s="110">
        <f t="array" ref="X29">INDEX('KALENDER MINGGU'!$B$6:$B$21,U29)</f>
        <v>46261</v>
      </c>
      <c r="Y29" s="110">
        <f t="array" ref="Y29">INDEX('KALENDER MINGGU'!$C$6:$C$21,V29)</f>
        <v>46302</v>
      </c>
      <c r="Z29" s="111">
        <f>SUM(TS!M16:AB16)/TS!L15*100</f>
        <v>40.815184438783994</v>
      </c>
      <c r="AA29" s="109" t="str">
        <f ca="1">IF(Z29&gt;=99.9,"COMPLETED",IF(U29&gt;'RENCANA MINGGUAN'!$J$7,"NOT STARTED",IF(V29&lt;'RENCANA MINGGUAN'!$J$7,"CRITICAL",IF(Z29+1&lt;W29,"DELAYED","ON SCHEDULE"))))</f>
        <v>ON SCHEDULE</v>
      </c>
      <c r="AB29" s="109" t="str">
        <f>IF(AND(U29&lt;=1,V29&gt;=1),"■","")</f>
        <v/>
      </c>
      <c r="AC29" s="109" t="str">
        <f>IF(AND(U29&lt;=2,V29&gt;=2),"■","")</f>
        <v/>
      </c>
      <c r="AD29" s="109" t="str">
        <f>IF(AND(U29&lt;=3,V29&gt;=3),"■","")</f>
        <v/>
      </c>
      <c r="AE29" s="109" t="str">
        <f>IF(AND(U29&lt;=4,V29&gt;=4),"■","")</f>
        <v/>
      </c>
      <c r="AF29" s="109" t="str">
        <f>IF(AND(U29&lt;=5,V29&gt;=5),"■","")</f>
        <v/>
      </c>
      <c r="AG29" s="109" t="str">
        <f>IF(AND(U29&lt;=6,V29&gt;=6),"■","")</f>
        <v>■</v>
      </c>
      <c r="AH29" s="109" t="str">
        <f>IF(AND(U29&lt;=7,V29&gt;=7),"■","")</f>
        <v>■</v>
      </c>
      <c r="AI29" s="109" t="str">
        <f>IF(AND(U29&lt;=8,V29&gt;=8),"■","")</f>
        <v>■</v>
      </c>
      <c r="AJ29" s="109" t="str">
        <f>IF(AND(U29&lt;=9,V29&gt;=9),"■","")</f>
        <v>■</v>
      </c>
      <c r="AK29" s="109" t="str">
        <f>IF(AND(U29&lt;=10,V29&gt;=10),"■","")</f>
        <v>■</v>
      </c>
      <c r="AL29" s="109" t="str">
        <f>IF(AND(U29&lt;=11,V29&gt;=11),"■","")</f>
        <v>■</v>
      </c>
      <c r="AM29" s="109" t="str">
        <f>IF(AND(U29&lt;=12,V29&gt;=12),"■","")</f>
        <v/>
      </c>
      <c r="AN29" s="109" t="str">
        <f>IF(AND(U29&lt;=13,V29&gt;=13),"■","")</f>
        <v/>
      </c>
      <c r="AO29" s="109" t="str">
        <f>IF(AND(U29&lt;=14,V29&gt;=14),"■","")</f>
        <v/>
      </c>
      <c r="AP29" s="109" t="str">
        <f>IF(AND(U29&lt;=15,V29&gt;=15),"■","")</f>
        <v/>
      </c>
      <c r="AQ29" s="109" t="str">
        <f>IF(AND(U29&lt;=16,V29&gt;=16),"■","")</f>
        <v/>
      </c>
    </row>
    <row r="30" spans="1:44" ht="14.25" customHeight="1" x14ac:dyDescent="0.2">
      <c r="A30" s="22"/>
      <c r="B30" s="50"/>
      <c r="C30" s="46"/>
      <c r="D30" s="25"/>
      <c r="E30" s="51"/>
      <c r="F30" s="27"/>
      <c r="G30" s="28"/>
      <c r="H30" s="29">
        <f t="shared" ref="H30:H41" si="21">E30*G30</f>
        <v>0</v>
      </c>
      <c r="I30" s="44"/>
      <c r="J30" s="44"/>
      <c r="K30" s="37"/>
      <c r="L30" s="22"/>
      <c r="M30" s="22"/>
      <c r="N30" s="22"/>
      <c r="O30" s="45"/>
      <c r="P30" s="22"/>
      <c r="Q30" s="22"/>
      <c r="R30" s="6"/>
      <c r="S30" s="6"/>
      <c r="T30" s="6"/>
    </row>
    <row r="31" spans="1:44" ht="14.25" customHeight="1" x14ac:dyDescent="0.25">
      <c r="A31" s="22"/>
      <c r="B31" s="16" t="s">
        <v>80</v>
      </c>
      <c r="C31" s="16" t="s">
        <v>81</v>
      </c>
      <c r="D31" s="25"/>
      <c r="E31" s="51"/>
      <c r="F31" s="27"/>
      <c r="G31" s="28"/>
      <c r="H31" s="29">
        <f t="shared" si="21"/>
        <v>0</v>
      </c>
      <c r="I31" s="44"/>
      <c r="J31" s="44"/>
      <c r="K31" s="37"/>
      <c r="L31" s="22"/>
      <c r="M31" s="22"/>
      <c r="N31" s="22"/>
      <c r="O31" s="45"/>
      <c r="P31" s="22"/>
      <c r="Q31" s="22"/>
      <c r="R31" s="6"/>
      <c r="S31" s="6"/>
      <c r="T31" s="6"/>
    </row>
    <row r="32" spans="1:44" ht="14.25" customHeight="1" x14ac:dyDescent="0.2">
      <c r="A32" s="22"/>
      <c r="B32" s="23">
        <v>1</v>
      </c>
      <c r="C32" s="46" t="s">
        <v>82</v>
      </c>
      <c r="D32" s="25"/>
      <c r="E32" s="47">
        <v>30</v>
      </c>
      <c r="F32" s="27" t="s">
        <v>57</v>
      </c>
      <c r="G32" s="28">
        <v>40000</v>
      </c>
      <c r="H32" s="29">
        <f t="shared" si="21"/>
        <v>1200000</v>
      </c>
      <c r="I32" s="30">
        <v>3908731694</v>
      </c>
      <c r="J32" s="31">
        <f t="shared" ref="J32:J42" si="22">H32/I32*100</f>
        <v>3.0700495555681905E-2</v>
      </c>
      <c r="K32" s="37"/>
      <c r="L32" s="22"/>
      <c r="M32" s="22"/>
      <c r="N32" s="22"/>
      <c r="O32" s="45"/>
      <c r="P32" s="22"/>
      <c r="Q32" s="22"/>
      <c r="R32" s="6"/>
      <c r="S32" s="6"/>
      <c r="T32" s="6"/>
      <c r="U32" s="108">
        <v>9</v>
      </c>
      <c r="V32" s="108">
        <v>10</v>
      </c>
      <c r="W32" s="109">
        <f t="shared" ref="W32:W42" si="23">MAX(1,V32-U32+1)</f>
        <v>2</v>
      </c>
      <c r="X32" s="110">
        <f t="array" ref="X32">INDEX('KALENDER MINGGU'!$B$6:$B$21,U32)</f>
        <v>46282</v>
      </c>
      <c r="Y32" s="110">
        <f t="array" ref="Y32">INDEX('KALENDER MINGGU'!$C$6:$C$21,V32)</f>
        <v>46295</v>
      </c>
      <c r="AB32" s="109" t="str">
        <f t="shared" ref="AB32:AB41" si="24">IF(AND($U32&lt;=1,$V32&gt;=1),"■","")</f>
        <v/>
      </c>
      <c r="AC32" s="109" t="str">
        <f t="shared" ref="AC32:AC41" si="25">IF(AND($U32&lt;=2,$V32&gt;=2),"■","")</f>
        <v/>
      </c>
      <c r="AD32" s="109" t="str">
        <f t="shared" ref="AD32:AD41" si="26">IF(AND($U32&lt;=3,$V32&gt;=3),"■","")</f>
        <v/>
      </c>
      <c r="AE32" s="109" t="str">
        <f t="shared" ref="AE32:AE41" si="27">IF(AND($U32&lt;=4,$V32&gt;=4),"■","")</f>
        <v/>
      </c>
      <c r="AF32" s="109" t="str">
        <f t="shared" ref="AF32:AF41" si="28">IF(AND($U32&lt;=5,$V32&gt;=5),"■","")</f>
        <v/>
      </c>
      <c r="AG32" s="109" t="str">
        <f t="shared" ref="AG32:AG41" si="29">IF(AND($U32&lt;=6,$V32&gt;=6),"■","")</f>
        <v/>
      </c>
      <c r="AH32" s="109" t="str">
        <f t="shared" ref="AH32:AH41" si="30">IF(AND($U32&lt;=7,$V32&gt;=7),"■","")</f>
        <v/>
      </c>
      <c r="AI32" s="109" t="str">
        <f t="shared" ref="AI32:AI41" si="31">IF(AND($U32&lt;=8,$V32&gt;=8),"■","")</f>
        <v/>
      </c>
      <c r="AJ32" s="109" t="str">
        <f t="shared" ref="AJ32:AJ41" si="32">IF(AND($U32&lt;=9,$V32&gt;=9),"■","")</f>
        <v>■</v>
      </c>
      <c r="AK32" s="109" t="str">
        <f t="shared" ref="AK32:AK41" si="33">IF(AND($U32&lt;=10,$V32&gt;=10),"■","")</f>
        <v>■</v>
      </c>
      <c r="AL32" s="109" t="str">
        <f t="shared" ref="AL32:AL41" si="34">IF(AND($U32&lt;=11,$V32&gt;=11),"■","")</f>
        <v/>
      </c>
      <c r="AM32" s="109" t="str">
        <f t="shared" ref="AM32:AM41" si="35">IF(AND($U32&lt;=12,$V32&gt;=12),"■","")</f>
        <v/>
      </c>
      <c r="AN32" s="109" t="str">
        <f t="shared" ref="AN32:AN41" si="36">IF(AND($U32&lt;=13,$V32&gt;=13),"■","")</f>
        <v/>
      </c>
      <c r="AO32" s="109" t="str">
        <f t="shared" ref="AO32:AO41" si="37">IF(AND($U32&lt;=14,$V32&gt;=14),"■","")</f>
        <v/>
      </c>
      <c r="AP32" s="109" t="str">
        <f t="shared" ref="AP32:AP41" si="38">IF(AND($U32&lt;=15,$V32&gt;=15),"■","")</f>
        <v/>
      </c>
      <c r="AQ32" s="109" t="str">
        <f t="shared" ref="AQ32:AQ41" si="39">IF(AND($U32&lt;=16,$V32&gt;=16),"■","")</f>
        <v/>
      </c>
      <c r="AR32" t="s">
        <v>436</v>
      </c>
    </row>
    <row r="33" spans="1:44" ht="14.25" customHeight="1" x14ac:dyDescent="0.2">
      <c r="A33" s="22"/>
      <c r="B33" s="23">
        <v>2</v>
      </c>
      <c r="C33" s="46" t="s">
        <v>83</v>
      </c>
      <c r="D33" s="25" t="s">
        <v>84</v>
      </c>
      <c r="E33" s="47">
        <v>105</v>
      </c>
      <c r="F33" s="27" t="s">
        <v>57</v>
      </c>
      <c r="G33" s="28">
        <v>35000</v>
      </c>
      <c r="H33" s="29">
        <f t="shared" si="21"/>
        <v>3675000</v>
      </c>
      <c r="I33" s="30">
        <v>3908731694</v>
      </c>
      <c r="J33" s="31">
        <f t="shared" si="22"/>
        <v>9.4020267639275831E-2</v>
      </c>
      <c r="K33" s="37"/>
      <c r="L33" s="22"/>
      <c r="M33" s="22"/>
      <c r="N33" s="22"/>
      <c r="O33" s="45"/>
      <c r="P33" s="22"/>
      <c r="Q33" s="22"/>
      <c r="R33" s="6"/>
      <c r="S33" s="6"/>
      <c r="T33" s="6"/>
      <c r="U33" s="108">
        <v>7</v>
      </c>
      <c r="V33" s="108">
        <v>9</v>
      </c>
      <c r="W33" s="109">
        <f t="shared" si="23"/>
        <v>3</v>
      </c>
      <c r="X33" s="110">
        <f t="array" ref="X33">INDEX('KALENDER MINGGU'!$B$6:$B$21,U33)</f>
        <v>46268</v>
      </c>
      <c r="Y33" s="110">
        <f t="array" ref="Y33">INDEX('KALENDER MINGGU'!$C$6:$C$21,V33)</f>
        <v>46288</v>
      </c>
      <c r="AB33" s="109" t="str">
        <f t="shared" si="24"/>
        <v/>
      </c>
      <c r="AC33" s="109" t="str">
        <f t="shared" si="25"/>
        <v/>
      </c>
      <c r="AD33" s="109" t="str">
        <f t="shared" si="26"/>
        <v/>
      </c>
      <c r="AE33" s="109" t="str">
        <f t="shared" si="27"/>
        <v/>
      </c>
      <c r="AF33" s="109" t="str">
        <f t="shared" si="28"/>
        <v/>
      </c>
      <c r="AG33" s="109" t="str">
        <f t="shared" si="29"/>
        <v/>
      </c>
      <c r="AH33" s="109" t="str">
        <f t="shared" si="30"/>
        <v>■</v>
      </c>
      <c r="AI33" s="109" t="str">
        <f t="shared" si="31"/>
        <v>■</v>
      </c>
      <c r="AJ33" s="109" t="str">
        <f t="shared" si="32"/>
        <v>■</v>
      </c>
      <c r="AK33" s="109" t="str">
        <f t="shared" si="33"/>
        <v/>
      </c>
      <c r="AL33" s="109" t="str">
        <f t="shared" si="34"/>
        <v/>
      </c>
      <c r="AM33" s="109" t="str">
        <f t="shared" si="35"/>
        <v/>
      </c>
      <c r="AN33" s="109" t="str">
        <f t="shared" si="36"/>
        <v/>
      </c>
      <c r="AO33" s="109" t="str">
        <f t="shared" si="37"/>
        <v/>
      </c>
      <c r="AP33" s="109" t="str">
        <f t="shared" si="38"/>
        <v/>
      </c>
      <c r="AQ33" s="109" t="str">
        <f t="shared" si="39"/>
        <v/>
      </c>
      <c r="AR33" t="s">
        <v>437</v>
      </c>
    </row>
    <row r="34" spans="1:44" ht="14.25" customHeight="1" x14ac:dyDescent="0.2">
      <c r="A34" s="22"/>
      <c r="B34" s="23">
        <v>3</v>
      </c>
      <c r="C34" s="46" t="s">
        <v>85</v>
      </c>
      <c r="D34" s="25" t="s">
        <v>86</v>
      </c>
      <c r="E34" s="48">
        <v>40</v>
      </c>
      <c r="F34" s="27" t="s">
        <v>57</v>
      </c>
      <c r="G34" s="28">
        <v>275000</v>
      </c>
      <c r="H34" s="29">
        <f t="shared" si="21"/>
        <v>11000000</v>
      </c>
      <c r="I34" s="30">
        <v>3908731694</v>
      </c>
      <c r="J34" s="31">
        <f t="shared" si="22"/>
        <v>0.28142120926041747</v>
      </c>
      <c r="K34" s="37"/>
      <c r="L34" s="22"/>
      <c r="M34" s="22"/>
      <c r="N34" s="22"/>
      <c r="O34" s="45"/>
      <c r="P34" s="22"/>
      <c r="Q34" s="22"/>
      <c r="R34" s="6"/>
      <c r="S34" s="6"/>
      <c r="T34" s="6"/>
      <c r="U34" s="108">
        <v>7</v>
      </c>
      <c r="V34" s="108">
        <v>9</v>
      </c>
      <c r="W34" s="109">
        <f t="shared" si="23"/>
        <v>3</v>
      </c>
      <c r="X34" s="110">
        <f t="array" ref="X34">INDEX('KALENDER MINGGU'!$B$6:$B$21,U34)</f>
        <v>46268</v>
      </c>
      <c r="Y34" s="110">
        <f t="array" ref="Y34">INDEX('KALENDER MINGGU'!$C$6:$C$21,V34)</f>
        <v>46288</v>
      </c>
      <c r="AB34" s="109" t="str">
        <f t="shared" si="24"/>
        <v/>
      </c>
      <c r="AC34" s="109" t="str">
        <f t="shared" si="25"/>
        <v/>
      </c>
      <c r="AD34" s="109" t="str">
        <f t="shared" si="26"/>
        <v/>
      </c>
      <c r="AE34" s="109" t="str">
        <f t="shared" si="27"/>
        <v/>
      </c>
      <c r="AF34" s="109" t="str">
        <f t="shared" si="28"/>
        <v/>
      </c>
      <c r="AG34" s="109" t="str">
        <f t="shared" si="29"/>
        <v/>
      </c>
      <c r="AH34" s="109" t="str">
        <f t="shared" si="30"/>
        <v>■</v>
      </c>
      <c r="AI34" s="109" t="str">
        <f t="shared" si="31"/>
        <v>■</v>
      </c>
      <c r="AJ34" s="109" t="str">
        <f t="shared" si="32"/>
        <v>■</v>
      </c>
      <c r="AK34" s="109" t="str">
        <f t="shared" si="33"/>
        <v/>
      </c>
      <c r="AL34" s="109" t="str">
        <f t="shared" si="34"/>
        <v/>
      </c>
      <c r="AM34" s="109" t="str">
        <f t="shared" si="35"/>
        <v/>
      </c>
      <c r="AN34" s="109" t="str">
        <f t="shared" si="36"/>
        <v/>
      </c>
      <c r="AO34" s="109" t="str">
        <f t="shared" si="37"/>
        <v/>
      </c>
      <c r="AP34" s="109" t="str">
        <f t="shared" si="38"/>
        <v/>
      </c>
      <c r="AQ34" s="109" t="str">
        <f t="shared" si="39"/>
        <v/>
      </c>
      <c r="AR34" t="s">
        <v>438</v>
      </c>
    </row>
    <row r="35" spans="1:44" ht="14.25" customHeight="1" x14ac:dyDescent="0.2">
      <c r="A35" s="22"/>
      <c r="B35" s="23">
        <v>4</v>
      </c>
      <c r="C35" s="46" t="s">
        <v>87</v>
      </c>
      <c r="D35" s="25" t="s">
        <v>88</v>
      </c>
      <c r="E35" s="48">
        <v>14</v>
      </c>
      <c r="F35" s="27" t="s">
        <v>57</v>
      </c>
      <c r="G35" s="28">
        <v>160000</v>
      </c>
      <c r="H35" s="29">
        <f t="shared" si="21"/>
        <v>2240000</v>
      </c>
      <c r="I35" s="30">
        <v>3908731694</v>
      </c>
      <c r="J35" s="31">
        <f t="shared" si="22"/>
        <v>5.730759170393955E-2</v>
      </c>
      <c r="K35" s="37"/>
      <c r="L35" s="22"/>
      <c r="M35" s="22"/>
      <c r="N35" s="22"/>
      <c r="O35" s="45"/>
      <c r="P35" s="22"/>
      <c r="Q35" s="22"/>
      <c r="R35" s="6"/>
      <c r="S35" s="6"/>
      <c r="T35" s="6"/>
      <c r="U35" s="108">
        <v>7</v>
      </c>
      <c r="V35" s="108">
        <v>9</v>
      </c>
      <c r="W35" s="109">
        <f t="shared" si="23"/>
        <v>3</v>
      </c>
      <c r="X35" s="110">
        <f t="array" ref="X35">INDEX('KALENDER MINGGU'!$B$6:$B$21,U35)</f>
        <v>46268</v>
      </c>
      <c r="Y35" s="110">
        <f t="array" ref="Y35">INDEX('KALENDER MINGGU'!$C$6:$C$21,V35)</f>
        <v>46288</v>
      </c>
      <c r="AB35" s="109" t="str">
        <f t="shared" si="24"/>
        <v/>
      </c>
      <c r="AC35" s="109" t="str">
        <f t="shared" si="25"/>
        <v/>
      </c>
      <c r="AD35" s="109" t="str">
        <f t="shared" si="26"/>
        <v/>
      </c>
      <c r="AE35" s="109" t="str">
        <f t="shared" si="27"/>
        <v/>
      </c>
      <c r="AF35" s="109" t="str">
        <f t="shared" si="28"/>
        <v/>
      </c>
      <c r="AG35" s="109" t="str">
        <f t="shared" si="29"/>
        <v/>
      </c>
      <c r="AH35" s="109" t="str">
        <f t="shared" si="30"/>
        <v>■</v>
      </c>
      <c r="AI35" s="109" t="str">
        <f t="shared" si="31"/>
        <v>■</v>
      </c>
      <c r="AJ35" s="109" t="str">
        <f t="shared" si="32"/>
        <v>■</v>
      </c>
      <c r="AK35" s="109" t="str">
        <f t="shared" si="33"/>
        <v/>
      </c>
      <c r="AL35" s="109" t="str">
        <f t="shared" si="34"/>
        <v/>
      </c>
      <c r="AM35" s="109" t="str">
        <f t="shared" si="35"/>
        <v/>
      </c>
      <c r="AN35" s="109" t="str">
        <f t="shared" si="36"/>
        <v/>
      </c>
      <c r="AO35" s="109" t="str">
        <f t="shared" si="37"/>
        <v/>
      </c>
      <c r="AP35" s="109" t="str">
        <f t="shared" si="38"/>
        <v/>
      </c>
      <c r="AQ35" s="109" t="str">
        <f t="shared" si="39"/>
        <v/>
      </c>
      <c r="AR35" t="s">
        <v>439</v>
      </c>
    </row>
    <row r="36" spans="1:44" ht="14.25" customHeight="1" x14ac:dyDescent="0.2">
      <c r="A36" s="22"/>
      <c r="B36" s="23">
        <v>5</v>
      </c>
      <c r="C36" s="46" t="s">
        <v>89</v>
      </c>
      <c r="D36" s="25" t="s">
        <v>90</v>
      </c>
      <c r="E36" s="48">
        <v>185</v>
      </c>
      <c r="F36" s="27" t="s">
        <v>57</v>
      </c>
      <c r="G36" s="28">
        <v>150000</v>
      </c>
      <c r="H36" s="29">
        <f t="shared" si="21"/>
        <v>27750000</v>
      </c>
      <c r="I36" s="30">
        <v>3908731694</v>
      </c>
      <c r="J36" s="31">
        <f t="shared" si="22"/>
        <v>0.70994895972514405</v>
      </c>
      <c r="K36" s="37"/>
      <c r="L36" s="22"/>
      <c r="M36" s="22"/>
      <c r="N36" s="22"/>
      <c r="O36" s="45"/>
      <c r="P36" s="22"/>
      <c r="Q36" s="22"/>
      <c r="R36" s="6"/>
      <c r="S36" s="6"/>
      <c r="T36" s="6"/>
      <c r="U36" s="108">
        <v>7</v>
      </c>
      <c r="V36" s="108">
        <v>10</v>
      </c>
      <c r="W36" s="109">
        <f t="shared" si="23"/>
        <v>4</v>
      </c>
      <c r="X36" s="110">
        <f t="array" ref="X36">INDEX('KALENDER MINGGU'!$B$6:$B$21,U36)</f>
        <v>46268</v>
      </c>
      <c r="Y36" s="110">
        <f t="array" ref="Y36">INDEX('KALENDER MINGGU'!$C$6:$C$21,V36)</f>
        <v>46295</v>
      </c>
      <c r="AB36" s="109" t="str">
        <f t="shared" si="24"/>
        <v/>
      </c>
      <c r="AC36" s="109" t="str">
        <f t="shared" si="25"/>
        <v/>
      </c>
      <c r="AD36" s="109" t="str">
        <f t="shared" si="26"/>
        <v/>
      </c>
      <c r="AE36" s="109" t="str">
        <f t="shared" si="27"/>
        <v/>
      </c>
      <c r="AF36" s="109" t="str">
        <f t="shared" si="28"/>
        <v/>
      </c>
      <c r="AG36" s="109" t="str">
        <f t="shared" si="29"/>
        <v/>
      </c>
      <c r="AH36" s="109" t="str">
        <f t="shared" si="30"/>
        <v>■</v>
      </c>
      <c r="AI36" s="109" t="str">
        <f t="shared" si="31"/>
        <v>■</v>
      </c>
      <c r="AJ36" s="109" t="str">
        <f t="shared" si="32"/>
        <v>■</v>
      </c>
      <c r="AK36" s="109" t="str">
        <f t="shared" si="33"/>
        <v>■</v>
      </c>
      <c r="AL36" s="109" t="str">
        <f t="shared" si="34"/>
        <v/>
      </c>
      <c r="AM36" s="109" t="str">
        <f t="shared" si="35"/>
        <v/>
      </c>
      <c r="AN36" s="109" t="str">
        <f t="shared" si="36"/>
        <v/>
      </c>
      <c r="AO36" s="109" t="str">
        <f t="shared" si="37"/>
        <v/>
      </c>
      <c r="AP36" s="109" t="str">
        <f t="shared" si="38"/>
        <v/>
      </c>
      <c r="AQ36" s="109" t="str">
        <f t="shared" si="39"/>
        <v/>
      </c>
      <c r="AR36" t="s">
        <v>440</v>
      </c>
    </row>
    <row r="37" spans="1:44" ht="14.25" customHeight="1" x14ac:dyDescent="0.2">
      <c r="A37" s="22"/>
      <c r="B37" s="23">
        <v>6</v>
      </c>
      <c r="C37" s="46" t="s">
        <v>91</v>
      </c>
      <c r="D37" s="25" t="s">
        <v>92</v>
      </c>
      <c r="E37" s="48">
        <v>93</v>
      </c>
      <c r="F37" s="27" t="s">
        <v>57</v>
      </c>
      <c r="G37" s="28">
        <v>185000</v>
      </c>
      <c r="H37" s="29">
        <f t="shared" si="21"/>
        <v>17205000</v>
      </c>
      <c r="I37" s="30">
        <v>3908731694</v>
      </c>
      <c r="J37" s="31">
        <f t="shared" si="22"/>
        <v>0.44016835502958929</v>
      </c>
      <c r="K37" s="37"/>
      <c r="L37" s="22"/>
      <c r="M37" s="22"/>
      <c r="N37" s="22"/>
      <c r="O37" s="45"/>
      <c r="P37" s="22"/>
      <c r="Q37" s="22"/>
      <c r="R37" s="6"/>
      <c r="S37" s="6"/>
      <c r="T37" s="6"/>
      <c r="U37" s="108">
        <v>8</v>
      </c>
      <c r="V37" s="108">
        <v>10</v>
      </c>
      <c r="W37" s="109">
        <f t="shared" si="23"/>
        <v>3</v>
      </c>
      <c r="X37" s="110">
        <f t="array" ref="X37">INDEX('KALENDER MINGGU'!$B$6:$B$21,U37)</f>
        <v>46275</v>
      </c>
      <c r="Y37" s="110">
        <f t="array" ref="Y37">INDEX('KALENDER MINGGU'!$C$6:$C$21,V37)</f>
        <v>46295</v>
      </c>
      <c r="AB37" s="109" t="str">
        <f t="shared" si="24"/>
        <v/>
      </c>
      <c r="AC37" s="109" t="str">
        <f t="shared" si="25"/>
        <v/>
      </c>
      <c r="AD37" s="109" t="str">
        <f t="shared" si="26"/>
        <v/>
      </c>
      <c r="AE37" s="109" t="str">
        <f t="shared" si="27"/>
        <v/>
      </c>
      <c r="AF37" s="109" t="str">
        <f t="shared" si="28"/>
        <v/>
      </c>
      <c r="AG37" s="109" t="str">
        <f t="shared" si="29"/>
        <v/>
      </c>
      <c r="AH37" s="109" t="str">
        <f t="shared" si="30"/>
        <v/>
      </c>
      <c r="AI37" s="109" t="str">
        <f t="shared" si="31"/>
        <v>■</v>
      </c>
      <c r="AJ37" s="109" t="str">
        <f t="shared" si="32"/>
        <v>■</v>
      </c>
      <c r="AK37" s="109" t="str">
        <f t="shared" si="33"/>
        <v>■</v>
      </c>
      <c r="AL37" s="109" t="str">
        <f t="shared" si="34"/>
        <v/>
      </c>
      <c r="AM37" s="109" t="str">
        <f t="shared" si="35"/>
        <v/>
      </c>
      <c r="AN37" s="109" t="str">
        <f t="shared" si="36"/>
        <v/>
      </c>
      <c r="AO37" s="109" t="str">
        <f t="shared" si="37"/>
        <v/>
      </c>
      <c r="AP37" s="109" t="str">
        <f t="shared" si="38"/>
        <v/>
      </c>
      <c r="AQ37" s="109" t="str">
        <f t="shared" si="39"/>
        <v/>
      </c>
      <c r="AR37" t="s">
        <v>441</v>
      </c>
    </row>
    <row r="38" spans="1:44" ht="14.25" customHeight="1" x14ac:dyDescent="0.2">
      <c r="A38" s="22"/>
      <c r="B38" s="23">
        <v>7</v>
      </c>
      <c r="C38" s="46" t="s">
        <v>93</v>
      </c>
      <c r="D38" s="25" t="s">
        <v>94</v>
      </c>
      <c r="E38" s="47">
        <v>10</v>
      </c>
      <c r="F38" s="27" t="s">
        <v>54</v>
      </c>
      <c r="G38" s="28">
        <v>364000</v>
      </c>
      <c r="H38" s="29">
        <f t="shared" si="21"/>
        <v>3640000</v>
      </c>
      <c r="I38" s="30">
        <v>3908731694</v>
      </c>
      <c r="J38" s="31">
        <f t="shared" si="22"/>
        <v>9.3124836518901771E-2</v>
      </c>
      <c r="K38" s="37"/>
      <c r="L38" s="22"/>
      <c r="M38" s="22"/>
      <c r="N38" s="22"/>
      <c r="O38" s="45"/>
      <c r="P38" s="22"/>
      <c r="Q38" s="22"/>
      <c r="R38" s="6"/>
      <c r="S38" s="6"/>
      <c r="T38" s="6"/>
      <c r="U38" s="108">
        <v>9</v>
      </c>
      <c r="V38" s="108">
        <v>10</v>
      </c>
      <c r="W38" s="109">
        <f t="shared" si="23"/>
        <v>2</v>
      </c>
      <c r="X38" s="110">
        <f t="array" ref="X38">INDEX('KALENDER MINGGU'!$B$6:$B$21,U38)</f>
        <v>46282</v>
      </c>
      <c r="Y38" s="110">
        <f t="array" ref="Y38">INDEX('KALENDER MINGGU'!$C$6:$C$21,V38)</f>
        <v>46295</v>
      </c>
      <c r="AB38" s="109" t="str">
        <f t="shared" si="24"/>
        <v/>
      </c>
      <c r="AC38" s="109" t="str">
        <f t="shared" si="25"/>
        <v/>
      </c>
      <c r="AD38" s="109" t="str">
        <f t="shared" si="26"/>
        <v/>
      </c>
      <c r="AE38" s="109" t="str">
        <f t="shared" si="27"/>
        <v/>
      </c>
      <c r="AF38" s="109" t="str">
        <f t="shared" si="28"/>
        <v/>
      </c>
      <c r="AG38" s="109" t="str">
        <f t="shared" si="29"/>
        <v/>
      </c>
      <c r="AH38" s="109" t="str">
        <f t="shared" si="30"/>
        <v/>
      </c>
      <c r="AI38" s="109" t="str">
        <f t="shared" si="31"/>
        <v/>
      </c>
      <c r="AJ38" s="109" t="str">
        <f t="shared" si="32"/>
        <v>■</v>
      </c>
      <c r="AK38" s="109" t="str">
        <f t="shared" si="33"/>
        <v>■</v>
      </c>
      <c r="AL38" s="109" t="str">
        <f t="shared" si="34"/>
        <v/>
      </c>
      <c r="AM38" s="109" t="str">
        <f t="shared" si="35"/>
        <v/>
      </c>
      <c r="AN38" s="109" t="str">
        <f t="shared" si="36"/>
        <v/>
      </c>
      <c r="AO38" s="109" t="str">
        <f t="shared" si="37"/>
        <v/>
      </c>
      <c r="AP38" s="109" t="str">
        <f t="shared" si="38"/>
        <v/>
      </c>
      <c r="AQ38" s="109" t="str">
        <f t="shared" si="39"/>
        <v/>
      </c>
      <c r="AR38" t="s">
        <v>442</v>
      </c>
    </row>
    <row r="39" spans="1:44" ht="14.25" customHeight="1" x14ac:dyDescent="0.2">
      <c r="A39" s="22"/>
      <c r="B39" s="23">
        <v>8</v>
      </c>
      <c r="C39" s="46" t="s">
        <v>95</v>
      </c>
      <c r="D39" s="25" t="s">
        <v>96</v>
      </c>
      <c r="E39" s="47">
        <v>1</v>
      </c>
      <c r="F39" s="27" t="s">
        <v>41</v>
      </c>
      <c r="G39" s="28">
        <v>4500000</v>
      </c>
      <c r="H39" s="29">
        <f t="shared" si="21"/>
        <v>4500000</v>
      </c>
      <c r="I39" s="30">
        <v>3908731694</v>
      </c>
      <c r="J39" s="31">
        <f t="shared" si="22"/>
        <v>0.11512685833380715</v>
      </c>
      <c r="K39" s="37"/>
      <c r="L39" s="22"/>
      <c r="M39" s="22"/>
      <c r="N39" s="22"/>
      <c r="O39" s="45"/>
      <c r="P39" s="22"/>
      <c r="Q39" s="22"/>
      <c r="R39" s="6"/>
      <c r="S39" s="6"/>
      <c r="T39" s="6"/>
      <c r="U39" s="108">
        <v>9</v>
      </c>
      <c r="V39" s="108">
        <v>10</v>
      </c>
      <c r="W39" s="109">
        <f t="shared" si="23"/>
        <v>2</v>
      </c>
      <c r="X39" s="110">
        <f t="array" ref="X39">INDEX('KALENDER MINGGU'!$B$6:$B$21,U39)</f>
        <v>46282</v>
      </c>
      <c r="Y39" s="110">
        <f t="array" ref="Y39">INDEX('KALENDER MINGGU'!$C$6:$C$21,V39)</f>
        <v>46295</v>
      </c>
      <c r="AB39" s="109" t="str">
        <f t="shared" si="24"/>
        <v/>
      </c>
      <c r="AC39" s="109" t="str">
        <f t="shared" si="25"/>
        <v/>
      </c>
      <c r="AD39" s="109" t="str">
        <f t="shared" si="26"/>
        <v/>
      </c>
      <c r="AE39" s="109" t="str">
        <f t="shared" si="27"/>
        <v/>
      </c>
      <c r="AF39" s="109" t="str">
        <f t="shared" si="28"/>
        <v/>
      </c>
      <c r="AG39" s="109" t="str">
        <f t="shared" si="29"/>
        <v/>
      </c>
      <c r="AH39" s="109" t="str">
        <f t="shared" si="30"/>
        <v/>
      </c>
      <c r="AI39" s="109" t="str">
        <f t="shared" si="31"/>
        <v/>
      </c>
      <c r="AJ39" s="109" t="str">
        <f t="shared" si="32"/>
        <v>■</v>
      </c>
      <c r="AK39" s="109" t="str">
        <f t="shared" si="33"/>
        <v>■</v>
      </c>
      <c r="AL39" s="109" t="str">
        <f t="shared" si="34"/>
        <v/>
      </c>
      <c r="AM39" s="109" t="str">
        <f t="shared" si="35"/>
        <v/>
      </c>
      <c r="AN39" s="109" t="str">
        <f t="shared" si="36"/>
        <v/>
      </c>
      <c r="AO39" s="109" t="str">
        <f t="shared" si="37"/>
        <v/>
      </c>
      <c r="AP39" s="109" t="str">
        <f t="shared" si="38"/>
        <v/>
      </c>
      <c r="AQ39" s="109" t="str">
        <f t="shared" si="39"/>
        <v/>
      </c>
      <c r="AR39" t="s">
        <v>443</v>
      </c>
    </row>
    <row r="40" spans="1:44" ht="14.25" customHeight="1" x14ac:dyDescent="0.2">
      <c r="A40" s="22"/>
      <c r="B40" s="23">
        <v>9</v>
      </c>
      <c r="C40" s="46" t="s">
        <v>97</v>
      </c>
      <c r="D40" s="25" t="s">
        <v>98</v>
      </c>
      <c r="E40" s="47">
        <v>6</v>
      </c>
      <c r="F40" s="27" t="s">
        <v>41</v>
      </c>
      <c r="G40" s="28">
        <v>600000</v>
      </c>
      <c r="H40" s="29">
        <f t="shared" si="21"/>
        <v>3600000</v>
      </c>
      <c r="I40" s="30">
        <v>3908731694</v>
      </c>
      <c r="J40" s="31">
        <f t="shared" si="22"/>
        <v>9.2101486667045707E-2</v>
      </c>
      <c r="K40" s="37"/>
      <c r="L40" s="22"/>
      <c r="M40" s="22"/>
      <c r="N40" s="22"/>
      <c r="O40" s="45"/>
      <c r="P40" s="22"/>
      <c r="Q40" s="22"/>
      <c r="R40" s="6"/>
      <c r="S40" s="6"/>
      <c r="T40" s="6"/>
      <c r="U40" s="108">
        <v>7</v>
      </c>
      <c r="V40" s="108">
        <v>9</v>
      </c>
      <c r="W40" s="109">
        <f t="shared" si="23"/>
        <v>3</v>
      </c>
      <c r="X40" s="110">
        <f t="array" ref="X40">INDEX('KALENDER MINGGU'!$B$6:$B$21,U40)</f>
        <v>46268</v>
      </c>
      <c r="Y40" s="110">
        <f t="array" ref="Y40">INDEX('KALENDER MINGGU'!$C$6:$C$21,V40)</f>
        <v>46288</v>
      </c>
      <c r="AB40" s="109" t="str">
        <f t="shared" si="24"/>
        <v/>
      </c>
      <c r="AC40" s="109" t="str">
        <f t="shared" si="25"/>
        <v/>
      </c>
      <c r="AD40" s="109" t="str">
        <f t="shared" si="26"/>
        <v/>
      </c>
      <c r="AE40" s="109" t="str">
        <f t="shared" si="27"/>
        <v/>
      </c>
      <c r="AF40" s="109" t="str">
        <f t="shared" si="28"/>
        <v/>
      </c>
      <c r="AG40" s="109" t="str">
        <f t="shared" si="29"/>
        <v/>
      </c>
      <c r="AH40" s="109" t="str">
        <f t="shared" si="30"/>
        <v>■</v>
      </c>
      <c r="AI40" s="109" t="str">
        <f t="shared" si="31"/>
        <v>■</v>
      </c>
      <c r="AJ40" s="109" t="str">
        <f t="shared" si="32"/>
        <v>■</v>
      </c>
      <c r="AK40" s="109" t="str">
        <f t="shared" si="33"/>
        <v/>
      </c>
      <c r="AL40" s="109" t="str">
        <f t="shared" si="34"/>
        <v/>
      </c>
      <c r="AM40" s="109" t="str">
        <f t="shared" si="35"/>
        <v/>
      </c>
      <c r="AN40" s="109" t="str">
        <f t="shared" si="36"/>
        <v/>
      </c>
      <c r="AO40" s="109" t="str">
        <f t="shared" si="37"/>
        <v/>
      </c>
      <c r="AP40" s="109" t="str">
        <f t="shared" si="38"/>
        <v/>
      </c>
      <c r="AQ40" s="109" t="str">
        <f t="shared" si="39"/>
        <v/>
      </c>
      <c r="AR40" t="s">
        <v>444</v>
      </c>
    </row>
    <row r="41" spans="1:44" ht="14.25" customHeight="1" x14ac:dyDescent="0.2">
      <c r="A41" s="22"/>
      <c r="B41" s="23">
        <v>10</v>
      </c>
      <c r="C41" s="46" t="s">
        <v>99</v>
      </c>
      <c r="D41" s="25" t="s">
        <v>77</v>
      </c>
      <c r="E41" s="47">
        <v>1</v>
      </c>
      <c r="F41" s="27" t="s">
        <v>41</v>
      </c>
      <c r="G41" s="28">
        <v>1000000</v>
      </c>
      <c r="H41" s="29">
        <f t="shared" si="21"/>
        <v>1000000</v>
      </c>
      <c r="I41" s="30">
        <v>3908731694</v>
      </c>
      <c r="J41" s="31">
        <f t="shared" si="22"/>
        <v>2.5583746296401588E-2</v>
      </c>
      <c r="K41" s="37"/>
      <c r="L41" s="22"/>
      <c r="M41" s="22"/>
      <c r="N41" s="22"/>
      <c r="O41" s="45"/>
      <c r="P41" s="22"/>
      <c r="Q41" s="22"/>
      <c r="R41" s="6"/>
      <c r="S41" s="6"/>
      <c r="T41" s="6"/>
      <c r="U41" s="108">
        <v>9</v>
      </c>
      <c r="V41" s="108">
        <v>10</v>
      </c>
      <c r="W41" s="109">
        <f t="shared" si="23"/>
        <v>2</v>
      </c>
      <c r="X41" s="110">
        <f t="array" ref="X41">INDEX('KALENDER MINGGU'!$B$6:$B$21,U41)</f>
        <v>46282</v>
      </c>
      <c r="Y41" s="110">
        <f t="array" ref="Y41">INDEX('KALENDER MINGGU'!$C$6:$C$21,V41)</f>
        <v>46295</v>
      </c>
      <c r="AB41" s="109" t="str">
        <f t="shared" si="24"/>
        <v/>
      </c>
      <c r="AC41" s="109" t="str">
        <f t="shared" si="25"/>
        <v/>
      </c>
      <c r="AD41" s="109" t="str">
        <f t="shared" si="26"/>
        <v/>
      </c>
      <c r="AE41" s="109" t="str">
        <f t="shared" si="27"/>
        <v/>
      </c>
      <c r="AF41" s="109" t="str">
        <f t="shared" si="28"/>
        <v/>
      </c>
      <c r="AG41" s="109" t="str">
        <f t="shared" si="29"/>
        <v/>
      </c>
      <c r="AH41" s="109" t="str">
        <f t="shared" si="30"/>
        <v/>
      </c>
      <c r="AI41" s="109" t="str">
        <f t="shared" si="31"/>
        <v/>
      </c>
      <c r="AJ41" s="109" t="str">
        <f t="shared" si="32"/>
        <v>■</v>
      </c>
      <c r="AK41" s="109" t="str">
        <f t="shared" si="33"/>
        <v>■</v>
      </c>
      <c r="AL41" s="109" t="str">
        <f t="shared" si="34"/>
        <v/>
      </c>
      <c r="AM41" s="109" t="str">
        <f t="shared" si="35"/>
        <v/>
      </c>
      <c r="AN41" s="109" t="str">
        <f t="shared" si="36"/>
        <v/>
      </c>
      <c r="AO41" s="109" t="str">
        <f t="shared" si="37"/>
        <v/>
      </c>
      <c r="AP41" s="109" t="str">
        <f t="shared" si="38"/>
        <v/>
      </c>
      <c r="AQ41" s="109" t="str">
        <f t="shared" si="39"/>
        <v/>
      </c>
      <c r="AR41" t="s">
        <v>445</v>
      </c>
    </row>
    <row r="42" spans="1:44" ht="14.25" customHeight="1" x14ac:dyDescent="0.2">
      <c r="A42" s="22"/>
      <c r="B42" s="23"/>
      <c r="C42" s="46"/>
      <c r="D42" s="25"/>
      <c r="E42" s="47"/>
      <c r="F42" s="27"/>
      <c r="G42" s="28"/>
      <c r="H42" s="49">
        <f>SUM(H32:H41)</f>
        <v>75810000</v>
      </c>
      <c r="I42" s="30">
        <v>3908731694</v>
      </c>
      <c r="J42" s="43">
        <f t="shared" si="22"/>
        <v>1.9395038067302042</v>
      </c>
      <c r="K42" s="37"/>
      <c r="L42" s="22"/>
      <c r="M42" s="22"/>
      <c r="N42" s="22"/>
      <c r="O42" s="45"/>
      <c r="P42" s="22"/>
      <c r="Q42" s="22"/>
      <c r="R42" s="6"/>
      <c r="S42" s="6"/>
      <c r="T42" s="6"/>
      <c r="U42" s="109">
        <f>MIN(U32:U41)</f>
        <v>7</v>
      </c>
      <c r="V42" s="109">
        <f>MAX(V32:V41)</f>
        <v>10</v>
      </c>
      <c r="W42" s="109">
        <f t="shared" si="23"/>
        <v>4</v>
      </c>
      <c r="X42" s="110">
        <f t="array" ref="X42">INDEX('KALENDER MINGGU'!$B$6:$B$21,U42)</f>
        <v>46268</v>
      </c>
      <c r="Y42" s="110">
        <f t="array" ref="Y42">INDEX('KALENDER MINGGU'!$C$6:$C$21,V42)</f>
        <v>46295</v>
      </c>
      <c r="Z42" s="111">
        <f>SUM(TS!M18:AB18)/TS!L17*100</f>
        <v>1.5235457063711912</v>
      </c>
      <c r="AA42" s="109" t="str">
        <f ca="1">IF(Z42&gt;=99.9,"COMPLETED",IF(U42&gt;'RENCANA MINGGUAN'!$J$7,"NOT STARTED",IF(V42&lt;'RENCANA MINGGUAN'!$J$7,"CRITICAL",IF(Z42+1&lt;W42,"DELAYED","ON SCHEDULE"))))</f>
        <v>DELAYED</v>
      </c>
      <c r="AB42" s="109" t="str">
        <f>IF(AND(U42&lt;=1,V42&gt;=1),"■","")</f>
        <v/>
      </c>
      <c r="AC42" s="109" t="str">
        <f>IF(AND(U42&lt;=2,V42&gt;=2),"■","")</f>
        <v/>
      </c>
      <c r="AD42" s="109" t="str">
        <f>IF(AND(U42&lt;=3,V42&gt;=3),"■","")</f>
        <v/>
      </c>
      <c r="AE42" s="109" t="str">
        <f>IF(AND(U42&lt;=4,V42&gt;=4),"■","")</f>
        <v/>
      </c>
      <c r="AF42" s="109" t="str">
        <f>IF(AND(U42&lt;=5,V42&gt;=5),"■","")</f>
        <v/>
      </c>
      <c r="AG42" s="109" t="str">
        <f>IF(AND(U42&lt;=6,V42&gt;=6),"■","")</f>
        <v/>
      </c>
      <c r="AH42" s="109" t="str">
        <f>IF(AND(U42&lt;=7,V42&gt;=7),"■","")</f>
        <v>■</v>
      </c>
      <c r="AI42" s="109" t="str">
        <f>IF(AND(U42&lt;=8,V42&gt;=8),"■","")</f>
        <v>■</v>
      </c>
      <c r="AJ42" s="109" t="str">
        <f>IF(AND(U42&lt;=9,V42&gt;=9),"■","")</f>
        <v>■</v>
      </c>
      <c r="AK42" s="109" t="str">
        <f>IF(AND(U42&lt;=10,V42&gt;=10),"■","")</f>
        <v>■</v>
      </c>
      <c r="AL42" s="109" t="str">
        <f>IF(AND(U42&lt;=11,V42&gt;=11),"■","")</f>
        <v/>
      </c>
      <c r="AM42" s="109" t="str">
        <f>IF(AND(U42&lt;=12,V42&gt;=12),"■","")</f>
        <v/>
      </c>
      <c r="AN42" s="109" t="str">
        <f>IF(AND(U42&lt;=13,V42&gt;=13),"■","")</f>
        <v/>
      </c>
      <c r="AO42" s="109" t="str">
        <f>IF(AND(U42&lt;=14,V42&gt;=14),"■","")</f>
        <v/>
      </c>
      <c r="AP42" s="109" t="str">
        <f>IF(AND(U42&lt;=15,V42&gt;=15),"■","")</f>
        <v/>
      </c>
      <c r="AQ42" s="109" t="str">
        <f>IF(AND(U42&lt;=16,V42&gt;=16),"■","")</f>
        <v/>
      </c>
    </row>
    <row r="43" spans="1:44" ht="14.25" customHeight="1" x14ac:dyDescent="0.2">
      <c r="A43" s="22"/>
      <c r="B43" s="50"/>
      <c r="C43" s="46"/>
      <c r="D43" s="25"/>
      <c r="E43" s="51"/>
      <c r="F43" s="27"/>
      <c r="G43" s="28"/>
      <c r="H43" s="29">
        <f t="shared" ref="H43:H49" si="40">E43*G43</f>
        <v>0</v>
      </c>
      <c r="I43" s="44"/>
      <c r="J43" s="44"/>
      <c r="K43" s="37"/>
      <c r="L43" s="22"/>
      <c r="M43" s="22"/>
      <c r="N43" s="22"/>
      <c r="O43" s="45"/>
      <c r="P43" s="22"/>
      <c r="Q43" s="22"/>
      <c r="R43" s="6"/>
      <c r="S43" s="6"/>
      <c r="T43" s="6"/>
    </row>
    <row r="44" spans="1:44" ht="14.25" customHeight="1" x14ac:dyDescent="0.25">
      <c r="A44" s="22"/>
      <c r="B44" s="16" t="s">
        <v>100</v>
      </c>
      <c r="C44" s="16" t="s">
        <v>101</v>
      </c>
      <c r="D44" s="16"/>
      <c r="E44" s="51"/>
      <c r="F44" s="27"/>
      <c r="G44" s="28"/>
      <c r="H44" s="29">
        <f t="shared" si="40"/>
        <v>0</v>
      </c>
      <c r="I44" s="44"/>
      <c r="J44" s="44"/>
      <c r="K44" s="37"/>
      <c r="L44" s="22"/>
      <c r="M44" s="22"/>
      <c r="N44" s="22"/>
      <c r="O44" s="45"/>
      <c r="P44" s="22"/>
      <c r="Q44" s="22"/>
      <c r="R44" s="6"/>
      <c r="S44" s="6"/>
      <c r="T44" s="6"/>
    </row>
    <row r="45" spans="1:44" ht="14.25" customHeight="1" x14ac:dyDescent="0.2">
      <c r="A45" s="22"/>
      <c r="B45" s="23">
        <v>1</v>
      </c>
      <c r="C45" s="46" t="s">
        <v>102</v>
      </c>
      <c r="D45" s="25" t="s">
        <v>84</v>
      </c>
      <c r="E45" s="47">
        <v>88</v>
      </c>
      <c r="F45" s="27" t="s">
        <v>57</v>
      </c>
      <c r="G45" s="28">
        <v>55000</v>
      </c>
      <c r="H45" s="29">
        <f t="shared" si="40"/>
        <v>4840000</v>
      </c>
      <c r="I45" s="30">
        <v>3908731694</v>
      </c>
      <c r="J45" s="31">
        <f t="shared" ref="J45:J50" si="41">H45/I45*100</f>
        <v>0.12382533207458367</v>
      </c>
      <c r="K45" s="37"/>
      <c r="L45" s="22"/>
      <c r="M45" s="22"/>
      <c r="N45" s="22"/>
      <c r="O45" s="45"/>
      <c r="P45" s="22"/>
      <c r="Q45" s="22"/>
      <c r="R45" s="6"/>
      <c r="S45" s="6"/>
      <c r="T45" s="6"/>
      <c r="U45" s="108">
        <v>4</v>
      </c>
      <c r="V45" s="108">
        <v>7</v>
      </c>
      <c r="W45" s="109">
        <f t="shared" ref="W45:W50" si="42">MAX(1,V45-U45+1)</f>
        <v>4</v>
      </c>
      <c r="X45" s="110">
        <f t="array" ref="X45">INDEX('KALENDER MINGGU'!$B$6:$B$21,U45)</f>
        <v>46247</v>
      </c>
      <c r="Y45" s="110">
        <f t="array" ref="Y45">INDEX('KALENDER MINGGU'!$C$6:$C$21,V45)</f>
        <v>46274</v>
      </c>
      <c r="AB45" s="109" t="str">
        <f>IF(AND($U45&lt;=1,$V45&gt;=1),"■","")</f>
        <v/>
      </c>
      <c r="AC45" s="109" t="str">
        <f>IF(AND($U45&lt;=2,$V45&gt;=2),"■","")</f>
        <v/>
      </c>
      <c r="AD45" s="109" t="str">
        <f>IF(AND($U45&lt;=3,$V45&gt;=3),"■","")</f>
        <v/>
      </c>
      <c r="AE45" s="109" t="str">
        <f>IF(AND($U45&lt;=4,$V45&gt;=4),"■","")</f>
        <v>■</v>
      </c>
      <c r="AF45" s="109" t="str">
        <f>IF(AND($U45&lt;=5,$V45&gt;=5),"■","")</f>
        <v>■</v>
      </c>
      <c r="AG45" s="109" t="str">
        <f>IF(AND($U45&lt;=6,$V45&gt;=6),"■","")</f>
        <v>■</v>
      </c>
      <c r="AH45" s="109" t="str">
        <f>IF(AND($U45&lt;=7,$V45&gt;=7),"■","")</f>
        <v>■</v>
      </c>
      <c r="AI45" s="109" t="str">
        <f>IF(AND($U45&lt;=8,$V45&gt;=8),"■","")</f>
        <v/>
      </c>
      <c r="AJ45" s="109" t="str">
        <f>IF(AND($U45&lt;=9,$V45&gt;=9),"■","")</f>
        <v/>
      </c>
      <c r="AK45" s="109" t="str">
        <f>IF(AND($U45&lt;=10,$V45&gt;=10),"■","")</f>
        <v/>
      </c>
      <c r="AL45" s="109" t="str">
        <f>IF(AND($U45&lt;=11,$V45&gt;=11),"■","")</f>
        <v/>
      </c>
      <c r="AM45" s="109" t="str">
        <f>IF(AND($U45&lt;=12,$V45&gt;=12),"■","")</f>
        <v/>
      </c>
      <c r="AN45" s="109" t="str">
        <f>IF(AND($U45&lt;=13,$V45&gt;=13),"■","")</f>
        <v/>
      </c>
      <c r="AO45" s="109" t="str">
        <f>IF(AND($U45&lt;=14,$V45&gt;=14),"■","")</f>
        <v/>
      </c>
      <c r="AP45" s="109" t="str">
        <f>IF(AND($U45&lt;=15,$V45&gt;=15),"■","")</f>
        <v/>
      </c>
      <c r="AQ45" s="109" t="str">
        <f>IF(AND($U45&lt;=16,$V45&gt;=16),"■","")</f>
        <v/>
      </c>
      <c r="AR45" t="s">
        <v>446</v>
      </c>
    </row>
    <row r="46" spans="1:44" ht="14.25" customHeight="1" x14ac:dyDescent="0.2">
      <c r="A46" s="22"/>
      <c r="B46" s="23">
        <v>2</v>
      </c>
      <c r="C46" s="46" t="s">
        <v>103</v>
      </c>
      <c r="D46" s="25" t="s">
        <v>104</v>
      </c>
      <c r="E46" s="47">
        <v>90</v>
      </c>
      <c r="F46" s="27" t="s">
        <v>57</v>
      </c>
      <c r="G46" s="28">
        <v>395000</v>
      </c>
      <c r="H46" s="29">
        <f t="shared" si="40"/>
        <v>35550000</v>
      </c>
      <c r="I46" s="30">
        <v>3908731694</v>
      </c>
      <c r="J46" s="31">
        <f t="shared" si="41"/>
        <v>0.90950218083707646</v>
      </c>
      <c r="K46" s="37"/>
      <c r="L46" s="22"/>
      <c r="M46" s="22"/>
      <c r="N46" s="22"/>
      <c r="O46" s="45"/>
      <c r="P46" s="22"/>
      <c r="Q46" s="22"/>
      <c r="R46" s="6"/>
      <c r="S46" s="6"/>
      <c r="T46" s="6"/>
      <c r="U46" s="108">
        <v>6</v>
      </c>
      <c r="V46" s="108">
        <v>10</v>
      </c>
      <c r="W46" s="109">
        <f t="shared" si="42"/>
        <v>5</v>
      </c>
      <c r="X46" s="110">
        <f t="array" ref="X46">INDEX('KALENDER MINGGU'!$B$6:$B$21,U46)</f>
        <v>46261</v>
      </c>
      <c r="Y46" s="110">
        <f t="array" ref="Y46">INDEX('KALENDER MINGGU'!$C$6:$C$21,V46)</f>
        <v>46295</v>
      </c>
      <c r="AB46" s="109" t="str">
        <f>IF(AND($U46&lt;=1,$V46&gt;=1),"■","")</f>
        <v/>
      </c>
      <c r="AC46" s="109" t="str">
        <f>IF(AND($U46&lt;=2,$V46&gt;=2),"■","")</f>
        <v/>
      </c>
      <c r="AD46" s="109" t="str">
        <f>IF(AND($U46&lt;=3,$V46&gt;=3),"■","")</f>
        <v/>
      </c>
      <c r="AE46" s="109" t="str">
        <f>IF(AND($U46&lt;=4,$V46&gt;=4),"■","")</f>
        <v/>
      </c>
      <c r="AF46" s="109" t="str">
        <f>IF(AND($U46&lt;=5,$V46&gt;=5),"■","")</f>
        <v/>
      </c>
      <c r="AG46" s="109" t="str">
        <f>IF(AND($U46&lt;=6,$V46&gt;=6),"■","")</f>
        <v>■</v>
      </c>
      <c r="AH46" s="109" t="str">
        <f>IF(AND($U46&lt;=7,$V46&gt;=7),"■","")</f>
        <v>■</v>
      </c>
      <c r="AI46" s="109" t="str">
        <f>IF(AND($U46&lt;=8,$V46&gt;=8),"■","")</f>
        <v>■</v>
      </c>
      <c r="AJ46" s="109" t="str">
        <f>IF(AND($U46&lt;=9,$V46&gt;=9),"■","")</f>
        <v>■</v>
      </c>
      <c r="AK46" s="109" t="str">
        <f>IF(AND($U46&lt;=10,$V46&gt;=10),"■","")</f>
        <v>■</v>
      </c>
      <c r="AL46" s="109" t="str">
        <f>IF(AND($U46&lt;=11,$V46&gt;=11),"■","")</f>
        <v/>
      </c>
      <c r="AM46" s="109" t="str">
        <f>IF(AND($U46&lt;=12,$V46&gt;=12),"■","")</f>
        <v/>
      </c>
      <c r="AN46" s="109" t="str">
        <f>IF(AND($U46&lt;=13,$V46&gt;=13),"■","")</f>
        <v/>
      </c>
      <c r="AO46" s="109" t="str">
        <f>IF(AND($U46&lt;=14,$V46&gt;=14),"■","")</f>
        <v/>
      </c>
      <c r="AP46" s="109" t="str">
        <f>IF(AND($U46&lt;=15,$V46&gt;=15),"■","")</f>
        <v/>
      </c>
      <c r="AQ46" s="109" t="str">
        <f>IF(AND($U46&lt;=16,$V46&gt;=16),"■","")</f>
        <v/>
      </c>
      <c r="AR46" t="s">
        <v>447</v>
      </c>
    </row>
    <row r="47" spans="1:44" ht="14.25" customHeight="1" x14ac:dyDescent="0.2">
      <c r="A47" s="22"/>
      <c r="B47" s="23">
        <v>3</v>
      </c>
      <c r="C47" s="46" t="s">
        <v>105</v>
      </c>
      <c r="D47" s="25"/>
      <c r="E47" s="51"/>
      <c r="F47" s="27"/>
      <c r="G47" s="28"/>
      <c r="H47" s="29">
        <f t="shared" si="40"/>
        <v>0</v>
      </c>
      <c r="I47" s="30">
        <v>3908731694</v>
      </c>
      <c r="J47" s="31">
        <f t="shared" si="41"/>
        <v>0</v>
      </c>
      <c r="K47" s="37"/>
      <c r="L47" s="22"/>
      <c r="M47" s="22"/>
      <c r="N47" s="22"/>
      <c r="O47" s="45"/>
      <c r="P47" s="22"/>
      <c r="Q47" s="22"/>
      <c r="R47" s="6"/>
      <c r="S47" s="6"/>
      <c r="T47" s="6"/>
      <c r="U47" s="108">
        <v>7</v>
      </c>
      <c r="V47" s="108">
        <v>13</v>
      </c>
      <c r="W47" s="109">
        <f t="shared" si="42"/>
        <v>7</v>
      </c>
      <c r="X47" s="110">
        <f t="array" ref="X47">INDEX('KALENDER MINGGU'!$B$6:$B$21,U47)</f>
        <v>46268</v>
      </c>
      <c r="Y47" s="110">
        <f t="array" ref="Y47">INDEX('KALENDER MINGGU'!$C$6:$C$21,V47)</f>
        <v>46316</v>
      </c>
      <c r="AB47" s="109" t="str">
        <f>IF(AND($U47&lt;=1,$V47&gt;=1),"■","")</f>
        <v/>
      </c>
      <c r="AC47" s="109" t="str">
        <f>IF(AND($U47&lt;=2,$V47&gt;=2),"■","")</f>
        <v/>
      </c>
      <c r="AD47" s="109" t="str">
        <f>IF(AND($U47&lt;=3,$V47&gt;=3),"■","")</f>
        <v/>
      </c>
      <c r="AE47" s="109" t="str">
        <f>IF(AND($U47&lt;=4,$V47&gt;=4),"■","")</f>
        <v/>
      </c>
      <c r="AF47" s="109" t="str">
        <f>IF(AND($U47&lt;=5,$V47&gt;=5),"■","")</f>
        <v/>
      </c>
      <c r="AG47" s="109" t="str">
        <f>IF(AND($U47&lt;=6,$V47&gt;=6),"■","")</f>
        <v/>
      </c>
      <c r="AH47" s="109" t="str">
        <f>IF(AND($U47&lt;=7,$V47&gt;=7),"■","")</f>
        <v>■</v>
      </c>
      <c r="AI47" s="109" t="str">
        <f>IF(AND($U47&lt;=8,$V47&gt;=8),"■","")</f>
        <v>■</v>
      </c>
      <c r="AJ47" s="109" t="str">
        <f>IF(AND($U47&lt;=9,$V47&gt;=9),"■","")</f>
        <v>■</v>
      </c>
      <c r="AK47" s="109" t="str">
        <f>IF(AND($U47&lt;=10,$V47&gt;=10),"■","")</f>
        <v>■</v>
      </c>
      <c r="AL47" s="109" t="str">
        <f>IF(AND($U47&lt;=11,$V47&gt;=11),"■","")</f>
        <v>■</v>
      </c>
      <c r="AM47" s="109" t="str">
        <f>IF(AND($U47&lt;=12,$V47&gt;=12),"■","")</f>
        <v>■</v>
      </c>
      <c r="AN47" s="109" t="str">
        <f>IF(AND($U47&lt;=13,$V47&gt;=13),"■","")</f>
        <v>■</v>
      </c>
      <c r="AO47" s="109" t="str">
        <f>IF(AND($U47&lt;=14,$V47&gt;=14),"■","")</f>
        <v/>
      </c>
      <c r="AP47" s="109" t="str">
        <f>IF(AND($U47&lt;=15,$V47&gt;=15),"■","")</f>
        <v/>
      </c>
      <c r="AQ47" s="109" t="str">
        <f>IF(AND($U47&lt;=16,$V47&gt;=16),"■","")</f>
        <v/>
      </c>
      <c r="AR47" t="s">
        <v>448</v>
      </c>
    </row>
    <row r="48" spans="1:44" ht="14.25" customHeight="1" x14ac:dyDescent="0.2">
      <c r="A48" s="22"/>
      <c r="B48" s="50"/>
      <c r="C48" s="46" t="s">
        <v>106</v>
      </c>
      <c r="D48" s="25" t="s">
        <v>107</v>
      </c>
      <c r="E48" s="47">
        <v>352</v>
      </c>
      <c r="F48" s="27" t="s">
        <v>108</v>
      </c>
      <c r="G48" s="28">
        <v>125000</v>
      </c>
      <c r="H48" s="29">
        <f t="shared" si="40"/>
        <v>44000000</v>
      </c>
      <c r="I48" s="30">
        <v>3908731694</v>
      </c>
      <c r="J48" s="31">
        <f t="shared" si="41"/>
        <v>1.1256848370416699</v>
      </c>
      <c r="K48" s="37"/>
      <c r="L48" s="22"/>
      <c r="M48" s="22"/>
      <c r="N48" s="22"/>
      <c r="O48" s="45"/>
      <c r="P48" s="22"/>
      <c r="Q48" s="22"/>
      <c r="R48" s="6"/>
      <c r="S48" s="6"/>
      <c r="T48" s="6"/>
      <c r="U48" s="108">
        <v>7</v>
      </c>
      <c r="V48" s="108">
        <v>13</v>
      </c>
      <c r="W48" s="109">
        <f t="shared" si="42"/>
        <v>7</v>
      </c>
      <c r="X48" s="110">
        <f t="array" ref="X48">INDEX('KALENDER MINGGU'!$B$6:$B$21,U48)</f>
        <v>46268</v>
      </c>
      <c r="Y48" s="110">
        <f t="array" ref="Y48">INDEX('KALENDER MINGGU'!$C$6:$C$21,V48)</f>
        <v>46316</v>
      </c>
      <c r="AB48" s="109" t="str">
        <f>IF(AND($U48&lt;=1,$V48&gt;=1),"■","")</f>
        <v/>
      </c>
      <c r="AC48" s="109" t="str">
        <f>IF(AND($U48&lt;=2,$V48&gt;=2),"■","")</f>
        <v/>
      </c>
      <c r="AD48" s="109" t="str">
        <f>IF(AND($U48&lt;=3,$V48&gt;=3),"■","")</f>
        <v/>
      </c>
      <c r="AE48" s="109" t="str">
        <f>IF(AND($U48&lt;=4,$V48&gt;=4),"■","")</f>
        <v/>
      </c>
      <c r="AF48" s="109" t="str">
        <f>IF(AND($U48&lt;=5,$V48&gt;=5),"■","")</f>
        <v/>
      </c>
      <c r="AG48" s="109" t="str">
        <f>IF(AND($U48&lt;=6,$V48&gt;=6),"■","")</f>
        <v/>
      </c>
      <c r="AH48" s="109" t="str">
        <f>IF(AND($U48&lt;=7,$V48&gt;=7),"■","")</f>
        <v>■</v>
      </c>
      <c r="AI48" s="109" t="str">
        <f>IF(AND($U48&lt;=8,$V48&gt;=8),"■","")</f>
        <v>■</v>
      </c>
      <c r="AJ48" s="109" t="str">
        <f>IF(AND($U48&lt;=9,$V48&gt;=9),"■","")</f>
        <v>■</v>
      </c>
      <c r="AK48" s="109" t="str">
        <f>IF(AND($U48&lt;=10,$V48&gt;=10),"■","")</f>
        <v>■</v>
      </c>
      <c r="AL48" s="109" t="str">
        <f>IF(AND($U48&lt;=11,$V48&gt;=11),"■","")</f>
        <v>■</v>
      </c>
      <c r="AM48" s="109" t="str">
        <f>IF(AND($U48&lt;=12,$V48&gt;=12),"■","")</f>
        <v>■</v>
      </c>
      <c r="AN48" s="109" t="str">
        <f>IF(AND($U48&lt;=13,$V48&gt;=13),"■","")</f>
        <v>■</v>
      </c>
      <c r="AO48" s="109" t="str">
        <f>IF(AND($U48&lt;=14,$V48&gt;=14),"■","")</f>
        <v/>
      </c>
      <c r="AP48" s="109" t="str">
        <f>IF(AND($U48&lt;=15,$V48&gt;=15),"■","")</f>
        <v/>
      </c>
      <c r="AQ48" s="109" t="str">
        <f>IF(AND($U48&lt;=16,$V48&gt;=16),"■","")</f>
        <v/>
      </c>
      <c r="AR48" t="s">
        <v>449</v>
      </c>
    </row>
    <row r="49" spans="1:44" ht="14.25" customHeight="1" x14ac:dyDescent="0.2">
      <c r="A49" s="22"/>
      <c r="B49" s="23">
        <v>4</v>
      </c>
      <c r="C49" s="46" t="s">
        <v>109</v>
      </c>
      <c r="D49" s="25" t="s">
        <v>110</v>
      </c>
      <c r="E49" s="47">
        <v>528</v>
      </c>
      <c r="F49" s="27" t="s">
        <v>111</v>
      </c>
      <c r="G49" s="28">
        <v>85000</v>
      </c>
      <c r="H49" s="29">
        <f t="shared" si="40"/>
        <v>44880000</v>
      </c>
      <c r="I49" s="30">
        <v>3908731694</v>
      </c>
      <c r="J49" s="31">
        <f t="shared" si="41"/>
        <v>1.1481985337825031</v>
      </c>
      <c r="K49" s="37"/>
      <c r="L49" s="22"/>
      <c r="M49" s="22"/>
      <c r="N49" s="22"/>
      <c r="O49" s="45"/>
      <c r="P49" s="22"/>
      <c r="Q49" s="22"/>
      <c r="R49" s="6"/>
      <c r="S49" s="6"/>
      <c r="T49" s="6"/>
      <c r="U49" s="108">
        <v>7</v>
      </c>
      <c r="V49" s="108">
        <v>13</v>
      </c>
      <c r="W49" s="109">
        <f t="shared" si="42"/>
        <v>7</v>
      </c>
      <c r="X49" s="110">
        <f t="array" ref="X49">INDEX('KALENDER MINGGU'!$B$6:$B$21,U49)</f>
        <v>46268</v>
      </c>
      <c r="Y49" s="110">
        <f t="array" ref="Y49">INDEX('KALENDER MINGGU'!$C$6:$C$21,V49)</f>
        <v>46316</v>
      </c>
      <c r="AB49" s="109" t="str">
        <f>IF(AND($U49&lt;=1,$V49&gt;=1),"■","")</f>
        <v/>
      </c>
      <c r="AC49" s="109" t="str">
        <f>IF(AND($U49&lt;=2,$V49&gt;=2),"■","")</f>
        <v/>
      </c>
      <c r="AD49" s="109" t="str">
        <f>IF(AND($U49&lt;=3,$V49&gt;=3),"■","")</f>
        <v/>
      </c>
      <c r="AE49" s="109" t="str">
        <f>IF(AND($U49&lt;=4,$V49&gt;=4),"■","")</f>
        <v/>
      </c>
      <c r="AF49" s="109" t="str">
        <f>IF(AND($U49&lt;=5,$V49&gt;=5),"■","")</f>
        <v/>
      </c>
      <c r="AG49" s="109" t="str">
        <f>IF(AND($U49&lt;=6,$V49&gt;=6),"■","")</f>
        <v/>
      </c>
      <c r="AH49" s="109" t="str">
        <f>IF(AND($U49&lt;=7,$V49&gt;=7),"■","")</f>
        <v>■</v>
      </c>
      <c r="AI49" s="109" t="str">
        <f>IF(AND($U49&lt;=8,$V49&gt;=8),"■","")</f>
        <v>■</v>
      </c>
      <c r="AJ49" s="109" t="str">
        <f>IF(AND($U49&lt;=9,$V49&gt;=9),"■","")</f>
        <v>■</v>
      </c>
      <c r="AK49" s="109" t="str">
        <f>IF(AND($U49&lt;=10,$V49&gt;=10),"■","")</f>
        <v>■</v>
      </c>
      <c r="AL49" s="109" t="str">
        <f>IF(AND($U49&lt;=11,$V49&gt;=11),"■","")</f>
        <v>■</v>
      </c>
      <c r="AM49" s="109" t="str">
        <f>IF(AND($U49&lt;=12,$V49&gt;=12),"■","")</f>
        <v>■</v>
      </c>
      <c r="AN49" s="109" t="str">
        <f>IF(AND($U49&lt;=13,$V49&gt;=13),"■","")</f>
        <v>■</v>
      </c>
      <c r="AO49" s="109" t="str">
        <f>IF(AND($U49&lt;=14,$V49&gt;=14),"■","")</f>
        <v/>
      </c>
      <c r="AP49" s="109" t="str">
        <f>IF(AND($U49&lt;=15,$V49&gt;=15),"■","")</f>
        <v/>
      </c>
      <c r="AQ49" s="109" t="str">
        <f>IF(AND($U49&lt;=16,$V49&gt;=16),"■","")</f>
        <v/>
      </c>
      <c r="AR49" t="s">
        <v>450</v>
      </c>
    </row>
    <row r="50" spans="1:44" ht="14.25" customHeight="1" x14ac:dyDescent="0.2">
      <c r="A50" s="22"/>
      <c r="B50" s="50"/>
      <c r="C50" s="46"/>
      <c r="D50" s="25"/>
      <c r="E50" s="51"/>
      <c r="F50" s="27"/>
      <c r="G50" s="28"/>
      <c r="H50" s="49">
        <f>SUM(H45:H49)</f>
        <v>129270000</v>
      </c>
      <c r="I50" s="30">
        <v>3908731694</v>
      </c>
      <c r="J50" s="43">
        <f t="shared" si="41"/>
        <v>3.3072108837358329</v>
      </c>
      <c r="K50" s="37"/>
      <c r="L50" s="22"/>
      <c r="M50" s="22"/>
      <c r="N50" s="22"/>
      <c r="O50" s="45"/>
      <c r="P50" s="22"/>
      <c r="Q50" s="22"/>
      <c r="R50" s="6"/>
      <c r="S50" s="6"/>
      <c r="T50" s="6"/>
      <c r="U50" s="109">
        <f>MIN(U45:U49)</f>
        <v>4</v>
      </c>
      <c r="V50" s="109">
        <f>MAX(V45:V49)</f>
        <v>13</v>
      </c>
      <c r="W50" s="109">
        <f t="shared" si="42"/>
        <v>10</v>
      </c>
      <c r="X50" s="110">
        <f t="array" ref="X50">INDEX('KALENDER MINGGU'!$B$6:$B$21,U50)</f>
        <v>46247</v>
      </c>
      <c r="Y50" s="110">
        <f t="array" ref="Y50">INDEX('KALENDER MINGGU'!$C$6:$C$21,V50)</f>
        <v>46316</v>
      </c>
      <c r="Z50" s="111">
        <f>SUM(TS!M20:AB20)/TS!L19*100</f>
        <v>22.688945617699389</v>
      </c>
      <c r="AA50" s="109" t="str">
        <f ca="1">IF(Z50&gt;=99.9,"COMPLETED",IF(U50&gt;'RENCANA MINGGUAN'!$J$7,"NOT STARTED",IF(V50&lt;'RENCANA MINGGUAN'!$J$7,"CRITICAL",IF(Z50+1&lt;W50,"DELAYED","ON SCHEDULE"))))</f>
        <v>ON SCHEDULE</v>
      </c>
      <c r="AB50" s="109" t="str">
        <f>IF(AND(U50&lt;=1,V50&gt;=1),"■","")</f>
        <v/>
      </c>
      <c r="AC50" s="109" t="str">
        <f>IF(AND(U50&lt;=2,V50&gt;=2),"■","")</f>
        <v/>
      </c>
      <c r="AD50" s="109" t="str">
        <f>IF(AND(U50&lt;=3,V50&gt;=3),"■","")</f>
        <v/>
      </c>
      <c r="AE50" s="109" t="str">
        <f>IF(AND(U50&lt;=4,V50&gt;=4),"■","")</f>
        <v>■</v>
      </c>
      <c r="AF50" s="109" t="str">
        <f>IF(AND(U50&lt;=5,V50&gt;=5),"■","")</f>
        <v>■</v>
      </c>
      <c r="AG50" s="109" t="str">
        <f>IF(AND(U50&lt;=6,V50&gt;=6),"■","")</f>
        <v>■</v>
      </c>
      <c r="AH50" s="109" t="str">
        <f>IF(AND(U50&lt;=7,V50&gt;=7),"■","")</f>
        <v>■</v>
      </c>
      <c r="AI50" s="109" t="str">
        <f>IF(AND(U50&lt;=8,V50&gt;=8),"■","")</f>
        <v>■</v>
      </c>
      <c r="AJ50" s="109" t="str">
        <f>IF(AND(U50&lt;=9,V50&gt;=9),"■","")</f>
        <v>■</v>
      </c>
      <c r="AK50" s="109" t="str">
        <f>IF(AND(U50&lt;=10,V50&gt;=10),"■","")</f>
        <v>■</v>
      </c>
      <c r="AL50" s="109" t="str">
        <f>IF(AND(U50&lt;=11,V50&gt;=11),"■","")</f>
        <v>■</v>
      </c>
      <c r="AM50" s="109" t="str">
        <f>IF(AND(U50&lt;=12,V50&gt;=12),"■","")</f>
        <v>■</v>
      </c>
      <c r="AN50" s="109" t="str">
        <f>IF(AND(U50&lt;=13,V50&gt;=13),"■","")</f>
        <v>■</v>
      </c>
      <c r="AO50" s="109" t="str">
        <f>IF(AND(U50&lt;=14,V50&gt;=14),"■","")</f>
        <v/>
      </c>
      <c r="AP50" s="109" t="str">
        <f>IF(AND(U50&lt;=15,V50&gt;=15),"■","")</f>
        <v/>
      </c>
      <c r="AQ50" s="109" t="str">
        <f>IF(AND(U50&lt;=16,V50&gt;=16),"■","")</f>
        <v/>
      </c>
    </row>
    <row r="51" spans="1:44" ht="14.25" customHeight="1" x14ac:dyDescent="0.2">
      <c r="A51" s="22"/>
      <c r="B51" s="50"/>
      <c r="C51" s="46"/>
      <c r="D51" s="25"/>
      <c r="E51" s="51"/>
      <c r="F51" s="27"/>
      <c r="G51" s="28"/>
      <c r="H51" s="29">
        <f t="shared" ref="H51:H58" si="43">E51*G51</f>
        <v>0</v>
      </c>
      <c r="I51" s="44"/>
      <c r="J51" s="44"/>
      <c r="K51" s="37"/>
      <c r="L51" s="22"/>
      <c r="M51" s="22"/>
      <c r="N51" s="22"/>
      <c r="O51" s="45"/>
      <c r="P51" s="22"/>
      <c r="Q51" s="22"/>
      <c r="R51" s="6"/>
      <c r="S51" s="6"/>
      <c r="T51" s="6"/>
    </row>
    <row r="52" spans="1:44" ht="14.25" customHeight="1" x14ac:dyDescent="0.25">
      <c r="A52" s="22"/>
      <c r="B52" s="16" t="s">
        <v>112</v>
      </c>
      <c r="C52" s="16" t="s">
        <v>113</v>
      </c>
      <c r="D52" s="16"/>
      <c r="E52" s="51"/>
      <c r="F52" s="27"/>
      <c r="G52" s="28"/>
      <c r="H52" s="29">
        <f t="shared" si="43"/>
        <v>0</v>
      </c>
      <c r="I52" s="44"/>
      <c r="J52" s="44"/>
      <c r="K52" s="37"/>
      <c r="L52" s="22"/>
      <c r="M52" s="22"/>
      <c r="N52" s="22"/>
      <c r="O52" s="45"/>
      <c r="P52" s="22"/>
      <c r="Q52" s="22"/>
      <c r="R52" s="6"/>
      <c r="S52" s="6"/>
      <c r="T52" s="6"/>
    </row>
    <row r="53" spans="1:44" ht="14.25" customHeight="1" x14ac:dyDescent="0.2">
      <c r="A53" s="22"/>
      <c r="B53" s="23">
        <v>1</v>
      </c>
      <c r="C53" s="46" t="s">
        <v>114</v>
      </c>
      <c r="D53" s="25" t="s">
        <v>59</v>
      </c>
      <c r="E53" s="47">
        <v>85</v>
      </c>
      <c r="F53" s="27" t="s">
        <v>57</v>
      </c>
      <c r="G53" s="28">
        <v>61100</v>
      </c>
      <c r="H53" s="29">
        <f t="shared" si="43"/>
        <v>5193500</v>
      </c>
      <c r="I53" s="30">
        <v>3908731694</v>
      </c>
      <c r="J53" s="31">
        <f t="shared" ref="J53:J59" si="44">H53/I53*100</f>
        <v>0.13286918639036166</v>
      </c>
      <c r="K53" s="37"/>
      <c r="L53" s="22"/>
      <c r="M53" s="22"/>
      <c r="N53" s="22"/>
      <c r="O53" s="45"/>
      <c r="P53" s="22"/>
      <c r="Q53" s="22"/>
      <c r="R53" s="6"/>
      <c r="S53" s="6"/>
      <c r="T53" s="6"/>
      <c r="U53" s="108">
        <v>13</v>
      </c>
      <c r="V53" s="108">
        <v>14</v>
      </c>
      <c r="W53" s="109">
        <f t="shared" ref="W53:W59" si="45">MAX(1,V53-U53+1)</f>
        <v>2</v>
      </c>
      <c r="X53" s="110">
        <f t="array" ref="X53">INDEX('KALENDER MINGGU'!$B$6:$B$21,U53)</f>
        <v>46310</v>
      </c>
      <c r="Y53" s="110">
        <f t="array" ref="Y53">INDEX('KALENDER MINGGU'!$C$6:$C$21,V53)</f>
        <v>46323</v>
      </c>
      <c r="AB53" s="109" t="str">
        <f t="shared" ref="AB53:AB58" si="46">IF(AND($U53&lt;=1,$V53&gt;=1),"■","")</f>
        <v/>
      </c>
      <c r="AC53" s="109" t="str">
        <f t="shared" ref="AC53:AC58" si="47">IF(AND($U53&lt;=2,$V53&gt;=2),"■","")</f>
        <v/>
      </c>
      <c r="AD53" s="109" t="str">
        <f t="shared" ref="AD53:AD58" si="48">IF(AND($U53&lt;=3,$V53&gt;=3),"■","")</f>
        <v/>
      </c>
      <c r="AE53" s="109" t="str">
        <f t="shared" ref="AE53:AE58" si="49">IF(AND($U53&lt;=4,$V53&gt;=4),"■","")</f>
        <v/>
      </c>
      <c r="AF53" s="109" t="str">
        <f t="shared" ref="AF53:AF58" si="50">IF(AND($U53&lt;=5,$V53&gt;=5),"■","")</f>
        <v/>
      </c>
      <c r="AG53" s="109" t="str">
        <f t="shared" ref="AG53:AG58" si="51">IF(AND($U53&lt;=6,$V53&gt;=6),"■","")</f>
        <v/>
      </c>
      <c r="AH53" s="109" t="str">
        <f t="shared" ref="AH53:AH58" si="52">IF(AND($U53&lt;=7,$V53&gt;=7),"■","")</f>
        <v/>
      </c>
      <c r="AI53" s="109" t="str">
        <f t="shared" ref="AI53:AI58" si="53">IF(AND($U53&lt;=8,$V53&gt;=8),"■","")</f>
        <v/>
      </c>
      <c r="AJ53" s="109" t="str">
        <f t="shared" ref="AJ53:AJ58" si="54">IF(AND($U53&lt;=9,$V53&gt;=9),"■","")</f>
        <v/>
      </c>
      <c r="AK53" s="109" t="str">
        <f t="shared" ref="AK53:AK58" si="55">IF(AND($U53&lt;=10,$V53&gt;=10),"■","")</f>
        <v/>
      </c>
      <c r="AL53" s="109" t="str">
        <f t="shared" ref="AL53:AL58" si="56">IF(AND($U53&lt;=11,$V53&gt;=11),"■","")</f>
        <v/>
      </c>
      <c r="AM53" s="109" t="str">
        <f t="shared" ref="AM53:AM58" si="57">IF(AND($U53&lt;=12,$V53&gt;=12),"■","")</f>
        <v/>
      </c>
      <c r="AN53" s="109" t="str">
        <f t="shared" ref="AN53:AN58" si="58">IF(AND($U53&lt;=13,$V53&gt;=13),"■","")</f>
        <v>■</v>
      </c>
      <c r="AO53" s="109" t="str">
        <f t="shared" ref="AO53:AO58" si="59">IF(AND($U53&lt;=14,$V53&gt;=14),"■","")</f>
        <v>■</v>
      </c>
      <c r="AP53" s="109" t="str">
        <f t="shared" ref="AP53:AP58" si="60">IF(AND($U53&lt;=15,$V53&gt;=15),"■","")</f>
        <v/>
      </c>
      <c r="AQ53" s="109" t="str">
        <f t="shared" ref="AQ53:AQ58" si="61">IF(AND($U53&lt;=16,$V53&gt;=16),"■","")</f>
        <v/>
      </c>
      <c r="AR53" t="s">
        <v>451</v>
      </c>
    </row>
    <row r="54" spans="1:44" ht="14.25" customHeight="1" x14ac:dyDescent="0.2">
      <c r="A54" s="22"/>
      <c r="B54" s="23">
        <v>2</v>
      </c>
      <c r="C54" s="46" t="s">
        <v>115</v>
      </c>
      <c r="D54" s="25" t="s">
        <v>116</v>
      </c>
      <c r="E54" s="47">
        <v>100</v>
      </c>
      <c r="F54" s="27" t="s">
        <v>57</v>
      </c>
      <c r="G54" s="28">
        <v>85000</v>
      </c>
      <c r="H54" s="29">
        <f t="shared" si="43"/>
        <v>8500000</v>
      </c>
      <c r="I54" s="30">
        <v>3908731694</v>
      </c>
      <c r="J54" s="31">
        <f t="shared" si="44"/>
        <v>0.21746184351941347</v>
      </c>
      <c r="K54" s="37"/>
      <c r="L54" s="22"/>
      <c r="M54" s="22"/>
      <c r="N54" s="22"/>
      <c r="O54" s="45"/>
      <c r="P54" s="22"/>
      <c r="Q54" s="22"/>
      <c r="R54" s="6"/>
      <c r="S54" s="6"/>
      <c r="T54" s="6"/>
      <c r="U54" s="108">
        <v>13</v>
      </c>
      <c r="V54" s="108">
        <v>14</v>
      </c>
      <c r="W54" s="109">
        <f t="shared" si="45"/>
        <v>2</v>
      </c>
      <c r="X54" s="110">
        <f t="array" ref="X54">INDEX('KALENDER MINGGU'!$B$6:$B$21,U54)</f>
        <v>46310</v>
      </c>
      <c r="Y54" s="110">
        <f t="array" ref="Y54">INDEX('KALENDER MINGGU'!$C$6:$C$21,V54)</f>
        <v>46323</v>
      </c>
      <c r="AB54" s="109" t="str">
        <f t="shared" si="46"/>
        <v/>
      </c>
      <c r="AC54" s="109" t="str">
        <f t="shared" si="47"/>
        <v/>
      </c>
      <c r="AD54" s="109" t="str">
        <f t="shared" si="48"/>
        <v/>
      </c>
      <c r="AE54" s="109" t="str">
        <f t="shared" si="49"/>
        <v/>
      </c>
      <c r="AF54" s="109" t="str">
        <f t="shared" si="50"/>
        <v/>
      </c>
      <c r="AG54" s="109" t="str">
        <f t="shared" si="51"/>
        <v/>
      </c>
      <c r="AH54" s="109" t="str">
        <f t="shared" si="52"/>
        <v/>
      </c>
      <c r="AI54" s="109" t="str">
        <f t="shared" si="53"/>
        <v/>
      </c>
      <c r="AJ54" s="109" t="str">
        <f t="shared" si="54"/>
        <v/>
      </c>
      <c r="AK54" s="109" t="str">
        <f t="shared" si="55"/>
        <v/>
      </c>
      <c r="AL54" s="109" t="str">
        <f t="shared" si="56"/>
        <v/>
      </c>
      <c r="AM54" s="109" t="str">
        <f t="shared" si="57"/>
        <v/>
      </c>
      <c r="AN54" s="109" t="str">
        <f t="shared" si="58"/>
        <v>■</v>
      </c>
      <c r="AO54" s="109" t="str">
        <f t="shared" si="59"/>
        <v>■</v>
      </c>
      <c r="AP54" s="109" t="str">
        <f t="shared" si="60"/>
        <v/>
      </c>
      <c r="AQ54" s="109" t="str">
        <f t="shared" si="61"/>
        <v/>
      </c>
      <c r="AR54" t="s">
        <v>452</v>
      </c>
    </row>
    <row r="55" spans="1:44" ht="14.25" customHeight="1" x14ac:dyDescent="0.2">
      <c r="A55" s="22"/>
      <c r="B55" s="23">
        <v>3</v>
      </c>
      <c r="C55" s="46" t="s">
        <v>117</v>
      </c>
      <c r="D55" s="25"/>
      <c r="E55" s="47"/>
      <c r="F55" s="27"/>
      <c r="G55" s="28"/>
      <c r="H55" s="29">
        <f t="shared" si="43"/>
        <v>0</v>
      </c>
      <c r="I55" s="30">
        <v>3908731694</v>
      </c>
      <c r="J55" s="31">
        <f t="shared" si="44"/>
        <v>0</v>
      </c>
      <c r="K55" s="37"/>
      <c r="L55" s="22"/>
      <c r="M55" s="22"/>
      <c r="N55" s="22"/>
      <c r="O55" s="45"/>
      <c r="P55" s="22"/>
      <c r="Q55" s="22"/>
      <c r="R55" s="6"/>
      <c r="S55" s="6"/>
      <c r="T55" s="6"/>
      <c r="U55" s="108">
        <v>13</v>
      </c>
      <c r="V55" s="108">
        <v>14</v>
      </c>
      <c r="W55" s="109">
        <f t="shared" si="45"/>
        <v>2</v>
      </c>
      <c r="X55" s="110">
        <f t="array" ref="X55">INDEX('KALENDER MINGGU'!$B$6:$B$21,U55)</f>
        <v>46310</v>
      </c>
      <c r="Y55" s="110">
        <f t="array" ref="Y55">INDEX('KALENDER MINGGU'!$C$6:$C$21,V55)</f>
        <v>46323</v>
      </c>
      <c r="AB55" s="109" t="str">
        <f t="shared" si="46"/>
        <v/>
      </c>
      <c r="AC55" s="109" t="str">
        <f t="shared" si="47"/>
        <v/>
      </c>
      <c r="AD55" s="109" t="str">
        <f t="shared" si="48"/>
        <v/>
      </c>
      <c r="AE55" s="109" t="str">
        <f t="shared" si="49"/>
        <v/>
      </c>
      <c r="AF55" s="109" t="str">
        <f t="shared" si="50"/>
        <v/>
      </c>
      <c r="AG55" s="109" t="str">
        <f t="shared" si="51"/>
        <v/>
      </c>
      <c r="AH55" s="109" t="str">
        <f t="shared" si="52"/>
        <v/>
      </c>
      <c r="AI55" s="109" t="str">
        <f t="shared" si="53"/>
        <v/>
      </c>
      <c r="AJ55" s="109" t="str">
        <f t="shared" si="54"/>
        <v/>
      </c>
      <c r="AK55" s="109" t="str">
        <f t="shared" si="55"/>
        <v/>
      </c>
      <c r="AL55" s="109" t="str">
        <f t="shared" si="56"/>
        <v/>
      </c>
      <c r="AM55" s="109" t="str">
        <f t="shared" si="57"/>
        <v/>
      </c>
      <c r="AN55" s="109" t="str">
        <f t="shared" si="58"/>
        <v>■</v>
      </c>
      <c r="AO55" s="109" t="str">
        <f t="shared" si="59"/>
        <v>■</v>
      </c>
      <c r="AP55" s="109" t="str">
        <f t="shared" si="60"/>
        <v/>
      </c>
      <c r="AQ55" s="109" t="str">
        <f t="shared" si="61"/>
        <v/>
      </c>
      <c r="AR55" t="s">
        <v>453</v>
      </c>
    </row>
    <row r="56" spans="1:44" ht="14.25" customHeight="1" x14ac:dyDescent="0.2">
      <c r="A56" s="22"/>
      <c r="B56" s="50"/>
      <c r="C56" s="46" t="s">
        <v>118</v>
      </c>
      <c r="D56" s="25"/>
      <c r="E56" s="47">
        <v>1</v>
      </c>
      <c r="F56" s="27" t="s">
        <v>73</v>
      </c>
      <c r="G56" s="28">
        <v>4000000</v>
      </c>
      <c r="H56" s="29">
        <f t="shared" si="43"/>
        <v>4000000</v>
      </c>
      <c r="I56" s="30">
        <v>3908731694</v>
      </c>
      <c r="J56" s="31">
        <f t="shared" si="44"/>
        <v>0.10233498518560635</v>
      </c>
      <c r="K56" s="37"/>
      <c r="L56" s="22"/>
      <c r="M56" s="22"/>
      <c r="N56" s="22"/>
      <c r="O56" s="45"/>
      <c r="P56" s="22"/>
      <c r="Q56" s="22"/>
      <c r="R56" s="6"/>
      <c r="S56" s="6"/>
      <c r="T56" s="6"/>
      <c r="U56" s="108">
        <v>13</v>
      </c>
      <c r="V56" s="108">
        <v>14</v>
      </c>
      <c r="W56" s="109">
        <f t="shared" si="45"/>
        <v>2</v>
      </c>
      <c r="X56" s="110">
        <f t="array" ref="X56">INDEX('KALENDER MINGGU'!$B$6:$B$21,U56)</f>
        <v>46310</v>
      </c>
      <c r="Y56" s="110">
        <f t="array" ref="Y56">INDEX('KALENDER MINGGU'!$C$6:$C$21,V56)</f>
        <v>46323</v>
      </c>
      <c r="AB56" s="109" t="str">
        <f t="shared" si="46"/>
        <v/>
      </c>
      <c r="AC56" s="109" t="str">
        <f t="shared" si="47"/>
        <v/>
      </c>
      <c r="AD56" s="109" t="str">
        <f t="shared" si="48"/>
        <v/>
      </c>
      <c r="AE56" s="109" t="str">
        <f t="shared" si="49"/>
        <v/>
      </c>
      <c r="AF56" s="109" t="str">
        <f t="shared" si="50"/>
        <v/>
      </c>
      <c r="AG56" s="109" t="str">
        <f t="shared" si="51"/>
        <v/>
      </c>
      <c r="AH56" s="109" t="str">
        <f t="shared" si="52"/>
        <v/>
      </c>
      <c r="AI56" s="109" t="str">
        <f t="shared" si="53"/>
        <v/>
      </c>
      <c r="AJ56" s="109" t="str">
        <f t="shared" si="54"/>
        <v/>
      </c>
      <c r="AK56" s="109" t="str">
        <f t="shared" si="55"/>
        <v/>
      </c>
      <c r="AL56" s="109" t="str">
        <f t="shared" si="56"/>
        <v/>
      </c>
      <c r="AM56" s="109" t="str">
        <f t="shared" si="57"/>
        <v/>
      </c>
      <c r="AN56" s="109" t="str">
        <f t="shared" si="58"/>
        <v>■</v>
      </c>
      <c r="AO56" s="109" t="str">
        <f t="shared" si="59"/>
        <v>■</v>
      </c>
      <c r="AP56" s="109" t="str">
        <f t="shared" si="60"/>
        <v/>
      </c>
      <c r="AQ56" s="109" t="str">
        <f t="shared" si="61"/>
        <v/>
      </c>
      <c r="AR56" t="s">
        <v>454</v>
      </c>
    </row>
    <row r="57" spans="1:44" ht="14.25" customHeight="1" x14ac:dyDescent="0.2">
      <c r="A57" s="22"/>
      <c r="B57" s="50"/>
      <c r="C57" s="46" t="s">
        <v>119</v>
      </c>
      <c r="D57" s="25" t="s">
        <v>120</v>
      </c>
      <c r="E57" s="47">
        <v>1</v>
      </c>
      <c r="F57" s="27" t="s">
        <v>73</v>
      </c>
      <c r="G57" s="28">
        <v>30000000</v>
      </c>
      <c r="H57" s="29">
        <f t="shared" si="43"/>
        <v>30000000</v>
      </c>
      <c r="I57" s="30">
        <v>3908731694</v>
      </c>
      <c r="J57" s="31">
        <f t="shared" si="44"/>
        <v>0.76751238889204765</v>
      </c>
      <c r="K57" s="37"/>
      <c r="L57" s="22"/>
      <c r="M57" s="22"/>
      <c r="N57" s="22"/>
      <c r="O57" s="45"/>
      <c r="P57" s="22"/>
      <c r="Q57" s="22"/>
      <c r="R57" s="6"/>
      <c r="S57" s="6"/>
      <c r="T57" s="6"/>
      <c r="U57" s="108">
        <v>13</v>
      </c>
      <c r="V57" s="108">
        <v>14</v>
      </c>
      <c r="W57" s="109">
        <f t="shared" si="45"/>
        <v>2</v>
      </c>
      <c r="X57" s="110">
        <f t="array" ref="X57">INDEX('KALENDER MINGGU'!$B$6:$B$21,U57)</f>
        <v>46310</v>
      </c>
      <c r="Y57" s="110">
        <f t="array" ref="Y57">INDEX('KALENDER MINGGU'!$C$6:$C$21,V57)</f>
        <v>46323</v>
      </c>
      <c r="AB57" s="109" t="str">
        <f t="shared" si="46"/>
        <v/>
      </c>
      <c r="AC57" s="109" t="str">
        <f t="shared" si="47"/>
        <v/>
      </c>
      <c r="AD57" s="109" t="str">
        <f t="shared" si="48"/>
        <v/>
      </c>
      <c r="AE57" s="109" t="str">
        <f t="shared" si="49"/>
        <v/>
      </c>
      <c r="AF57" s="109" t="str">
        <f t="shared" si="50"/>
        <v/>
      </c>
      <c r="AG57" s="109" t="str">
        <f t="shared" si="51"/>
        <v/>
      </c>
      <c r="AH57" s="109" t="str">
        <f t="shared" si="52"/>
        <v/>
      </c>
      <c r="AI57" s="109" t="str">
        <f t="shared" si="53"/>
        <v/>
      </c>
      <c r="AJ57" s="109" t="str">
        <f t="shared" si="54"/>
        <v/>
      </c>
      <c r="AK57" s="109" t="str">
        <f t="shared" si="55"/>
        <v/>
      </c>
      <c r="AL57" s="109" t="str">
        <f t="shared" si="56"/>
        <v/>
      </c>
      <c r="AM57" s="109" t="str">
        <f t="shared" si="57"/>
        <v/>
      </c>
      <c r="AN57" s="109" t="str">
        <f t="shared" si="58"/>
        <v>■</v>
      </c>
      <c r="AO57" s="109" t="str">
        <f t="shared" si="59"/>
        <v>■</v>
      </c>
      <c r="AP57" s="109" t="str">
        <f t="shared" si="60"/>
        <v/>
      </c>
      <c r="AQ57" s="109" t="str">
        <f t="shared" si="61"/>
        <v/>
      </c>
      <c r="AR57" t="s">
        <v>455</v>
      </c>
    </row>
    <row r="58" spans="1:44" ht="14.25" customHeight="1" x14ac:dyDescent="0.2">
      <c r="A58" s="22"/>
      <c r="B58" s="50"/>
      <c r="C58" s="46" t="s">
        <v>121</v>
      </c>
      <c r="D58" s="25"/>
      <c r="E58" s="47">
        <v>1</v>
      </c>
      <c r="F58" s="27" t="s">
        <v>73</v>
      </c>
      <c r="G58" s="28">
        <v>2500000</v>
      </c>
      <c r="H58" s="29">
        <f t="shared" si="43"/>
        <v>2500000</v>
      </c>
      <c r="I58" s="30">
        <v>3908731694</v>
      </c>
      <c r="J58" s="31">
        <f t="shared" si="44"/>
        <v>6.3959365741003971E-2</v>
      </c>
      <c r="K58" s="37"/>
      <c r="L58" s="22"/>
      <c r="M58" s="22"/>
      <c r="N58" s="22"/>
      <c r="O58" s="45"/>
      <c r="P58" s="22"/>
      <c r="Q58" s="22"/>
      <c r="R58" s="6"/>
      <c r="S58" s="6"/>
      <c r="T58" s="6"/>
      <c r="U58" s="108">
        <v>13</v>
      </c>
      <c r="V58" s="108">
        <v>14</v>
      </c>
      <c r="W58" s="109">
        <f t="shared" si="45"/>
        <v>2</v>
      </c>
      <c r="X58" s="110">
        <f t="array" ref="X58">INDEX('KALENDER MINGGU'!$B$6:$B$21,U58)</f>
        <v>46310</v>
      </c>
      <c r="Y58" s="110">
        <f t="array" ref="Y58">INDEX('KALENDER MINGGU'!$C$6:$C$21,V58)</f>
        <v>46323</v>
      </c>
      <c r="AB58" s="109" t="str">
        <f t="shared" si="46"/>
        <v/>
      </c>
      <c r="AC58" s="109" t="str">
        <f t="shared" si="47"/>
        <v/>
      </c>
      <c r="AD58" s="109" t="str">
        <f t="shared" si="48"/>
        <v/>
      </c>
      <c r="AE58" s="109" t="str">
        <f t="shared" si="49"/>
        <v/>
      </c>
      <c r="AF58" s="109" t="str">
        <f t="shared" si="50"/>
        <v/>
      </c>
      <c r="AG58" s="109" t="str">
        <f t="shared" si="51"/>
        <v/>
      </c>
      <c r="AH58" s="109" t="str">
        <f t="shared" si="52"/>
        <v/>
      </c>
      <c r="AI58" s="109" t="str">
        <f t="shared" si="53"/>
        <v/>
      </c>
      <c r="AJ58" s="109" t="str">
        <f t="shared" si="54"/>
        <v/>
      </c>
      <c r="AK58" s="109" t="str">
        <f t="shared" si="55"/>
        <v/>
      </c>
      <c r="AL58" s="109" t="str">
        <f t="shared" si="56"/>
        <v/>
      </c>
      <c r="AM58" s="109" t="str">
        <f t="shared" si="57"/>
        <v/>
      </c>
      <c r="AN58" s="109" t="str">
        <f t="shared" si="58"/>
        <v>■</v>
      </c>
      <c r="AO58" s="109" t="str">
        <f t="shared" si="59"/>
        <v>■</v>
      </c>
      <c r="AP58" s="109" t="str">
        <f t="shared" si="60"/>
        <v/>
      </c>
      <c r="AQ58" s="109" t="str">
        <f t="shared" si="61"/>
        <v/>
      </c>
      <c r="AR58" t="s">
        <v>456</v>
      </c>
    </row>
    <row r="59" spans="1:44" ht="14.25" customHeight="1" x14ac:dyDescent="0.2">
      <c r="A59" s="22"/>
      <c r="B59" s="50"/>
      <c r="C59" s="46"/>
      <c r="D59" s="25"/>
      <c r="E59" s="51"/>
      <c r="F59" s="27"/>
      <c r="G59" s="28"/>
      <c r="H59" s="49">
        <f>SUM(H53:H58)</f>
        <v>50193500</v>
      </c>
      <c r="I59" s="30">
        <v>3908731694</v>
      </c>
      <c r="J59" s="43">
        <f t="shared" si="44"/>
        <v>1.2841377697284331</v>
      </c>
      <c r="K59" s="37"/>
      <c r="L59" s="22"/>
      <c r="M59" s="22"/>
      <c r="N59" s="22"/>
      <c r="O59" s="45"/>
      <c r="P59" s="22"/>
      <c r="Q59" s="22"/>
      <c r="R59" s="6"/>
      <c r="S59" s="6"/>
      <c r="T59" s="6"/>
      <c r="U59" s="109">
        <f>MIN(U53:U58)</f>
        <v>13</v>
      </c>
      <c r="V59" s="109">
        <f>MAX(V53:V58)</f>
        <v>14</v>
      </c>
      <c r="W59" s="109">
        <f t="shared" si="45"/>
        <v>2</v>
      </c>
      <c r="X59" s="110">
        <f t="array" ref="X59">INDEX('KALENDER MINGGU'!$B$6:$B$21,U59)</f>
        <v>46310</v>
      </c>
      <c r="Y59" s="110">
        <f t="array" ref="Y59">INDEX('KALENDER MINGGU'!$C$6:$C$21,V59)</f>
        <v>46323</v>
      </c>
      <c r="Z59" s="111">
        <f>SUM(TS!M22:AB22)/TS!L21*100</f>
        <v>24.450177811868066</v>
      </c>
      <c r="AA59" s="109" t="str">
        <f ca="1">IF(Z59&gt;=99.9,"COMPLETED",IF(U59&gt;'RENCANA MINGGUAN'!$J$7,"NOT STARTED",IF(V59&lt;'RENCANA MINGGUAN'!$J$7,"CRITICAL",IF(Z59+1&lt;W59,"DELAYED","ON SCHEDULE"))))</f>
        <v>NOT STARTED</v>
      </c>
      <c r="AB59" s="109" t="str">
        <f>IF(AND(U59&lt;=1,V59&gt;=1),"■","")</f>
        <v/>
      </c>
      <c r="AC59" s="109" t="str">
        <f>IF(AND(U59&lt;=2,V59&gt;=2),"■","")</f>
        <v/>
      </c>
      <c r="AD59" s="109" t="str">
        <f>IF(AND(U59&lt;=3,V59&gt;=3),"■","")</f>
        <v/>
      </c>
      <c r="AE59" s="109" t="str">
        <f>IF(AND(U59&lt;=4,V59&gt;=4),"■","")</f>
        <v/>
      </c>
      <c r="AF59" s="109" t="str">
        <f>IF(AND(U59&lt;=5,V59&gt;=5),"■","")</f>
        <v/>
      </c>
      <c r="AG59" s="109" t="str">
        <f>IF(AND(U59&lt;=6,V59&gt;=6),"■","")</f>
        <v/>
      </c>
      <c r="AH59" s="109" t="str">
        <f>IF(AND(U59&lt;=7,V59&gt;=7),"■","")</f>
        <v/>
      </c>
      <c r="AI59" s="109" t="str">
        <f>IF(AND(U59&lt;=8,V59&gt;=8),"■","")</f>
        <v/>
      </c>
      <c r="AJ59" s="109" t="str">
        <f>IF(AND(U59&lt;=9,V59&gt;=9),"■","")</f>
        <v/>
      </c>
      <c r="AK59" s="109" t="str">
        <f>IF(AND(U59&lt;=10,V59&gt;=10),"■","")</f>
        <v/>
      </c>
      <c r="AL59" s="109" t="str">
        <f>IF(AND(U59&lt;=11,V59&gt;=11),"■","")</f>
        <v/>
      </c>
      <c r="AM59" s="109" t="str">
        <f>IF(AND(U59&lt;=12,V59&gt;=12),"■","")</f>
        <v/>
      </c>
      <c r="AN59" s="109" t="str">
        <f>IF(AND(U59&lt;=13,V59&gt;=13),"■","")</f>
        <v>■</v>
      </c>
      <c r="AO59" s="109" t="str">
        <f>IF(AND(U59&lt;=14,V59&gt;=14),"■","")</f>
        <v>■</v>
      </c>
      <c r="AP59" s="109" t="str">
        <f>IF(AND(U59&lt;=15,V59&gt;=15),"■","")</f>
        <v/>
      </c>
      <c r="AQ59" s="109" t="str">
        <f>IF(AND(U59&lt;=16,V59&gt;=16),"■","")</f>
        <v/>
      </c>
    </row>
    <row r="60" spans="1:44" ht="14.25" customHeight="1" x14ac:dyDescent="0.2">
      <c r="A60" s="22"/>
      <c r="B60" s="50"/>
      <c r="C60" s="46"/>
      <c r="D60" s="25"/>
      <c r="E60" s="51"/>
      <c r="F60" s="27"/>
      <c r="G60" s="28"/>
      <c r="H60" s="29">
        <f>E60*G60</f>
        <v>0</v>
      </c>
      <c r="I60" s="44"/>
      <c r="J60" s="44"/>
      <c r="K60" s="37"/>
      <c r="L60" s="22"/>
      <c r="M60" s="22"/>
      <c r="N60" s="22"/>
      <c r="O60" s="45"/>
      <c r="P60" s="22"/>
      <c r="Q60" s="22"/>
      <c r="R60" s="6"/>
      <c r="S60" s="6"/>
      <c r="T60" s="6"/>
    </row>
    <row r="61" spans="1:44" ht="14.25" customHeight="1" x14ac:dyDescent="0.25">
      <c r="A61" s="22"/>
      <c r="B61" s="16" t="s">
        <v>122</v>
      </c>
      <c r="C61" s="16" t="s">
        <v>123</v>
      </c>
      <c r="D61" s="16"/>
      <c r="E61" s="51"/>
      <c r="F61" s="27"/>
      <c r="G61" s="28"/>
      <c r="H61" s="29">
        <f>E61*G61</f>
        <v>0</v>
      </c>
      <c r="I61" s="44"/>
      <c r="J61" s="44"/>
      <c r="K61" s="37"/>
      <c r="L61" s="22"/>
      <c r="M61" s="22"/>
      <c r="N61" s="22"/>
      <c r="O61" s="45"/>
      <c r="P61" s="22"/>
      <c r="Q61" s="22"/>
      <c r="R61" s="6"/>
      <c r="S61" s="6"/>
      <c r="T61" s="6"/>
    </row>
    <row r="62" spans="1:44" ht="14.25" customHeight="1" x14ac:dyDescent="0.2">
      <c r="A62" s="22"/>
      <c r="B62" s="23">
        <v>1</v>
      </c>
      <c r="C62" s="46" t="s">
        <v>124</v>
      </c>
      <c r="D62" s="25" t="s">
        <v>116</v>
      </c>
      <c r="E62" s="48">
        <v>24</v>
      </c>
      <c r="F62" s="27" t="s">
        <v>57</v>
      </c>
      <c r="G62" s="28">
        <v>75000</v>
      </c>
      <c r="H62" s="29">
        <f>E62*G62</f>
        <v>1800000</v>
      </c>
      <c r="I62" s="30">
        <v>3908731694</v>
      </c>
      <c r="J62" s="31">
        <f>H62/I62*100</f>
        <v>4.6050743333522853E-2</v>
      </c>
      <c r="K62" s="37"/>
      <c r="L62" s="22"/>
      <c r="M62" s="22"/>
      <c r="N62" s="22"/>
      <c r="O62" s="45"/>
      <c r="P62" s="22"/>
      <c r="Q62" s="22"/>
      <c r="R62" s="6"/>
      <c r="S62" s="6"/>
      <c r="T62" s="6"/>
      <c r="U62" s="108">
        <v>7</v>
      </c>
      <c r="V62" s="108">
        <v>8</v>
      </c>
      <c r="W62" s="109">
        <f>MAX(1,V62-U62+1)</f>
        <v>2</v>
      </c>
      <c r="X62" s="110">
        <f t="array" ref="X62">INDEX('KALENDER MINGGU'!$B$6:$B$21,U62)</f>
        <v>46268</v>
      </c>
      <c r="Y62" s="110">
        <f t="array" ref="Y62">INDEX('KALENDER MINGGU'!$C$6:$C$21,V62)</f>
        <v>46281</v>
      </c>
      <c r="AB62" s="109" t="str">
        <f>IF(AND($U62&lt;=1,$V62&gt;=1),"■","")</f>
        <v/>
      </c>
      <c r="AC62" s="109" t="str">
        <f>IF(AND($U62&lt;=2,$V62&gt;=2),"■","")</f>
        <v/>
      </c>
      <c r="AD62" s="109" t="str">
        <f>IF(AND($U62&lt;=3,$V62&gt;=3),"■","")</f>
        <v/>
      </c>
      <c r="AE62" s="109" t="str">
        <f>IF(AND($U62&lt;=4,$V62&gt;=4),"■","")</f>
        <v/>
      </c>
      <c r="AF62" s="109" t="str">
        <f>IF(AND($U62&lt;=5,$V62&gt;=5),"■","")</f>
        <v/>
      </c>
      <c r="AG62" s="109" t="str">
        <f>IF(AND($U62&lt;=6,$V62&gt;=6),"■","")</f>
        <v/>
      </c>
      <c r="AH62" s="109" t="str">
        <f>IF(AND($U62&lt;=7,$V62&gt;=7),"■","")</f>
        <v>■</v>
      </c>
      <c r="AI62" s="109" t="str">
        <f>IF(AND($U62&lt;=8,$V62&gt;=8),"■","")</f>
        <v>■</v>
      </c>
      <c r="AJ62" s="109" t="str">
        <f>IF(AND($U62&lt;=9,$V62&gt;=9),"■","")</f>
        <v/>
      </c>
      <c r="AK62" s="109" t="str">
        <f>IF(AND($U62&lt;=10,$V62&gt;=10),"■","")</f>
        <v/>
      </c>
      <c r="AL62" s="109" t="str">
        <f>IF(AND($U62&lt;=11,$V62&gt;=11),"■","")</f>
        <v/>
      </c>
      <c r="AM62" s="109" t="str">
        <f>IF(AND($U62&lt;=12,$V62&gt;=12),"■","")</f>
        <v/>
      </c>
      <c r="AN62" s="109" t="str">
        <f>IF(AND($U62&lt;=13,$V62&gt;=13),"■","")</f>
        <v/>
      </c>
      <c r="AO62" s="109" t="str">
        <f>IF(AND($U62&lt;=14,$V62&gt;=14),"■","")</f>
        <v/>
      </c>
      <c r="AP62" s="109" t="str">
        <f>IF(AND($U62&lt;=15,$V62&gt;=15),"■","")</f>
        <v/>
      </c>
      <c r="AQ62" s="109" t="str">
        <f>IF(AND($U62&lt;=16,$V62&gt;=16),"■","")</f>
        <v/>
      </c>
      <c r="AR62" t="s">
        <v>457</v>
      </c>
    </row>
    <row r="63" spans="1:44" ht="14.25" customHeight="1" x14ac:dyDescent="0.2">
      <c r="A63" s="22"/>
      <c r="B63" s="23">
        <v>2</v>
      </c>
      <c r="C63" s="46" t="s">
        <v>125</v>
      </c>
      <c r="D63" s="25" t="s">
        <v>116</v>
      </c>
      <c r="E63" s="48">
        <v>169</v>
      </c>
      <c r="F63" s="27" t="s">
        <v>57</v>
      </c>
      <c r="G63" s="28">
        <v>75000</v>
      </c>
      <c r="H63" s="29">
        <f>E63*G63</f>
        <v>12675000</v>
      </c>
      <c r="I63" s="30">
        <v>3908731694</v>
      </c>
      <c r="J63" s="31">
        <f>H63/I63*100</f>
        <v>0.32427398430689014</v>
      </c>
      <c r="K63" s="37"/>
      <c r="L63" s="22"/>
      <c r="M63" s="22"/>
      <c r="N63" s="22"/>
      <c r="O63" s="45"/>
      <c r="P63" s="22"/>
      <c r="Q63" s="22"/>
      <c r="R63" s="6"/>
      <c r="S63" s="6"/>
      <c r="T63" s="6"/>
      <c r="U63" s="108">
        <v>7</v>
      </c>
      <c r="V63" s="108">
        <v>8</v>
      </c>
      <c r="W63" s="109">
        <f>MAX(1,V63-U63+1)</f>
        <v>2</v>
      </c>
      <c r="X63" s="110">
        <f t="array" ref="X63">INDEX('KALENDER MINGGU'!$B$6:$B$21,U63)</f>
        <v>46268</v>
      </c>
      <c r="Y63" s="110">
        <f t="array" ref="Y63">INDEX('KALENDER MINGGU'!$C$6:$C$21,V63)</f>
        <v>46281</v>
      </c>
      <c r="AB63" s="109" t="str">
        <f>IF(AND($U63&lt;=1,$V63&gt;=1),"■","")</f>
        <v/>
      </c>
      <c r="AC63" s="109" t="str">
        <f>IF(AND($U63&lt;=2,$V63&gt;=2),"■","")</f>
        <v/>
      </c>
      <c r="AD63" s="109" t="str">
        <f>IF(AND($U63&lt;=3,$V63&gt;=3),"■","")</f>
        <v/>
      </c>
      <c r="AE63" s="109" t="str">
        <f>IF(AND($U63&lt;=4,$V63&gt;=4),"■","")</f>
        <v/>
      </c>
      <c r="AF63" s="109" t="str">
        <f>IF(AND($U63&lt;=5,$V63&gt;=5),"■","")</f>
        <v/>
      </c>
      <c r="AG63" s="109" t="str">
        <f>IF(AND($U63&lt;=6,$V63&gt;=6),"■","")</f>
        <v/>
      </c>
      <c r="AH63" s="109" t="str">
        <f>IF(AND($U63&lt;=7,$V63&gt;=7),"■","")</f>
        <v>■</v>
      </c>
      <c r="AI63" s="109" t="str">
        <f>IF(AND($U63&lt;=8,$V63&gt;=8),"■","")</f>
        <v>■</v>
      </c>
      <c r="AJ63" s="109" t="str">
        <f>IF(AND($U63&lt;=9,$V63&gt;=9),"■","")</f>
        <v/>
      </c>
      <c r="AK63" s="109" t="str">
        <f>IF(AND($U63&lt;=10,$V63&gt;=10),"■","")</f>
        <v/>
      </c>
      <c r="AL63" s="109" t="str">
        <f>IF(AND($U63&lt;=11,$V63&gt;=11),"■","")</f>
        <v/>
      </c>
      <c r="AM63" s="109" t="str">
        <f>IF(AND($U63&lt;=12,$V63&gt;=12),"■","")</f>
        <v/>
      </c>
      <c r="AN63" s="109" t="str">
        <f>IF(AND($U63&lt;=13,$V63&gt;=13),"■","")</f>
        <v/>
      </c>
      <c r="AO63" s="109" t="str">
        <f>IF(AND($U63&lt;=14,$V63&gt;=14),"■","")</f>
        <v/>
      </c>
      <c r="AP63" s="109" t="str">
        <f>IF(AND($U63&lt;=15,$V63&gt;=15),"■","")</f>
        <v/>
      </c>
      <c r="AQ63" s="109" t="str">
        <f>IF(AND($U63&lt;=16,$V63&gt;=16),"■","")</f>
        <v/>
      </c>
      <c r="AR63" t="s">
        <v>458</v>
      </c>
    </row>
    <row r="64" spans="1:44" ht="14.25" customHeight="1" x14ac:dyDescent="0.2">
      <c r="A64" s="22"/>
      <c r="B64" s="50"/>
      <c r="C64" s="46"/>
      <c r="D64" s="25"/>
      <c r="E64" s="51"/>
      <c r="F64" s="27"/>
      <c r="G64" s="28"/>
      <c r="H64" s="49">
        <f>SUM(H62:H63)</f>
        <v>14475000</v>
      </c>
      <c r="I64" s="30">
        <v>3908731694</v>
      </c>
      <c r="J64" s="43">
        <f>H64/I64*100</f>
        <v>0.37032472764041297</v>
      </c>
      <c r="K64" s="37"/>
      <c r="L64" s="22"/>
      <c r="M64" s="22"/>
      <c r="N64" s="22"/>
      <c r="O64" s="45"/>
      <c r="P64" s="22"/>
      <c r="Q64" s="22"/>
      <c r="R64" s="6"/>
      <c r="S64" s="6"/>
      <c r="T64" s="6"/>
      <c r="U64" s="109">
        <f>MIN(U62:U63)</f>
        <v>7</v>
      </c>
      <c r="V64" s="109">
        <f>MAX(V62:V63)</f>
        <v>8</v>
      </c>
      <c r="W64" s="109">
        <f>MAX(1,V64-U64+1)</f>
        <v>2</v>
      </c>
      <c r="X64" s="110">
        <f t="array" ref="X64">INDEX('KALENDER MINGGU'!$B$6:$B$21,U64)</f>
        <v>46268</v>
      </c>
      <c r="Y64" s="110">
        <f t="array" ref="Y64">INDEX('KALENDER MINGGU'!$C$6:$C$21,V64)</f>
        <v>46281</v>
      </c>
      <c r="Z64" s="111">
        <f>SUM(TS!M24:AB24)/TS!L23*100</f>
        <v>16.062176165803109</v>
      </c>
      <c r="AA64" s="109" t="str">
        <f ca="1">IF(Z64&gt;=99.9,"COMPLETED",IF(U64&gt;'RENCANA MINGGUAN'!$J$7,"NOT STARTED",IF(V64&lt;'RENCANA MINGGUAN'!$J$7,"CRITICAL",IF(Z64+1&lt;W64,"DELAYED","ON SCHEDULE"))))</f>
        <v>CRITICAL</v>
      </c>
      <c r="AB64" s="109" t="str">
        <f>IF(AND(U64&lt;=1,V64&gt;=1),"■","")</f>
        <v/>
      </c>
      <c r="AC64" s="109" t="str">
        <f>IF(AND(U64&lt;=2,V64&gt;=2),"■","")</f>
        <v/>
      </c>
      <c r="AD64" s="109" t="str">
        <f>IF(AND(U64&lt;=3,V64&gt;=3),"■","")</f>
        <v/>
      </c>
      <c r="AE64" s="109" t="str">
        <f>IF(AND(U64&lt;=4,V64&gt;=4),"■","")</f>
        <v/>
      </c>
      <c r="AF64" s="109" t="str">
        <f>IF(AND(U64&lt;=5,V64&gt;=5),"■","")</f>
        <v/>
      </c>
      <c r="AG64" s="109" t="str">
        <f>IF(AND(U64&lt;=6,V64&gt;=6),"■","")</f>
        <v/>
      </c>
      <c r="AH64" s="109" t="str">
        <f>IF(AND(U64&lt;=7,V64&gt;=7),"■","")</f>
        <v>■</v>
      </c>
      <c r="AI64" s="109" t="str">
        <f>IF(AND(U64&lt;=8,V64&gt;=8),"■","")</f>
        <v>■</v>
      </c>
      <c r="AJ64" s="109" t="str">
        <f>IF(AND(U64&lt;=9,V64&gt;=9),"■","")</f>
        <v/>
      </c>
      <c r="AK64" s="109" t="str">
        <f>IF(AND(U64&lt;=10,V64&gt;=10),"■","")</f>
        <v/>
      </c>
      <c r="AL64" s="109" t="str">
        <f>IF(AND(U64&lt;=11,V64&gt;=11),"■","")</f>
        <v/>
      </c>
      <c r="AM64" s="109" t="str">
        <f>IF(AND(U64&lt;=12,V64&gt;=12),"■","")</f>
        <v/>
      </c>
      <c r="AN64" s="109" t="str">
        <f>IF(AND(U64&lt;=13,V64&gt;=13),"■","")</f>
        <v/>
      </c>
      <c r="AO64" s="109" t="str">
        <f>IF(AND(U64&lt;=14,V64&gt;=14),"■","")</f>
        <v/>
      </c>
      <c r="AP64" s="109" t="str">
        <f>IF(AND(U64&lt;=15,V64&gt;=15),"■","")</f>
        <v/>
      </c>
      <c r="AQ64" s="109" t="str">
        <f>IF(AND(U64&lt;=16,V64&gt;=16),"■","")</f>
        <v/>
      </c>
    </row>
    <row r="65" spans="1:44" ht="14.25" customHeight="1" x14ac:dyDescent="0.2">
      <c r="A65" s="22"/>
      <c r="B65" s="50"/>
      <c r="C65" s="46"/>
      <c r="D65" s="25"/>
      <c r="E65" s="51"/>
      <c r="F65" s="27"/>
      <c r="G65" s="28"/>
      <c r="H65" s="29"/>
      <c r="I65" s="44"/>
      <c r="J65" s="44"/>
      <c r="K65" s="37"/>
      <c r="L65" s="22"/>
      <c r="M65" s="22"/>
      <c r="N65" s="22"/>
      <c r="O65" s="45"/>
      <c r="P65" s="22"/>
      <c r="Q65" s="22"/>
      <c r="R65" s="6"/>
      <c r="S65" s="6"/>
      <c r="T65" s="6"/>
    </row>
    <row r="66" spans="1:44" ht="14.25" customHeight="1" x14ac:dyDescent="0.25">
      <c r="A66" s="22"/>
      <c r="B66" s="16" t="s">
        <v>126</v>
      </c>
      <c r="C66" s="16" t="s">
        <v>127</v>
      </c>
      <c r="D66" s="16"/>
      <c r="E66" s="51"/>
      <c r="F66" s="27"/>
      <c r="G66" s="28"/>
      <c r="H66" s="29"/>
      <c r="I66" s="44"/>
      <c r="J66" s="44"/>
      <c r="K66" s="37"/>
      <c r="L66" s="22"/>
      <c r="M66" s="22"/>
      <c r="N66" s="22"/>
      <c r="O66" s="45"/>
      <c r="P66" s="22"/>
      <c r="Q66" s="22"/>
      <c r="R66" s="6"/>
      <c r="S66" s="6"/>
      <c r="T66" s="6"/>
    </row>
    <row r="67" spans="1:44" ht="14.25" customHeight="1" x14ac:dyDescent="0.2">
      <c r="A67" s="22"/>
      <c r="B67" s="23">
        <v>1</v>
      </c>
      <c r="C67" s="46" t="s">
        <v>128</v>
      </c>
      <c r="D67" s="25" t="s">
        <v>129</v>
      </c>
      <c r="E67" s="47">
        <v>320</v>
      </c>
      <c r="F67" s="27" t="s">
        <v>111</v>
      </c>
      <c r="G67" s="28">
        <v>100000</v>
      </c>
      <c r="H67" s="29">
        <f>E67*G67</f>
        <v>32000000</v>
      </c>
      <c r="I67" s="30">
        <v>3908731694</v>
      </c>
      <c r="J67" s="31">
        <f t="shared" ref="J67:J72" si="62">H67/I67*100</f>
        <v>0.81867988148485082</v>
      </c>
      <c r="K67" s="37"/>
      <c r="L67" s="22"/>
      <c r="M67" s="22"/>
      <c r="N67" s="22"/>
      <c r="O67" s="45"/>
      <c r="P67" s="22"/>
      <c r="Q67" s="22"/>
      <c r="R67" s="6"/>
      <c r="S67" s="6"/>
      <c r="T67" s="6"/>
      <c r="U67" s="108">
        <v>4</v>
      </c>
      <c r="V67" s="108">
        <v>10</v>
      </c>
      <c r="W67" s="109">
        <f t="shared" ref="W67:W72" si="63">MAX(1,V67-U67+1)</f>
        <v>7</v>
      </c>
      <c r="X67" s="110">
        <f t="array" ref="X67">INDEX('KALENDER MINGGU'!$B$6:$B$21,U67)</f>
        <v>46247</v>
      </c>
      <c r="Y67" s="110">
        <f t="array" ref="Y67">INDEX('KALENDER MINGGU'!$C$6:$C$21,V67)</f>
        <v>46295</v>
      </c>
      <c r="AB67" s="109" t="str">
        <f>IF(AND($U67&lt;=1,$V67&gt;=1),"■","")</f>
        <v/>
      </c>
      <c r="AC67" s="109" t="str">
        <f>IF(AND($U67&lt;=2,$V67&gt;=2),"■","")</f>
        <v/>
      </c>
      <c r="AD67" s="109" t="str">
        <f>IF(AND($U67&lt;=3,$V67&gt;=3),"■","")</f>
        <v/>
      </c>
      <c r="AE67" s="109" t="str">
        <f>IF(AND($U67&lt;=4,$V67&gt;=4),"■","")</f>
        <v>■</v>
      </c>
      <c r="AF67" s="109" t="str">
        <f>IF(AND($U67&lt;=5,$V67&gt;=5),"■","")</f>
        <v>■</v>
      </c>
      <c r="AG67" s="109" t="str">
        <f>IF(AND($U67&lt;=6,$V67&gt;=6),"■","")</f>
        <v>■</v>
      </c>
      <c r="AH67" s="109" t="str">
        <f>IF(AND($U67&lt;=7,$V67&gt;=7),"■","")</f>
        <v>■</v>
      </c>
      <c r="AI67" s="109" t="str">
        <f>IF(AND($U67&lt;=8,$V67&gt;=8),"■","")</f>
        <v>■</v>
      </c>
      <c r="AJ67" s="109" t="str">
        <f>IF(AND($U67&lt;=9,$V67&gt;=9),"■","")</f>
        <v>■</v>
      </c>
      <c r="AK67" s="109" t="str">
        <f>IF(AND($U67&lt;=10,$V67&gt;=10),"■","")</f>
        <v>■</v>
      </c>
      <c r="AL67" s="109" t="str">
        <f>IF(AND($U67&lt;=11,$V67&gt;=11),"■","")</f>
        <v/>
      </c>
      <c r="AM67" s="109" t="str">
        <f>IF(AND($U67&lt;=12,$V67&gt;=12),"■","")</f>
        <v/>
      </c>
      <c r="AN67" s="109" t="str">
        <f>IF(AND($U67&lt;=13,$V67&gt;=13),"■","")</f>
        <v/>
      </c>
      <c r="AO67" s="109" t="str">
        <f>IF(AND($U67&lt;=14,$V67&gt;=14),"■","")</f>
        <v/>
      </c>
      <c r="AP67" s="109" t="str">
        <f>IF(AND($U67&lt;=15,$V67&gt;=15),"■","")</f>
        <v/>
      </c>
      <c r="AQ67" s="109" t="str">
        <f>IF(AND($U67&lt;=16,$V67&gt;=16),"■","")</f>
        <v/>
      </c>
      <c r="AR67" t="s">
        <v>459</v>
      </c>
    </row>
    <row r="68" spans="1:44" ht="14.25" customHeight="1" x14ac:dyDescent="0.2">
      <c r="A68" s="22"/>
      <c r="B68" s="23">
        <v>2</v>
      </c>
      <c r="C68" s="46" t="s">
        <v>130</v>
      </c>
      <c r="D68" s="25" t="s">
        <v>131</v>
      </c>
      <c r="E68" s="52">
        <v>150</v>
      </c>
      <c r="F68" s="27" t="s">
        <v>111</v>
      </c>
      <c r="G68" s="28">
        <v>35100</v>
      </c>
      <c r="H68" s="29">
        <f>E68*G68</f>
        <v>5265000</v>
      </c>
      <c r="I68" s="30">
        <v>3908731694</v>
      </c>
      <c r="J68" s="31">
        <f t="shared" si="62"/>
        <v>0.13469842425055434</v>
      </c>
      <c r="K68" s="37"/>
      <c r="L68" s="22"/>
      <c r="M68" s="22"/>
      <c r="N68" s="22"/>
      <c r="O68" s="45"/>
      <c r="P68" s="22"/>
      <c r="Q68" s="22"/>
      <c r="R68" s="6"/>
      <c r="S68" s="6"/>
      <c r="T68" s="6"/>
      <c r="U68" s="108">
        <v>6</v>
      </c>
      <c r="V68" s="108">
        <v>8</v>
      </c>
      <c r="W68" s="109">
        <f t="shared" si="63"/>
        <v>3</v>
      </c>
      <c r="X68" s="110">
        <f t="array" ref="X68">INDEX('KALENDER MINGGU'!$B$6:$B$21,U68)</f>
        <v>46261</v>
      </c>
      <c r="Y68" s="110">
        <f t="array" ref="Y68">INDEX('KALENDER MINGGU'!$C$6:$C$21,V68)</f>
        <v>46281</v>
      </c>
      <c r="AB68" s="109" t="str">
        <f>IF(AND($U68&lt;=1,$V68&gt;=1),"■","")</f>
        <v/>
      </c>
      <c r="AC68" s="109" t="str">
        <f>IF(AND($U68&lt;=2,$V68&gt;=2),"■","")</f>
        <v/>
      </c>
      <c r="AD68" s="109" t="str">
        <f>IF(AND($U68&lt;=3,$V68&gt;=3),"■","")</f>
        <v/>
      </c>
      <c r="AE68" s="109" t="str">
        <f>IF(AND($U68&lt;=4,$V68&gt;=4),"■","")</f>
        <v/>
      </c>
      <c r="AF68" s="109" t="str">
        <f>IF(AND($U68&lt;=5,$V68&gt;=5),"■","")</f>
        <v/>
      </c>
      <c r="AG68" s="109" t="str">
        <f>IF(AND($U68&lt;=6,$V68&gt;=6),"■","")</f>
        <v>■</v>
      </c>
      <c r="AH68" s="109" t="str">
        <f>IF(AND($U68&lt;=7,$V68&gt;=7),"■","")</f>
        <v>■</v>
      </c>
      <c r="AI68" s="109" t="str">
        <f>IF(AND($U68&lt;=8,$V68&gt;=8),"■","")</f>
        <v>■</v>
      </c>
      <c r="AJ68" s="109" t="str">
        <f>IF(AND($U68&lt;=9,$V68&gt;=9),"■","")</f>
        <v/>
      </c>
      <c r="AK68" s="109" t="str">
        <f>IF(AND($U68&lt;=10,$V68&gt;=10),"■","")</f>
        <v/>
      </c>
      <c r="AL68" s="109" t="str">
        <f>IF(AND($U68&lt;=11,$V68&gt;=11),"■","")</f>
        <v/>
      </c>
      <c r="AM68" s="109" t="str">
        <f>IF(AND($U68&lt;=12,$V68&gt;=12),"■","")</f>
        <v/>
      </c>
      <c r="AN68" s="109" t="str">
        <f>IF(AND($U68&lt;=13,$V68&gt;=13),"■","")</f>
        <v/>
      </c>
      <c r="AO68" s="109" t="str">
        <f>IF(AND($U68&lt;=14,$V68&gt;=14),"■","")</f>
        <v/>
      </c>
      <c r="AP68" s="109" t="str">
        <f>IF(AND($U68&lt;=15,$V68&gt;=15),"■","")</f>
        <v/>
      </c>
      <c r="AQ68" s="109" t="str">
        <f>IF(AND($U68&lt;=16,$V68&gt;=16),"■","")</f>
        <v/>
      </c>
      <c r="AR68" t="s">
        <v>460</v>
      </c>
    </row>
    <row r="69" spans="1:44" ht="14.25" customHeight="1" x14ac:dyDescent="0.2">
      <c r="A69" s="22"/>
      <c r="B69" s="23">
        <v>3</v>
      </c>
      <c r="C69" s="46" t="s">
        <v>132</v>
      </c>
      <c r="D69" s="25" t="s">
        <v>133</v>
      </c>
      <c r="E69" s="47">
        <v>1</v>
      </c>
      <c r="F69" s="27" t="s">
        <v>73</v>
      </c>
      <c r="G69" s="28">
        <v>1500000</v>
      </c>
      <c r="H69" s="29">
        <f>E69*G69</f>
        <v>1500000</v>
      </c>
      <c r="I69" s="30">
        <v>3908731694</v>
      </c>
      <c r="J69" s="31">
        <f t="shared" si="62"/>
        <v>3.8375619444602382E-2</v>
      </c>
      <c r="K69" s="37"/>
      <c r="L69" s="22"/>
      <c r="M69" s="22"/>
      <c r="N69" s="22"/>
      <c r="O69" s="45"/>
      <c r="P69" s="22"/>
      <c r="Q69" s="22"/>
      <c r="R69" s="6"/>
      <c r="S69" s="6"/>
      <c r="T69" s="6"/>
      <c r="U69" s="108">
        <v>4</v>
      </c>
      <c r="V69" s="108">
        <v>5</v>
      </c>
      <c r="W69" s="109">
        <f t="shared" si="63"/>
        <v>2</v>
      </c>
      <c r="X69" s="110">
        <f t="array" ref="X69">INDEX('KALENDER MINGGU'!$B$6:$B$21,U69)</f>
        <v>46247</v>
      </c>
      <c r="Y69" s="110">
        <f t="array" ref="Y69">INDEX('KALENDER MINGGU'!$C$6:$C$21,V69)</f>
        <v>46260</v>
      </c>
      <c r="AB69" s="109" t="str">
        <f>IF(AND($U69&lt;=1,$V69&gt;=1),"■","")</f>
        <v/>
      </c>
      <c r="AC69" s="109" t="str">
        <f>IF(AND($U69&lt;=2,$V69&gt;=2),"■","")</f>
        <v/>
      </c>
      <c r="AD69" s="109" t="str">
        <f>IF(AND($U69&lt;=3,$V69&gt;=3),"■","")</f>
        <v/>
      </c>
      <c r="AE69" s="109" t="str">
        <f>IF(AND($U69&lt;=4,$V69&gt;=4),"■","")</f>
        <v>■</v>
      </c>
      <c r="AF69" s="109" t="str">
        <f>IF(AND($U69&lt;=5,$V69&gt;=5),"■","")</f>
        <v>■</v>
      </c>
      <c r="AG69" s="109" t="str">
        <f>IF(AND($U69&lt;=6,$V69&gt;=6),"■","")</f>
        <v/>
      </c>
      <c r="AH69" s="109" t="str">
        <f>IF(AND($U69&lt;=7,$V69&gt;=7),"■","")</f>
        <v/>
      </c>
      <c r="AI69" s="109" t="str">
        <f>IF(AND($U69&lt;=8,$V69&gt;=8),"■","")</f>
        <v/>
      </c>
      <c r="AJ69" s="109" t="str">
        <f>IF(AND($U69&lt;=9,$V69&gt;=9),"■","")</f>
        <v/>
      </c>
      <c r="AK69" s="109" t="str">
        <f>IF(AND($U69&lt;=10,$V69&gt;=10),"■","")</f>
        <v/>
      </c>
      <c r="AL69" s="109" t="str">
        <f>IF(AND($U69&lt;=11,$V69&gt;=11),"■","")</f>
        <v/>
      </c>
      <c r="AM69" s="109" t="str">
        <f>IF(AND($U69&lt;=12,$V69&gt;=12),"■","")</f>
        <v/>
      </c>
      <c r="AN69" s="109" t="str">
        <f>IF(AND($U69&lt;=13,$V69&gt;=13),"■","")</f>
        <v/>
      </c>
      <c r="AO69" s="109" t="str">
        <f>IF(AND($U69&lt;=14,$V69&gt;=14),"■","")</f>
        <v/>
      </c>
      <c r="AP69" s="109" t="str">
        <f>IF(AND($U69&lt;=15,$V69&gt;=15),"■","")</f>
        <v/>
      </c>
      <c r="AQ69" s="109" t="str">
        <f>IF(AND($U69&lt;=16,$V69&gt;=16),"■","")</f>
        <v/>
      </c>
      <c r="AR69" t="s">
        <v>461</v>
      </c>
    </row>
    <row r="70" spans="1:44" ht="14.25" customHeight="1" x14ac:dyDescent="0.2">
      <c r="A70" s="22"/>
      <c r="B70" s="23">
        <v>4</v>
      </c>
      <c r="C70" s="46" t="s">
        <v>134</v>
      </c>
      <c r="D70" s="25"/>
      <c r="E70" s="47">
        <v>20</v>
      </c>
      <c r="F70" s="27" t="s">
        <v>135</v>
      </c>
      <c r="G70" s="28">
        <v>57500</v>
      </c>
      <c r="H70" s="29">
        <f>E70*G70</f>
        <v>1150000</v>
      </c>
      <c r="I70" s="30">
        <v>3908731694</v>
      </c>
      <c r="J70" s="31">
        <f t="shared" si="62"/>
        <v>2.9421308240861827E-2</v>
      </c>
      <c r="K70" s="37"/>
      <c r="L70" s="22"/>
      <c r="M70" s="22"/>
      <c r="N70" s="22"/>
      <c r="O70" s="45"/>
      <c r="P70" s="22"/>
      <c r="Q70" s="22"/>
      <c r="R70" s="6"/>
      <c r="S70" s="6"/>
      <c r="T70" s="6"/>
      <c r="U70" s="108">
        <v>8</v>
      </c>
      <c r="V70" s="108">
        <v>9</v>
      </c>
      <c r="W70" s="109">
        <f t="shared" si="63"/>
        <v>2</v>
      </c>
      <c r="X70" s="110">
        <f t="array" ref="X70">INDEX('KALENDER MINGGU'!$B$6:$B$21,U70)</f>
        <v>46275</v>
      </c>
      <c r="Y70" s="110">
        <f t="array" ref="Y70">INDEX('KALENDER MINGGU'!$C$6:$C$21,V70)</f>
        <v>46288</v>
      </c>
      <c r="AB70" s="109" t="str">
        <f>IF(AND($U70&lt;=1,$V70&gt;=1),"■","")</f>
        <v/>
      </c>
      <c r="AC70" s="109" t="str">
        <f>IF(AND($U70&lt;=2,$V70&gt;=2),"■","")</f>
        <v/>
      </c>
      <c r="AD70" s="109" t="str">
        <f>IF(AND($U70&lt;=3,$V70&gt;=3),"■","")</f>
        <v/>
      </c>
      <c r="AE70" s="109" t="str">
        <f>IF(AND($U70&lt;=4,$V70&gt;=4),"■","")</f>
        <v/>
      </c>
      <c r="AF70" s="109" t="str">
        <f>IF(AND($U70&lt;=5,$V70&gt;=5),"■","")</f>
        <v/>
      </c>
      <c r="AG70" s="109" t="str">
        <f>IF(AND($U70&lt;=6,$V70&gt;=6),"■","")</f>
        <v/>
      </c>
      <c r="AH70" s="109" t="str">
        <f>IF(AND($U70&lt;=7,$V70&gt;=7),"■","")</f>
        <v/>
      </c>
      <c r="AI70" s="109" t="str">
        <f>IF(AND($U70&lt;=8,$V70&gt;=8),"■","")</f>
        <v>■</v>
      </c>
      <c r="AJ70" s="109" t="str">
        <f>IF(AND($U70&lt;=9,$V70&gt;=9),"■","")</f>
        <v>■</v>
      </c>
      <c r="AK70" s="109" t="str">
        <f>IF(AND($U70&lt;=10,$V70&gt;=10),"■","")</f>
        <v/>
      </c>
      <c r="AL70" s="109" t="str">
        <f>IF(AND($U70&lt;=11,$V70&gt;=11),"■","")</f>
        <v/>
      </c>
      <c r="AM70" s="109" t="str">
        <f>IF(AND($U70&lt;=12,$V70&gt;=12),"■","")</f>
        <v/>
      </c>
      <c r="AN70" s="109" t="str">
        <f>IF(AND($U70&lt;=13,$V70&gt;=13),"■","")</f>
        <v/>
      </c>
      <c r="AO70" s="109" t="str">
        <f>IF(AND($U70&lt;=14,$V70&gt;=14),"■","")</f>
        <v/>
      </c>
      <c r="AP70" s="109" t="str">
        <f>IF(AND($U70&lt;=15,$V70&gt;=15),"■","")</f>
        <v/>
      </c>
      <c r="AQ70" s="109" t="str">
        <f>IF(AND($U70&lt;=16,$V70&gt;=16),"■","")</f>
        <v/>
      </c>
      <c r="AR70" t="s">
        <v>462</v>
      </c>
    </row>
    <row r="71" spans="1:44" ht="14.25" customHeight="1" x14ac:dyDescent="0.2">
      <c r="A71" s="22"/>
      <c r="B71" s="23">
        <v>5</v>
      </c>
      <c r="C71" s="46" t="s">
        <v>136</v>
      </c>
      <c r="D71" s="25" t="s">
        <v>137</v>
      </c>
      <c r="E71" s="47">
        <v>1</v>
      </c>
      <c r="F71" s="27" t="s">
        <v>73</v>
      </c>
      <c r="G71" s="28">
        <v>250000</v>
      </c>
      <c r="H71" s="29">
        <f>E71*G71</f>
        <v>250000</v>
      </c>
      <c r="I71" s="30">
        <v>3908731694</v>
      </c>
      <c r="J71" s="31">
        <f t="shared" si="62"/>
        <v>6.3959365741003971E-3</v>
      </c>
      <c r="K71" s="37"/>
      <c r="L71" s="22"/>
      <c r="M71" s="22"/>
      <c r="N71" s="22"/>
      <c r="O71" s="45"/>
      <c r="P71" s="22"/>
      <c r="Q71" s="22"/>
      <c r="R71" s="6"/>
      <c r="S71" s="6"/>
      <c r="T71" s="6"/>
      <c r="U71" s="108">
        <v>9</v>
      </c>
      <c r="V71" s="108">
        <v>10</v>
      </c>
      <c r="W71" s="109">
        <f t="shared" si="63"/>
        <v>2</v>
      </c>
      <c r="X71" s="110">
        <f t="array" ref="X71">INDEX('KALENDER MINGGU'!$B$6:$B$21,U71)</f>
        <v>46282</v>
      </c>
      <c r="Y71" s="110">
        <f t="array" ref="Y71">INDEX('KALENDER MINGGU'!$C$6:$C$21,V71)</f>
        <v>46295</v>
      </c>
      <c r="AB71" s="109" t="str">
        <f>IF(AND($U71&lt;=1,$V71&gt;=1),"■","")</f>
        <v/>
      </c>
      <c r="AC71" s="109" t="str">
        <f>IF(AND($U71&lt;=2,$V71&gt;=2),"■","")</f>
        <v/>
      </c>
      <c r="AD71" s="109" t="str">
        <f>IF(AND($U71&lt;=3,$V71&gt;=3),"■","")</f>
        <v/>
      </c>
      <c r="AE71" s="109" t="str">
        <f>IF(AND($U71&lt;=4,$V71&gt;=4),"■","")</f>
        <v/>
      </c>
      <c r="AF71" s="109" t="str">
        <f>IF(AND($U71&lt;=5,$V71&gt;=5),"■","")</f>
        <v/>
      </c>
      <c r="AG71" s="109" t="str">
        <f>IF(AND($U71&lt;=6,$V71&gt;=6),"■","")</f>
        <v/>
      </c>
      <c r="AH71" s="109" t="str">
        <f>IF(AND($U71&lt;=7,$V71&gt;=7),"■","")</f>
        <v/>
      </c>
      <c r="AI71" s="109" t="str">
        <f>IF(AND($U71&lt;=8,$V71&gt;=8),"■","")</f>
        <v/>
      </c>
      <c r="AJ71" s="109" t="str">
        <f>IF(AND($U71&lt;=9,$V71&gt;=9),"■","")</f>
        <v>■</v>
      </c>
      <c r="AK71" s="109" t="str">
        <f>IF(AND($U71&lt;=10,$V71&gt;=10),"■","")</f>
        <v>■</v>
      </c>
      <c r="AL71" s="109" t="str">
        <f>IF(AND($U71&lt;=11,$V71&gt;=11),"■","")</f>
        <v/>
      </c>
      <c r="AM71" s="109" t="str">
        <f>IF(AND($U71&lt;=12,$V71&gt;=12),"■","")</f>
        <v/>
      </c>
      <c r="AN71" s="109" t="str">
        <f>IF(AND($U71&lt;=13,$V71&gt;=13),"■","")</f>
        <v/>
      </c>
      <c r="AO71" s="109" t="str">
        <f>IF(AND($U71&lt;=14,$V71&gt;=14),"■","")</f>
        <v/>
      </c>
      <c r="AP71" s="109" t="str">
        <f>IF(AND($U71&lt;=15,$V71&gt;=15),"■","")</f>
        <v/>
      </c>
      <c r="AQ71" s="109" t="str">
        <f>IF(AND($U71&lt;=16,$V71&gt;=16),"■","")</f>
        <v/>
      </c>
      <c r="AR71" t="s">
        <v>463</v>
      </c>
    </row>
    <row r="72" spans="1:44" ht="14.25" customHeight="1" x14ac:dyDescent="0.2">
      <c r="A72" s="22"/>
      <c r="B72" s="50"/>
      <c r="C72" s="46"/>
      <c r="D72" s="25"/>
      <c r="E72" s="51"/>
      <c r="F72" s="27"/>
      <c r="G72" s="28"/>
      <c r="H72" s="49">
        <f>SUM(H67:H71)</f>
        <v>40165000</v>
      </c>
      <c r="I72" s="30">
        <v>3908731694</v>
      </c>
      <c r="J72" s="43">
        <f t="shared" si="62"/>
        <v>1.0275711699949697</v>
      </c>
      <c r="K72" s="37"/>
      <c r="L72" s="22"/>
      <c r="M72" s="22"/>
      <c r="N72" s="22"/>
      <c r="O72" s="45"/>
      <c r="P72" s="22"/>
      <c r="Q72" s="22"/>
      <c r="R72" s="6"/>
      <c r="S72" s="6"/>
      <c r="T72" s="6"/>
      <c r="U72" s="109">
        <f>MIN(U67:U71)</f>
        <v>4</v>
      </c>
      <c r="V72" s="109">
        <f>MAX(V67:V71)</f>
        <v>10</v>
      </c>
      <c r="W72" s="109">
        <f t="shared" si="63"/>
        <v>7</v>
      </c>
      <c r="X72" s="110">
        <f t="array" ref="X72">INDEX('KALENDER MINGGU'!$B$6:$B$21,U72)</f>
        <v>46247</v>
      </c>
      <c r="Y72" s="110">
        <f t="array" ref="Y72">INDEX('KALENDER MINGGU'!$C$6:$C$21,V72)</f>
        <v>46295</v>
      </c>
      <c r="Z72" s="111">
        <f>SUM(TS!M26:AB26)/TS!L25*100</f>
        <v>71.704220092120025</v>
      </c>
      <c r="AA72" s="109" t="str">
        <f ca="1">IF(Z72&gt;=99.9,"COMPLETED",IF(U72&gt;'RENCANA MINGGUAN'!$J$7,"NOT STARTED",IF(V72&lt;'RENCANA MINGGUAN'!$J$7,"CRITICAL",IF(Z72+1&lt;W72,"DELAYED","ON SCHEDULE"))))</f>
        <v>ON SCHEDULE</v>
      </c>
      <c r="AB72" s="109" t="str">
        <f>IF(AND(U72&lt;=1,V72&gt;=1),"■","")</f>
        <v/>
      </c>
      <c r="AC72" s="109" t="str">
        <f>IF(AND(U72&lt;=2,V72&gt;=2),"■","")</f>
        <v/>
      </c>
      <c r="AD72" s="109" t="str">
        <f>IF(AND(U72&lt;=3,V72&gt;=3),"■","")</f>
        <v/>
      </c>
      <c r="AE72" s="109" t="str">
        <f>IF(AND(U72&lt;=4,V72&gt;=4),"■","")</f>
        <v>■</v>
      </c>
      <c r="AF72" s="109" t="str">
        <f>IF(AND(U72&lt;=5,V72&gt;=5),"■","")</f>
        <v>■</v>
      </c>
      <c r="AG72" s="109" t="str">
        <f>IF(AND(U72&lt;=6,V72&gt;=6),"■","")</f>
        <v>■</v>
      </c>
      <c r="AH72" s="109" t="str">
        <f>IF(AND(U72&lt;=7,V72&gt;=7),"■","")</f>
        <v>■</v>
      </c>
      <c r="AI72" s="109" t="str">
        <f>IF(AND(U72&lt;=8,V72&gt;=8),"■","")</f>
        <v>■</v>
      </c>
      <c r="AJ72" s="109" t="str">
        <f>IF(AND(U72&lt;=9,V72&gt;=9),"■","")</f>
        <v>■</v>
      </c>
      <c r="AK72" s="109" t="str">
        <f>IF(AND(U72&lt;=10,V72&gt;=10),"■","")</f>
        <v>■</v>
      </c>
      <c r="AL72" s="109" t="str">
        <f>IF(AND(U72&lt;=11,V72&gt;=11),"■","")</f>
        <v/>
      </c>
      <c r="AM72" s="109" t="str">
        <f>IF(AND(U72&lt;=12,V72&gt;=12),"■","")</f>
        <v/>
      </c>
      <c r="AN72" s="109" t="str">
        <f>IF(AND(U72&lt;=13,V72&gt;=13),"■","")</f>
        <v/>
      </c>
      <c r="AO72" s="109" t="str">
        <f>IF(AND(U72&lt;=14,V72&gt;=14),"■","")</f>
        <v/>
      </c>
      <c r="AP72" s="109" t="str">
        <f>IF(AND(U72&lt;=15,V72&gt;=15),"■","")</f>
        <v/>
      </c>
      <c r="AQ72" s="109" t="str">
        <f>IF(AND(U72&lt;=16,V72&gt;=16),"■","")</f>
        <v/>
      </c>
    </row>
    <row r="73" spans="1:44" ht="14.25" customHeight="1" x14ac:dyDescent="0.2">
      <c r="A73" s="22"/>
      <c r="B73" s="50"/>
      <c r="C73" s="46"/>
      <c r="D73" s="25"/>
      <c r="E73" s="51"/>
      <c r="F73" s="27"/>
      <c r="G73" s="28"/>
      <c r="H73" s="29">
        <f t="shared" ref="H73:H81" si="64">E73*G73</f>
        <v>0</v>
      </c>
      <c r="I73" s="44"/>
      <c r="J73" s="44"/>
      <c r="K73" s="37"/>
      <c r="L73" s="22"/>
      <c r="M73" s="22"/>
      <c r="N73" s="22"/>
      <c r="O73" s="45"/>
      <c r="P73" s="22"/>
      <c r="Q73" s="22"/>
      <c r="R73" s="6"/>
      <c r="S73" s="6"/>
      <c r="T73" s="6"/>
    </row>
    <row r="74" spans="1:44" ht="14.25" customHeight="1" x14ac:dyDescent="0.25">
      <c r="A74" s="22"/>
      <c r="B74" s="16" t="s">
        <v>138</v>
      </c>
      <c r="C74" s="16" t="s">
        <v>139</v>
      </c>
      <c r="D74" s="16"/>
      <c r="E74" s="51"/>
      <c r="F74" s="27"/>
      <c r="G74" s="28"/>
      <c r="H74" s="29">
        <f t="shared" si="64"/>
        <v>0</v>
      </c>
      <c r="I74" s="44"/>
      <c r="J74" s="44"/>
      <c r="K74" s="37"/>
      <c r="L74" s="22"/>
      <c r="M74" s="22"/>
      <c r="N74" s="22"/>
      <c r="O74" s="45"/>
      <c r="P74" s="22"/>
      <c r="Q74" s="22"/>
      <c r="R74" s="6"/>
      <c r="S74" s="6"/>
      <c r="T74" s="6"/>
    </row>
    <row r="75" spans="1:44" ht="14.25" customHeight="1" x14ac:dyDescent="0.2">
      <c r="A75" s="22"/>
      <c r="B75" s="23"/>
      <c r="C75" s="46" t="s">
        <v>140</v>
      </c>
      <c r="D75" s="25" t="s">
        <v>141</v>
      </c>
      <c r="E75" s="52"/>
      <c r="F75" s="27"/>
      <c r="G75" s="28"/>
      <c r="H75" s="29">
        <f t="shared" si="64"/>
        <v>0</v>
      </c>
      <c r="I75" s="44"/>
      <c r="J75" s="44"/>
      <c r="K75" s="37"/>
      <c r="L75" s="22"/>
      <c r="M75" s="22"/>
      <c r="N75" s="22"/>
      <c r="O75" s="45"/>
      <c r="P75" s="22"/>
      <c r="Q75" s="22"/>
      <c r="R75" s="6"/>
      <c r="S75" s="6"/>
      <c r="T75" s="6"/>
      <c r="U75" s="108">
        <v>1</v>
      </c>
      <c r="V75" s="108">
        <v>16</v>
      </c>
      <c r="W75" s="109">
        <f t="shared" ref="W75:W82" si="65">MAX(1,V75-U75+1)</f>
        <v>16</v>
      </c>
      <c r="X75" s="110">
        <f t="array" ref="X75">INDEX('KALENDER MINGGU'!$B$6:$B$21,U75)</f>
        <v>46226</v>
      </c>
      <c r="Y75" s="110">
        <f t="array" ref="Y75">INDEX('KALENDER MINGGU'!$C$6:$C$21,V75)</f>
        <v>46337</v>
      </c>
      <c r="AB75" s="109" t="str">
        <f t="shared" ref="AB75:AB81" si="66">IF(AND($U75&lt;=1,$V75&gt;=1),"■","")</f>
        <v>■</v>
      </c>
      <c r="AC75" s="109" t="str">
        <f t="shared" ref="AC75:AC81" si="67">IF(AND($U75&lt;=2,$V75&gt;=2),"■","")</f>
        <v>■</v>
      </c>
      <c r="AD75" s="109" t="str">
        <f t="shared" ref="AD75:AD81" si="68">IF(AND($U75&lt;=3,$V75&gt;=3),"■","")</f>
        <v>■</v>
      </c>
      <c r="AE75" s="109" t="str">
        <f t="shared" ref="AE75:AE81" si="69">IF(AND($U75&lt;=4,$V75&gt;=4),"■","")</f>
        <v>■</v>
      </c>
      <c r="AF75" s="109" t="str">
        <f t="shared" ref="AF75:AF81" si="70">IF(AND($U75&lt;=5,$V75&gt;=5),"■","")</f>
        <v>■</v>
      </c>
      <c r="AG75" s="109" t="str">
        <f t="shared" ref="AG75:AG81" si="71">IF(AND($U75&lt;=6,$V75&gt;=6),"■","")</f>
        <v>■</v>
      </c>
      <c r="AH75" s="109" t="str">
        <f t="shared" ref="AH75:AH81" si="72">IF(AND($U75&lt;=7,$V75&gt;=7),"■","")</f>
        <v>■</v>
      </c>
      <c r="AI75" s="109" t="str">
        <f t="shared" ref="AI75:AI81" si="73">IF(AND($U75&lt;=8,$V75&gt;=8),"■","")</f>
        <v>■</v>
      </c>
      <c r="AJ75" s="109" t="str">
        <f t="shared" ref="AJ75:AJ81" si="74">IF(AND($U75&lt;=9,$V75&gt;=9),"■","")</f>
        <v>■</v>
      </c>
      <c r="AK75" s="109" t="str">
        <f t="shared" ref="AK75:AK81" si="75">IF(AND($U75&lt;=10,$V75&gt;=10),"■","")</f>
        <v>■</v>
      </c>
      <c r="AL75" s="109" t="str">
        <f t="shared" ref="AL75:AL81" si="76">IF(AND($U75&lt;=11,$V75&gt;=11),"■","")</f>
        <v>■</v>
      </c>
      <c r="AM75" s="109" t="str">
        <f t="shared" ref="AM75:AM81" si="77">IF(AND($U75&lt;=12,$V75&gt;=12),"■","")</f>
        <v>■</v>
      </c>
      <c r="AN75" s="109" t="str">
        <f t="shared" ref="AN75:AN81" si="78">IF(AND($U75&lt;=13,$V75&gt;=13),"■","")</f>
        <v>■</v>
      </c>
      <c r="AO75" s="109" t="str">
        <f t="shared" ref="AO75:AO81" si="79">IF(AND($U75&lt;=14,$V75&gt;=14),"■","")</f>
        <v>■</v>
      </c>
      <c r="AP75" s="109" t="str">
        <f t="shared" ref="AP75:AP81" si="80">IF(AND($U75&lt;=15,$V75&gt;=15),"■","")</f>
        <v>■</v>
      </c>
      <c r="AQ75" s="109" t="str">
        <f t="shared" ref="AQ75:AQ81" si="81">IF(AND($U75&lt;=16,$V75&gt;=16),"■","")</f>
        <v>■</v>
      </c>
    </row>
    <row r="76" spans="1:44" ht="14.25" customHeight="1" x14ac:dyDescent="0.2">
      <c r="A76" s="22"/>
      <c r="B76" s="23"/>
      <c r="C76" s="46" t="s">
        <v>142</v>
      </c>
      <c r="D76" s="25" t="s">
        <v>143</v>
      </c>
      <c r="E76" s="51"/>
      <c r="F76" s="27"/>
      <c r="G76" s="28"/>
      <c r="H76" s="29">
        <f t="shared" si="64"/>
        <v>0</v>
      </c>
      <c r="I76" s="44"/>
      <c r="J76" s="44"/>
      <c r="K76" s="37"/>
      <c r="L76" s="22"/>
      <c r="M76" s="22"/>
      <c r="N76" s="22"/>
      <c r="O76" s="45"/>
      <c r="P76" s="22"/>
      <c r="Q76" s="22"/>
      <c r="R76" s="6"/>
      <c r="S76" s="6"/>
      <c r="T76" s="6"/>
      <c r="U76" s="108">
        <v>1</v>
      </c>
      <c r="V76" s="108">
        <v>16</v>
      </c>
      <c r="W76" s="109">
        <f t="shared" si="65"/>
        <v>16</v>
      </c>
      <c r="X76" s="110">
        <f t="array" ref="X76">INDEX('KALENDER MINGGU'!$B$6:$B$21,U76)</f>
        <v>46226</v>
      </c>
      <c r="Y76" s="110">
        <f t="array" ref="Y76">INDEX('KALENDER MINGGU'!$C$6:$C$21,V76)</f>
        <v>46337</v>
      </c>
      <c r="AB76" s="109" t="str">
        <f t="shared" si="66"/>
        <v>■</v>
      </c>
      <c r="AC76" s="109" t="str">
        <f t="shared" si="67"/>
        <v>■</v>
      </c>
      <c r="AD76" s="109" t="str">
        <f t="shared" si="68"/>
        <v>■</v>
      </c>
      <c r="AE76" s="109" t="str">
        <f t="shared" si="69"/>
        <v>■</v>
      </c>
      <c r="AF76" s="109" t="str">
        <f t="shared" si="70"/>
        <v>■</v>
      </c>
      <c r="AG76" s="109" t="str">
        <f t="shared" si="71"/>
        <v>■</v>
      </c>
      <c r="AH76" s="109" t="str">
        <f t="shared" si="72"/>
        <v>■</v>
      </c>
      <c r="AI76" s="109" t="str">
        <f t="shared" si="73"/>
        <v>■</v>
      </c>
      <c r="AJ76" s="109" t="str">
        <f t="shared" si="74"/>
        <v>■</v>
      </c>
      <c r="AK76" s="109" t="str">
        <f t="shared" si="75"/>
        <v>■</v>
      </c>
      <c r="AL76" s="109" t="str">
        <f t="shared" si="76"/>
        <v>■</v>
      </c>
      <c r="AM76" s="109" t="str">
        <f t="shared" si="77"/>
        <v>■</v>
      </c>
      <c r="AN76" s="109" t="str">
        <f t="shared" si="78"/>
        <v>■</v>
      </c>
      <c r="AO76" s="109" t="str">
        <f t="shared" si="79"/>
        <v>■</v>
      </c>
      <c r="AP76" s="109" t="str">
        <f t="shared" si="80"/>
        <v>■</v>
      </c>
      <c r="AQ76" s="109" t="str">
        <f t="shared" si="81"/>
        <v>■</v>
      </c>
    </row>
    <row r="77" spans="1:44" ht="14.25" customHeight="1" x14ac:dyDescent="0.2">
      <c r="A77" s="22"/>
      <c r="B77" s="50">
        <v>1</v>
      </c>
      <c r="C77" s="46" t="s">
        <v>144</v>
      </c>
      <c r="D77" s="25" t="s">
        <v>145</v>
      </c>
      <c r="E77" s="48">
        <f>E79-E78</f>
        <v>3281</v>
      </c>
      <c r="F77" s="27" t="s">
        <v>57</v>
      </c>
      <c r="G77" s="28">
        <v>40000</v>
      </c>
      <c r="H77" s="29">
        <f t="shared" si="64"/>
        <v>131240000</v>
      </c>
      <c r="I77" s="30">
        <v>3908731694</v>
      </c>
      <c r="J77" s="31">
        <f t="shared" ref="J77:J82" si="82">H77/I77*100</f>
        <v>3.3576108639397444</v>
      </c>
      <c r="K77" s="37"/>
      <c r="L77" s="22"/>
      <c r="M77" s="37" t="s">
        <v>146</v>
      </c>
      <c r="N77" s="37"/>
      <c r="O77" s="22"/>
      <c r="P77" s="22"/>
      <c r="Q77" s="22"/>
      <c r="R77" s="6"/>
      <c r="S77" s="6"/>
      <c r="T77" s="6"/>
      <c r="U77" s="108">
        <v>1</v>
      </c>
      <c r="V77" s="108">
        <v>16</v>
      </c>
      <c r="W77" s="109">
        <f t="shared" si="65"/>
        <v>16</v>
      </c>
      <c r="X77" s="110">
        <f t="array" ref="X77">INDEX('KALENDER MINGGU'!$B$6:$B$21,U77)</f>
        <v>46226</v>
      </c>
      <c r="Y77" s="110">
        <f t="array" ref="Y77">INDEX('KALENDER MINGGU'!$C$6:$C$21,V77)</f>
        <v>46337</v>
      </c>
      <c r="AB77" s="109" t="str">
        <f t="shared" si="66"/>
        <v>■</v>
      </c>
      <c r="AC77" s="109" t="str">
        <f t="shared" si="67"/>
        <v>■</v>
      </c>
      <c r="AD77" s="109" t="str">
        <f t="shared" si="68"/>
        <v>■</v>
      </c>
      <c r="AE77" s="109" t="str">
        <f t="shared" si="69"/>
        <v>■</v>
      </c>
      <c r="AF77" s="109" t="str">
        <f t="shared" si="70"/>
        <v>■</v>
      </c>
      <c r="AG77" s="109" t="str">
        <f t="shared" si="71"/>
        <v>■</v>
      </c>
      <c r="AH77" s="109" t="str">
        <f t="shared" si="72"/>
        <v>■</v>
      </c>
      <c r="AI77" s="109" t="str">
        <f t="shared" si="73"/>
        <v>■</v>
      </c>
      <c r="AJ77" s="109" t="str">
        <f t="shared" si="74"/>
        <v>■</v>
      </c>
      <c r="AK77" s="109" t="str">
        <f t="shared" si="75"/>
        <v>■</v>
      </c>
      <c r="AL77" s="109" t="str">
        <f t="shared" si="76"/>
        <v>■</v>
      </c>
      <c r="AM77" s="109" t="str">
        <f t="shared" si="77"/>
        <v>■</v>
      </c>
      <c r="AN77" s="109" t="str">
        <f t="shared" si="78"/>
        <v>■</v>
      </c>
      <c r="AO77" s="109" t="str">
        <f t="shared" si="79"/>
        <v>■</v>
      </c>
      <c r="AP77" s="109" t="str">
        <f t="shared" si="80"/>
        <v>■</v>
      </c>
      <c r="AQ77" s="109" t="str">
        <f t="shared" si="81"/>
        <v>■</v>
      </c>
      <c r="AR77" t="s">
        <v>464</v>
      </c>
    </row>
    <row r="78" spans="1:44" ht="14.25" customHeight="1" x14ac:dyDescent="0.2">
      <c r="A78" s="22"/>
      <c r="B78" s="50">
        <v>2</v>
      </c>
      <c r="C78" s="46" t="s">
        <v>147</v>
      </c>
      <c r="D78" s="25" t="s">
        <v>148</v>
      </c>
      <c r="E78" s="48">
        <v>490</v>
      </c>
      <c r="F78" s="27" t="s">
        <v>57</v>
      </c>
      <c r="G78" s="28">
        <v>155000</v>
      </c>
      <c r="H78" s="29">
        <f t="shared" si="64"/>
        <v>75950000</v>
      </c>
      <c r="I78" s="30">
        <v>3908731694</v>
      </c>
      <c r="J78" s="31">
        <f t="shared" si="82"/>
        <v>1.9430855312117006</v>
      </c>
      <c r="K78" s="37"/>
      <c r="L78" s="22"/>
      <c r="M78" s="37" t="s">
        <v>146</v>
      </c>
      <c r="N78" s="37"/>
      <c r="O78" s="22"/>
      <c r="P78" s="22"/>
      <c r="Q78" s="22"/>
      <c r="R78" s="6"/>
      <c r="S78" s="6"/>
      <c r="T78" s="6"/>
      <c r="U78" s="108">
        <v>1</v>
      </c>
      <c r="V78" s="108">
        <v>16</v>
      </c>
      <c r="W78" s="109">
        <f t="shared" si="65"/>
        <v>16</v>
      </c>
      <c r="X78" s="110">
        <f t="array" ref="X78">INDEX('KALENDER MINGGU'!$B$6:$B$21,U78)</f>
        <v>46226</v>
      </c>
      <c r="Y78" s="110">
        <f t="array" ref="Y78">INDEX('KALENDER MINGGU'!$C$6:$C$21,V78)</f>
        <v>46337</v>
      </c>
      <c r="AB78" s="109" t="str">
        <f t="shared" si="66"/>
        <v>■</v>
      </c>
      <c r="AC78" s="109" t="str">
        <f t="shared" si="67"/>
        <v>■</v>
      </c>
      <c r="AD78" s="109" t="str">
        <f t="shared" si="68"/>
        <v>■</v>
      </c>
      <c r="AE78" s="109" t="str">
        <f t="shared" si="69"/>
        <v>■</v>
      </c>
      <c r="AF78" s="109" t="str">
        <f t="shared" si="70"/>
        <v>■</v>
      </c>
      <c r="AG78" s="109" t="str">
        <f t="shared" si="71"/>
        <v>■</v>
      </c>
      <c r="AH78" s="109" t="str">
        <f t="shared" si="72"/>
        <v>■</v>
      </c>
      <c r="AI78" s="109" t="str">
        <f t="shared" si="73"/>
        <v>■</v>
      </c>
      <c r="AJ78" s="109" t="str">
        <f t="shared" si="74"/>
        <v>■</v>
      </c>
      <c r="AK78" s="109" t="str">
        <f t="shared" si="75"/>
        <v>■</v>
      </c>
      <c r="AL78" s="109" t="str">
        <f t="shared" si="76"/>
        <v>■</v>
      </c>
      <c r="AM78" s="109" t="str">
        <f t="shared" si="77"/>
        <v>■</v>
      </c>
      <c r="AN78" s="109" t="str">
        <f t="shared" si="78"/>
        <v>■</v>
      </c>
      <c r="AO78" s="109" t="str">
        <f t="shared" si="79"/>
        <v>■</v>
      </c>
      <c r="AP78" s="109" t="str">
        <f t="shared" si="80"/>
        <v>■</v>
      </c>
      <c r="AQ78" s="109" t="str">
        <f t="shared" si="81"/>
        <v>■</v>
      </c>
      <c r="AR78" t="s">
        <v>465</v>
      </c>
    </row>
    <row r="79" spans="1:44" ht="14.25" customHeight="1" x14ac:dyDescent="0.2">
      <c r="A79" s="22"/>
      <c r="B79" s="50">
        <v>3</v>
      </c>
      <c r="C79" s="46" t="s">
        <v>149</v>
      </c>
      <c r="D79" s="25"/>
      <c r="E79" s="48">
        <v>3771</v>
      </c>
      <c r="F79" s="27" t="s">
        <v>57</v>
      </c>
      <c r="G79" s="28">
        <v>35000</v>
      </c>
      <c r="H79" s="29">
        <f t="shared" si="64"/>
        <v>131985000</v>
      </c>
      <c r="I79" s="30">
        <v>3908731694</v>
      </c>
      <c r="J79" s="31">
        <f t="shared" si="82"/>
        <v>3.3766707549305637</v>
      </c>
      <c r="K79" s="37"/>
      <c r="L79" s="22"/>
      <c r="M79" s="37" t="s">
        <v>150</v>
      </c>
      <c r="N79" s="37"/>
      <c r="O79" s="22"/>
      <c r="P79" s="22"/>
      <c r="Q79" s="22"/>
      <c r="R79" s="6"/>
      <c r="S79" s="6"/>
      <c r="T79" s="6"/>
      <c r="U79" s="108">
        <v>1</v>
      </c>
      <c r="V79" s="108">
        <v>16</v>
      </c>
      <c r="W79" s="109">
        <f t="shared" si="65"/>
        <v>16</v>
      </c>
      <c r="X79" s="110">
        <f t="array" ref="X79">INDEX('KALENDER MINGGU'!$B$6:$B$21,U79)</f>
        <v>46226</v>
      </c>
      <c r="Y79" s="110">
        <f t="array" ref="Y79">INDEX('KALENDER MINGGU'!$C$6:$C$21,V79)</f>
        <v>46337</v>
      </c>
      <c r="AB79" s="109" t="str">
        <f t="shared" si="66"/>
        <v>■</v>
      </c>
      <c r="AC79" s="109" t="str">
        <f t="shared" si="67"/>
        <v>■</v>
      </c>
      <c r="AD79" s="109" t="str">
        <f t="shared" si="68"/>
        <v>■</v>
      </c>
      <c r="AE79" s="109" t="str">
        <f t="shared" si="69"/>
        <v>■</v>
      </c>
      <c r="AF79" s="109" t="str">
        <f t="shared" si="70"/>
        <v>■</v>
      </c>
      <c r="AG79" s="109" t="str">
        <f t="shared" si="71"/>
        <v>■</v>
      </c>
      <c r="AH79" s="109" t="str">
        <f t="shared" si="72"/>
        <v>■</v>
      </c>
      <c r="AI79" s="109" t="str">
        <f t="shared" si="73"/>
        <v>■</v>
      </c>
      <c r="AJ79" s="109" t="str">
        <f t="shared" si="74"/>
        <v>■</v>
      </c>
      <c r="AK79" s="109" t="str">
        <f t="shared" si="75"/>
        <v>■</v>
      </c>
      <c r="AL79" s="109" t="str">
        <f t="shared" si="76"/>
        <v>■</v>
      </c>
      <c r="AM79" s="109" t="str">
        <f t="shared" si="77"/>
        <v>■</v>
      </c>
      <c r="AN79" s="109" t="str">
        <f t="shared" si="78"/>
        <v>■</v>
      </c>
      <c r="AO79" s="109" t="str">
        <f t="shared" si="79"/>
        <v>■</v>
      </c>
      <c r="AP79" s="109" t="str">
        <f t="shared" si="80"/>
        <v>■</v>
      </c>
      <c r="AQ79" s="109" t="str">
        <f t="shared" si="81"/>
        <v>■</v>
      </c>
      <c r="AR79" t="s">
        <v>466</v>
      </c>
    </row>
    <row r="80" spans="1:44" ht="14.25" customHeight="1" x14ac:dyDescent="0.2">
      <c r="A80" s="22"/>
      <c r="B80" s="50">
        <v>4</v>
      </c>
      <c r="C80" s="46" t="s">
        <v>151</v>
      </c>
      <c r="D80" s="25" t="s">
        <v>152</v>
      </c>
      <c r="E80" s="48">
        <f>190/0.3*20*2/12*12.5*1.1</f>
        <v>29027.777777777781</v>
      </c>
      <c r="F80" s="27" t="s">
        <v>153</v>
      </c>
      <c r="G80" s="28">
        <v>20500</v>
      </c>
      <c r="H80" s="29">
        <f t="shared" si="64"/>
        <v>595069444.44444454</v>
      </c>
      <c r="I80" s="30">
        <v>3908731694</v>
      </c>
      <c r="J80" s="31">
        <f t="shared" si="82"/>
        <v>15.224105695407308</v>
      </c>
      <c r="K80" s="37"/>
      <c r="L80" s="22"/>
      <c r="M80" s="37" t="s">
        <v>154</v>
      </c>
      <c r="N80" s="37"/>
      <c r="O80" s="22"/>
      <c r="P80" s="22"/>
      <c r="Q80" s="22"/>
      <c r="R80" s="6"/>
      <c r="S80" s="6"/>
      <c r="T80" s="6"/>
      <c r="U80" s="108">
        <v>1</v>
      </c>
      <c r="V80" s="108">
        <v>16</v>
      </c>
      <c r="W80" s="109">
        <f t="shared" si="65"/>
        <v>16</v>
      </c>
      <c r="X80" s="110">
        <f t="array" ref="X80">INDEX('KALENDER MINGGU'!$B$6:$B$21,U80)</f>
        <v>46226</v>
      </c>
      <c r="Y80" s="110">
        <f t="array" ref="Y80">INDEX('KALENDER MINGGU'!$C$6:$C$21,V80)</f>
        <v>46337</v>
      </c>
      <c r="AB80" s="109" t="str">
        <f t="shared" si="66"/>
        <v>■</v>
      </c>
      <c r="AC80" s="109" t="str">
        <f t="shared" si="67"/>
        <v>■</v>
      </c>
      <c r="AD80" s="109" t="str">
        <f t="shared" si="68"/>
        <v>■</v>
      </c>
      <c r="AE80" s="109" t="str">
        <f t="shared" si="69"/>
        <v>■</v>
      </c>
      <c r="AF80" s="109" t="str">
        <f t="shared" si="70"/>
        <v>■</v>
      </c>
      <c r="AG80" s="109" t="str">
        <f t="shared" si="71"/>
        <v>■</v>
      </c>
      <c r="AH80" s="109" t="str">
        <f t="shared" si="72"/>
        <v>■</v>
      </c>
      <c r="AI80" s="109" t="str">
        <f t="shared" si="73"/>
        <v>■</v>
      </c>
      <c r="AJ80" s="109" t="str">
        <f t="shared" si="74"/>
        <v>■</v>
      </c>
      <c r="AK80" s="109" t="str">
        <f t="shared" si="75"/>
        <v>■</v>
      </c>
      <c r="AL80" s="109" t="str">
        <f t="shared" si="76"/>
        <v>■</v>
      </c>
      <c r="AM80" s="109" t="str">
        <f t="shared" si="77"/>
        <v>■</v>
      </c>
      <c r="AN80" s="109" t="str">
        <f t="shared" si="78"/>
        <v>■</v>
      </c>
      <c r="AO80" s="109" t="str">
        <f t="shared" si="79"/>
        <v>■</v>
      </c>
      <c r="AP80" s="109" t="str">
        <f t="shared" si="80"/>
        <v>■</v>
      </c>
      <c r="AQ80" s="109" t="str">
        <f t="shared" si="81"/>
        <v>■</v>
      </c>
      <c r="AR80" t="s">
        <v>467</v>
      </c>
    </row>
    <row r="81" spans="1:44" ht="14.25" customHeight="1" x14ac:dyDescent="0.2">
      <c r="A81" s="22"/>
      <c r="B81" s="50">
        <v>5</v>
      </c>
      <c r="C81" s="46" t="s">
        <v>155</v>
      </c>
      <c r="D81" s="25" t="s">
        <v>156</v>
      </c>
      <c r="E81" s="48">
        <f>(E77+E78)*0.135</f>
        <v>509.08500000000004</v>
      </c>
      <c r="F81" s="27" t="s">
        <v>157</v>
      </c>
      <c r="G81" s="28">
        <v>1450000</v>
      </c>
      <c r="H81" s="29">
        <f t="shared" si="64"/>
        <v>738173250</v>
      </c>
      <c r="I81" s="30">
        <v>3908731694</v>
      </c>
      <c r="J81" s="31">
        <f t="shared" si="82"/>
        <v>18.885237150790225</v>
      </c>
      <c r="K81" s="37"/>
      <c r="L81" s="22"/>
      <c r="M81" s="22"/>
      <c r="N81" s="22"/>
      <c r="O81" s="45"/>
      <c r="P81" s="22"/>
      <c r="Q81" s="22"/>
      <c r="R81" s="6"/>
      <c r="S81" s="6"/>
      <c r="T81" s="6"/>
      <c r="U81" s="108">
        <v>1</v>
      </c>
      <c r="V81" s="108">
        <v>16</v>
      </c>
      <c r="W81" s="109">
        <f t="shared" si="65"/>
        <v>16</v>
      </c>
      <c r="X81" s="110">
        <f t="array" ref="X81">INDEX('KALENDER MINGGU'!$B$6:$B$21,U81)</f>
        <v>46226</v>
      </c>
      <c r="Y81" s="110">
        <f t="array" ref="Y81">INDEX('KALENDER MINGGU'!$C$6:$C$21,V81)</f>
        <v>46337</v>
      </c>
      <c r="AB81" s="109" t="str">
        <f t="shared" si="66"/>
        <v>■</v>
      </c>
      <c r="AC81" s="109" t="str">
        <f t="shared" si="67"/>
        <v>■</v>
      </c>
      <c r="AD81" s="109" t="str">
        <f t="shared" si="68"/>
        <v>■</v>
      </c>
      <c r="AE81" s="109" t="str">
        <f t="shared" si="69"/>
        <v>■</v>
      </c>
      <c r="AF81" s="109" t="str">
        <f t="shared" si="70"/>
        <v>■</v>
      </c>
      <c r="AG81" s="109" t="str">
        <f t="shared" si="71"/>
        <v>■</v>
      </c>
      <c r="AH81" s="109" t="str">
        <f t="shared" si="72"/>
        <v>■</v>
      </c>
      <c r="AI81" s="109" t="str">
        <f t="shared" si="73"/>
        <v>■</v>
      </c>
      <c r="AJ81" s="109" t="str">
        <f t="shared" si="74"/>
        <v>■</v>
      </c>
      <c r="AK81" s="109" t="str">
        <f t="shared" si="75"/>
        <v>■</v>
      </c>
      <c r="AL81" s="109" t="str">
        <f t="shared" si="76"/>
        <v>■</v>
      </c>
      <c r="AM81" s="109" t="str">
        <f t="shared" si="77"/>
        <v>■</v>
      </c>
      <c r="AN81" s="109" t="str">
        <f t="shared" si="78"/>
        <v>■</v>
      </c>
      <c r="AO81" s="109" t="str">
        <f t="shared" si="79"/>
        <v>■</v>
      </c>
      <c r="AP81" s="109" t="str">
        <f t="shared" si="80"/>
        <v>■</v>
      </c>
      <c r="AQ81" s="109" t="str">
        <f t="shared" si="81"/>
        <v>■</v>
      </c>
      <c r="AR81" t="s">
        <v>468</v>
      </c>
    </row>
    <row r="82" spans="1:44" ht="14.25" customHeight="1" x14ac:dyDescent="0.2">
      <c r="A82" s="22"/>
      <c r="B82" s="50"/>
      <c r="C82" s="46"/>
      <c r="D82" s="25"/>
      <c r="E82" s="51"/>
      <c r="F82" s="27"/>
      <c r="G82" s="28"/>
      <c r="H82" s="49">
        <f>SUM(H77:H81)</f>
        <v>1672417694.4444447</v>
      </c>
      <c r="I82" s="30">
        <v>3908731694</v>
      </c>
      <c r="J82" s="43">
        <f t="shared" si="82"/>
        <v>42.786709996279541</v>
      </c>
      <c r="K82" s="37"/>
      <c r="L82" s="22"/>
      <c r="M82" s="22"/>
      <c r="N82" s="22"/>
      <c r="O82" s="45"/>
      <c r="P82" s="22"/>
      <c r="Q82" s="22"/>
      <c r="R82" s="6"/>
      <c r="S82" s="6"/>
      <c r="T82" s="6"/>
      <c r="U82" s="109">
        <f>MIN(U75:U81)</f>
        <v>1</v>
      </c>
      <c r="V82" s="109">
        <f>MAX(V75:V81)</f>
        <v>16</v>
      </c>
      <c r="W82" s="109">
        <f t="shared" si="65"/>
        <v>16</v>
      </c>
      <c r="X82" s="110">
        <f t="array" ref="X82">INDEX('KALENDER MINGGU'!$B$6:$B$21,U82)</f>
        <v>46226</v>
      </c>
      <c r="Y82" s="110">
        <f t="array" ref="Y82">INDEX('KALENDER MINGGU'!$C$6:$C$21,V82)</f>
        <v>46337</v>
      </c>
      <c r="Z82" s="111">
        <f>SUM(TS!M28:AB28)/TS!L27*100</f>
        <v>98.085321820437699</v>
      </c>
      <c r="AA82" s="109" t="str">
        <f ca="1">IF(Z82&gt;=99.9,"COMPLETED",IF(U82&gt;'RENCANA MINGGUAN'!$J$7,"NOT STARTED",IF(V82&lt;'RENCANA MINGGUAN'!$J$7,"CRITICAL",IF(Z82+1&lt;W82,"DELAYED","ON SCHEDULE"))))</f>
        <v>ON SCHEDULE</v>
      </c>
      <c r="AB82" s="109" t="str">
        <f>IF(AND(U82&lt;=1,V82&gt;=1),"■","")</f>
        <v>■</v>
      </c>
      <c r="AC82" s="109" t="str">
        <f>IF(AND(U82&lt;=2,V82&gt;=2),"■","")</f>
        <v>■</v>
      </c>
      <c r="AD82" s="109" t="str">
        <f>IF(AND(U82&lt;=3,V82&gt;=3),"■","")</f>
        <v>■</v>
      </c>
      <c r="AE82" s="109" t="str">
        <f>IF(AND(U82&lt;=4,V82&gt;=4),"■","")</f>
        <v>■</v>
      </c>
      <c r="AF82" s="109" t="str">
        <f>IF(AND(U82&lt;=5,V82&gt;=5),"■","")</f>
        <v>■</v>
      </c>
      <c r="AG82" s="109" t="str">
        <f>IF(AND(U82&lt;=6,V82&gt;=6),"■","")</f>
        <v>■</v>
      </c>
      <c r="AH82" s="109" t="str">
        <f>IF(AND(U82&lt;=7,V82&gt;=7),"■","")</f>
        <v>■</v>
      </c>
      <c r="AI82" s="109" t="str">
        <f>IF(AND(U82&lt;=8,V82&gt;=8),"■","")</f>
        <v>■</v>
      </c>
      <c r="AJ82" s="109" t="str">
        <f>IF(AND(U82&lt;=9,V82&gt;=9),"■","")</f>
        <v>■</v>
      </c>
      <c r="AK82" s="109" t="str">
        <f>IF(AND(U82&lt;=10,V82&gt;=10),"■","")</f>
        <v>■</v>
      </c>
      <c r="AL82" s="109" t="str">
        <f>IF(AND(U82&lt;=11,V82&gt;=11),"■","")</f>
        <v>■</v>
      </c>
      <c r="AM82" s="109" t="str">
        <f>IF(AND(U82&lt;=12,V82&gt;=12),"■","")</f>
        <v>■</v>
      </c>
      <c r="AN82" s="109" t="str">
        <f>IF(AND(U82&lt;=13,V82&gt;=13),"■","")</f>
        <v>■</v>
      </c>
      <c r="AO82" s="109" t="str">
        <f>IF(AND(U82&lt;=14,V82&gt;=14),"■","")</f>
        <v>■</v>
      </c>
      <c r="AP82" s="109" t="str">
        <f>IF(AND(U82&lt;=15,V82&gt;=15),"■","")</f>
        <v>■</v>
      </c>
      <c r="AQ82" s="109" t="str">
        <f>IF(AND(U82&lt;=16,V82&gt;=16),"■","")</f>
        <v>■</v>
      </c>
    </row>
    <row r="83" spans="1:44" ht="14.25" customHeight="1" x14ac:dyDescent="0.2">
      <c r="A83" s="22"/>
      <c r="B83" s="50"/>
      <c r="C83" s="46"/>
      <c r="D83" s="25"/>
      <c r="E83" s="51"/>
      <c r="F83" s="27"/>
      <c r="G83" s="28"/>
      <c r="H83" s="29">
        <f>E83*G83</f>
        <v>0</v>
      </c>
      <c r="I83" s="44"/>
      <c r="J83" s="44"/>
      <c r="K83" s="37"/>
      <c r="L83" s="22"/>
      <c r="M83" s="22"/>
      <c r="N83" s="22"/>
      <c r="O83" s="45"/>
      <c r="P83" s="22"/>
      <c r="Q83" s="22"/>
      <c r="R83" s="6"/>
      <c r="S83" s="6"/>
      <c r="T83" s="6"/>
    </row>
    <row r="84" spans="1:44" ht="14.25" customHeight="1" x14ac:dyDescent="0.25">
      <c r="A84" s="22"/>
      <c r="B84" s="16" t="s">
        <v>158</v>
      </c>
      <c r="C84" s="16" t="s">
        <v>159</v>
      </c>
      <c r="D84" s="16"/>
      <c r="E84" s="51"/>
      <c r="F84" s="27"/>
      <c r="G84" s="28"/>
      <c r="H84" s="29">
        <f>E84*G84</f>
        <v>0</v>
      </c>
      <c r="I84" s="44"/>
      <c r="J84" s="44"/>
      <c r="K84" s="37"/>
      <c r="L84" s="22"/>
      <c r="M84" s="22"/>
      <c r="N84" s="22"/>
      <c r="O84" s="45"/>
      <c r="P84" s="22"/>
      <c r="Q84" s="22"/>
      <c r="R84" s="6"/>
      <c r="S84" s="6"/>
      <c r="T84" s="6"/>
    </row>
    <row r="85" spans="1:44" ht="14.25" customHeight="1" x14ac:dyDescent="0.2">
      <c r="A85" s="22"/>
      <c r="B85" s="23">
        <v>1</v>
      </c>
      <c r="C85" s="46" t="s">
        <v>160</v>
      </c>
      <c r="D85" s="25" t="s">
        <v>161</v>
      </c>
      <c r="E85" s="47">
        <v>734.4</v>
      </c>
      <c r="F85" s="27" t="s">
        <v>57</v>
      </c>
      <c r="G85" s="28">
        <v>57500</v>
      </c>
      <c r="H85" s="29">
        <f>E85*G85</f>
        <v>42228000</v>
      </c>
      <c r="I85" s="30">
        <v>3908731694</v>
      </c>
      <c r="J85" s="31">
        <f>H85/I85*100</f>
        <v>1.0803504386044462</v>
      </c>
      <c r="K85" s="37"/>
      <c r="L85" s="22"/>
      <c r="M85" s="22">
        <v>734.4</v>
      </c>
      <c r="N85" s="22"/>
      <c r="O85" s="45"/>
      <c r="P85" s="22"/>
      <c r="Q85" s="22"/>
      <c r="R85" s="6"/>
      <c r="S85" s="6"/>
      <c r="T85" s="6"/>
      <c r="U85" s="108">
        <v>5</v>
      </c>
      <c r="V85" s="108">
        <v>14</v>
      </c>
      <c r="W85" s="109">
        <f>MAX(1,V85-U85+1)</f>
        <v>10</v>
      </c>
      <c r="X85" s="110">
        <f t="array" ref="X85">INDEX('KALENDER MINGGU'!$B$6:$B$21,U85)</f>
        <v>46254</v>
      </c>
      <c r="Y85" s="110">
        <f t="array" ref="Y85">INDEX('KALENDER MINGGU'!$C$6:$C$21,V85)</f>
        <v>46323</v>
      </c>
      <c r="AB85" s="109" t="str">
        <f>IF(AND($U85&lt;=1,$V85&gt;=1),"■","")</f>
        <v/>
      </c>
      <c r="AC85" s="109" t="str">
        <f>IF(AND($U85&lt;=2,$V85&gt;=2),"■","")</f>
        <v/>
      </c>
      <c r="AD85" s="109" t="str">
        <f>IF(AND($U85&lt;=3,$V85&gt;=3),"■","")</f>
        <v/>
      </c>
      <c r="AE85" s="109" t="str">
        <f>IF(AND($U85&lt;=4,$V85&gt;=4),"■","")</f>
        <v/>
      </c>
      <c r="AF85" s="109" t="str">
        <f>IF(AND($U85&lt;=5,$V85&gt;=5),"■","")</f>
        <v>■</v>
      </c>
      <c r="AG85" s="109" t="str">
        <f>IF(AND($U85&lt;=6,$V85&gt;=6),"■","")</f>
        <v>■</v>
      </c>
      <c r="AH85" s="109" t="str">
        <f>IF(AND($U85&lt;=7,$V85&gt;=7),"■","")</f>
        <v>■</v>
      </c>
      <c r="AI85" s="109" t="str">
        <f>IF(AND($U85&lt;=8,$V85&gt;=8),"■","")</f>
        <v>■</v>
      </c>
      <c r="AJ85" s="109" t="str">
        <f>IF(AND($U85&lt;=9,$V85&gt;=9),"■","")</f>
        <v>■</v>
      </c>
      <c r="AK85" s="109" t="str">
        <f>IF(AND($U85&lt;=10,$V85&gt;=10),"■","")</f>
        <v>■</v>
      </c>
      <c r="AL85" s="109" t="str">
        <f>IF(AND($U85&lt;=11,$V85&gt;=11),"■","")</f>
        <v>■</v>
      </c>
      <c r="AM85" s="109" t="str">
        <f>IF(AND($U85&lt;=12,$V85&gt;=12),"■","")</f>
        <v>■</v>
      </c>
      <c r="AN85" s="109" t="str">
        <f>IF(AND($U85&lt;=13,$V85&gt;=13),"■","")</f>
        <v>■</v>
      </c>
      <c r="AO85" s="109" t="str">
        <f>IF(AND($U85&lt;=14,$V85&gt;=14),"■","")</f>
        <v>■</v>
      </c>
      <c r="AP85" s="109" t="str">
        <f>IF(AND($U85&lt;=15,$V85&gt;=15),"■","")</f>
        <v/>
      </c>
      <c r="AQ85" s="109" t="str">
        <f>IF(AND($U85&lt;=16,$V85&gt;=16),"■","")</f>
        <v/>
      </c>
      <c r="AR85" t="s">
        <v>469</v>
      </c>
    </row>
    <row r="86" spans="1:44" ht="14.25" customHeight="1" x14ac:dyDescent="0.2">
      <c r="A86" s="22"/>
      <c r="B86" s="23">
        <v>2</v>
      </c>
      <c r="C86" s="46" t="s">
        <v>162</v>
      </c>
      <c r="D86" s="25" t="s">
        <v>161</v>
      </c>
      <c r="E86" s="47">
        <v>516</v>
      </c>
      <c r="F86" s="27" t="s">
        <v>57</v>
      </c>
      <c r="G86" s="28">
        <v>57500</v>
      </c>
      <c r="H86" s="29">
        <f>E86*G86</f>
        <v>29670000</v>
      </c>
      <c r="I86" s="30">
        <v>3908731694</v>
      </c>
      <c r="J86" s="31">
        <f>H86/I86*100</f>
        <v>0.75906975261423504</v>
      </c>
      <c r="K86" s="37"/>
      <c r="L86" s="22"/>
      <c r="M86" s="22"/>
      <c r="N86" s="22"/>
      <c r="O86" s="45"/>
      <c r="P86" s="22"/>
      <c r="Q86" s="22"/>
      <c r="R86" s="6"/>
      <c r="S86" s="6"/>
      <c r="T86" s="6"/>
      <c r="U86" s="108">
        <v>5</v>
      </c>
      <c r="V86" s="108">
        <v>14</v>
      </c>
      <c r="W86" s="109">
        <f>MAX(1,V86-U86+1)</f>
        <v>10</v>
      </c>
      <c r="X86" s="110">
        <f t="array" ref="X86">INDEX('KALENDER MINGGU'!$B$6:$B$21,U86)</f>
        <v>46254</v>
      </c>
      <c r="Y86" s="110">
        <f t="array" ref="Y86">INDEX('KALENDER MINGGU'!$C$6:$C$21,V86)</f>
        <v>46323</v>
      </c>
      <c r="AB86" s="109" t="str">
        <f>IF(AND($U86&lt;=1,$V86&gt;=1),"■","")</f>
        <v/>
      </c>
      <c r="AC86" s="109" t="str">
        <f>IF(AND($U86&lt;=2,$V86&gt;=2),"■","")</f>
        <v/>
      </c>
      <c r="AD86" s="109" t="str">
        <f>IF(AND($U86&lt;=3,$V86&gt;=3),"■","")</f>
        <v/>
      </c>
      <c r="AE86" s="109" t="str">
        <f>IF(AND($U86&lt;=4,$V86&gt;=4),"■","")</f>
        <v/>
      </c>
      <c r="AF86" s="109" t="str">
        <f>IF(AND($U86&lt;=5,$V86&gt;=5),"■","")</f>
        <v>■</v>
      </c>
      <c r="AG86" s="109" t="str">
        <f>IF(AND($U86&lt;=6,$V86&gt;=6),"■","")</f>
        <v>■</v>
      </c>
      <c r="AH86" s="109" t="str">
        <f>IF(AND($U86&lt;=7,$V86&gt;=7),"■","")</f>
        <v>■</v>
      </c>
      <c r="AI86" s="109" t="str">
        <f>IF(AND($U86&lt;=8,$V86&gt;=8),"■","")</f>
        <v>■</v>
      </c>
      <c r="AJ86" s="109" t="str">
        <f>IF(AND($U86&lt;=9,$V86&gt;=9),"■","")</f>
        <v>■</v>
      </c>
      <c r="AK86" s="109" t="str">
        <f>IF(AND($U86&lt;=10,$V86&gt;=10),"■","")</f>
        <v>■</v>
      </c>
      <c r="AL86" s="109" t="str">
        <f>IF(AND($U86&lt;=11,$V86&gt;=11),"■","")</f>
        <v>■</v>
      </c>
      <c r="AM86" s="109" t="str">
        <f>IF(AND($U86&lt;=12,$V86&gt;=12),"■","")</f>
        <v>■</v>
      </c>
      <c r="AN86" s="109" t="str">
        <f>IF(AND($U86&lt;=13,$V86&gt;=13),"■","")</f>
        <v>■</v>
      </c>
      <c r="AO86" s="109" t="str">
        <f>IF(AND($U86&lt;=14,$V86&gt;=14),"■","")</f>
        <v>■</v>
      </c>
      <c r="AP86" s="109" t="str">
        <f>IF(AND($U86&lt;=15,$V86&gt;=15),"■","")</f>
        <v/>
      </c>
      <c r="AQ86" s="109" t="str">
        <f>IF(AND($U86&lt;=16,$V86&gt;=16),"■","")</f>
        <v/>
      </c>
      <c r="AR86" t="s">
        <v>470</v>
      </c>
    </row>
    <row r="87" spans="1:44" ht="14.25" customHeight="1" x14ac:dyDescent="0.2">
      <c r="A87" s="22"/>
      <c r="B87" s="50"/>
      <c r="C87" s="46"/>
      <c r="D87" s="25"/>
      <c r="E87" s="51"/>
      <c r="F87" s="27"/>
      <c r="G87" s="28"/>
      <c r="H87" s="49">
        <f>SUM(H85:H86)</f>
        <v>71898000</v>
      </c>
      <c r="I87" s="30">
        <v>3908731694</v>
      </c>
      <c r="J87" s="43">
        <f>H87/I87*100</f>
        <v>1.8394201912186812</v>
      </c>
      <c r="K87" s="37"/>
      <c r="L87" s="22"/>
      <c r="M87" s="22"/>
      <c r="N87" s="22"/>
      <c r="O87" s="45"/>
      <c r="P87" s="22"/>
      <c r="Q87" s="22"/>
      <c r="R87" s="6"/>
      <c r="S87" s="6"/>
      <c r="T87" s="6"/>
      <c r="U87" s="109">
        <f>MIN(U85:U86)</f>
        <v>5</v>
      </c>
      <c r="V87" s="109">
        <f>MAX(V85:V86)</f>
        <v>14</v>
      </c>
      <c r="W87" s="109">
        <f>MAX(1,V87-U87+1)</f>
        <v>10</v>
      </c>
      <c r="X87" s="110">
        <f t="array" ref="X87">INDEX('KALENDER MINGGU'!$B$6:$B$21,U87)</f>
        <v>46254</v>
      </c>
      <c r="Y87" s="110">
        <f t="array" ref="Y87">INDEX('KALENDER MINGGU'!$C$6:$C$21,V87)</f>
        <v>46323</v>
      </c>
      <c r="Z87" s="111">
        <f>SUM(TS!M30:AB30)/TS!L29*100</f>
        <v>85.252719129878457</v>
      </c>
      <c r="AA87" s="109" t="str">
        <f ca="1">IF(Z87&gt;=99.9,"COMPLETED",IF(U87&gt;'RENCANA MINGGUAN'!$J$7,"NOT STARTED",IF(V87&lt;'RENCANA MINGGUAN'!$J$7,"CRITICAL",IF(Z87+1&lt;W87,"DELAYED","ON SCHEDULE"))))</f>
        <v>ON SCHEDULE</v>
      </c>
      <c r="AB87" s="109" t="str">
        <f>IF(AND(U87&lt;=1,V87&gt;=1),"■","")</f>
        <v/>
      </c>
      <c r="AC87" s="109" t="str">
        <f>IF(AND(U87&lt;=2,V87&gt;=2),"■","")</f>
        <v/>
      </c>
      <c r="AD87" s="109" t="str">
        <f>IF(AND(U87&lt;=3,V87&gt;=3),"■","")</f>
        <v/>
      </c>
      <c r="AE87" s="109" t="str">
        <f>IF(AND(U87&lt;=4,V87&gt;=4),"■","")</f>
        <v/>
      </c>
      <c r="AF87" s="109" t="str">
        <f>IF(AND(U87&lt;=5,V87&gt;=5),"■","")</f>
        <v>■</v>
      </c>
      <c r="AG87" s="109" t="str">
        <f>IF(AND(U87&lt;=6,V87&gt;=6),"■","")</f>
        <v>■</v>
      </c>
      <c r="AH87" s="109" t="str">
        <f>IF(AND(U87&lt;=7,V87&gt;=7),"■","")</f>
        <v>■</v>
      </c>
      <c r="AI87" s="109" t="str">
        <f>IF(AND(U87&lt;=8,V87&gt;=8),"■","")</f>
        <v>■</v>
      </c>
      <c r="AJ87" s="109" t="str">
        <f>IF(AND(U87&lt;=9,V87&gt;=9),"■","")</f>
        <v>■</v>
      </c>
      <c r="AK87" s="109" t="str">
        <f>IF(AND(U87&lt;=10,V87&gt;=10),"■","")</f>
        <v>■</v>
      </c>
      <c r="AL87" s="109" t="str">
        <f>IF(AND(U87&lt;=11,V87&gt;=11),"■","")</f>
        <v>■</v>
      </c>
      <c r="AM87" s="109" t="str">
        <f>IF(AND(U87&lt;=12,V87&gt;=12),"■","")</f>
        <v>■</v>
      </c>
      <c r="AN87" s="109" t="str">
        <f>IF(AND(U87&lt;=13,V87&gt;=13),"■","")</f>
        <v>■</v>
      </c>
      <c r="AO87" s="109" t="str">
        <f>IF(AND(U87&lt;=14,V87&gt;=14),"■","")</f>
        <v>■</v>
      </c>
      <c r="AP87" s="109" t="str">
        <f>IF(AND(U87&lt;=15,V87&gt;=15),"■","")</f>
        <v/>
      </c>
      <c r="AQ87" s="109" t="str">
        <f>IF(AND(U87&lt;=16,V87&gt;=16),"■","")</f>
        <v/>
      </c>
    </row>
    <row r="88" spans="1:44" ht="14.25" customHeight="1" x14ac:dyDescent="0.2">
      <c r="A88" s="22"/>
      <c r="B88" s="50"/>
      <c r="C88" s="46"/>
      <c r="D88" s="25"/>
      <c r="E88" s="51"/>
      <c r="F88" s="27"/>
      <c r="G88" s="28"/>
      <c r="H88" s="29">
        <f>E88*G88</f>
        <v>0</v>
      </c>
      <c r="I88" s="44"/>
      <c r="J88" s="44"/>
      <c r="K88" s="37"/>
      <c r="L88" s="22"/>
      <c r="M88" s="22"/>
      <c r="N88" s="22"/>
      <c r="O88" s="45"/>
      <c r="P88" s="22"/>
      <c r="Q88" s="22"/>
      <c r="R88" s="6"/>
      <c r="S88" s="6"/>
      <c r="T88" s="6"/>
    </row>
    <row r="89" spans="1:44" ht="35.25" customHeight="1" x14ac:dyDescent="0.25">
      <c r="A89" s="22"/>
      <c r="B89" s="16" t="s">
        <v>163</v>
      </c>
      <c r="C89" s="286" t="s">
        <v>164</v>
      </c>
      <c r="D89" s="286"/>
      <c r="E89" s="286"/>
      <c r="F89" s="286"/>
      <c r="G89" s="286"/>
      <c r="H89" s="29">
        <f>E89*G89</f>
        <v>0</v>
      </c>
      <c r="I89" s="44"/>
      <c r="J89" s="44"/>
      <c r="K89" s="37"/>
      <c r="L89" s="22"/>
      <c r="M89" s="22"/>
      <c r="N89" s="22"/>
      <c r="O89" s="45"/>
      <c r="P89" s="22"/>
      <c r="Q89" s="22"/>
      <c r="R89" s="6"/>
      <c r="S89" s="6"/>
      <c r="T89" s="6"/>
    </row>
    <row r="90" spans="1:44" ht="14.25" customHeight="1" x14ac:dyDescent="0.2">
      <c r="A90" s="22"/>
      <c r="B90" s="23"/>
      <c r="C90" s="46"/>
      <c r="D90" s="25"/>
      <c r="E90" s="48"/>
      <c r="F90" s="27"/>
      <c r="G90" s="28"/>
      <c r="H90" s="29"/>
      <c r="I90" s="44"/>
      <c r="J90" s="44"/>
      <c r="K90" s="37"/>
      <c r="L90" s="22"/>
      <c r="M90" s="22"/>
      <c r="N90" s="22"/>
      <c r="O90" s="45"/>
      <c r="P90" s="22"/>
      <c r="Q90" s="22"/>
      <c r="R90" s="6"/>
      <c r="S90" s="6"/>
      <c r="T90" s="6"/>
    </row>
    <row r="91" spans="1:44" ht="14.25" customHeight="1" x14ac:dyDescent="0.2">
      <c r="A91" s="22"/>
      <c r="B91" s="23">
        <v>2</v>
      </c>
      <c r="C91" s="46" t="s">
        <v>165</v>
      </c>
      <c r="D91" s="25" t="s">
        <v>166</v>
      </c>
      <c r="E91" s="47">
        <v>94.875</v>
      </c>
      <c r="F91" s="27" t="s">
        <v>135</v>
      </c>
      <c r="G91" s="53">
        <v>380000</v>
      </c>
      <c r="H91" s="29">
        <f t="shared" ref="H91:H105" si="83">E91*G91</f>
        <v>36052500</v>
      </c>
      <c r="I91" s="30">
        <v>3908731694</v>
      </c>
      <c r="J91" s="31">
        <f t="shared" ref="J91:J106" si="84">H91/I91*100</f>
        <v>0.92235801335101819</v>
      </c>
      <c r="K91" s="37"/>
      <c r="L91" s="22"/>
      <c r="M91" s="22"/>
      <c r="N91" s="22"/>
      <c r="O91" s="45"/>
      <c r="P91" s="22"/>
      <c r="Q91" s="22"/>
      <c r="R91" s="6"/>
      <c r="S91" s="6"/>
      <c r="T91" s="6"/>
      <c r="U91" s="108">
        <v>6</v>
      </c>
      <c r="V91" s="108">
        <v>7</v>
      </c>
      <c r="W91" s="109">
        <f t="shared" ref="W91:W106" si="85">MAX(1,V91-U91+1)</f>
        <v>2</v>
      </c>
      <c r="X91" s="110">
        <f t="array" ref="X91">INDEX('KALENDER MINGGU'!$B$6:$B$21,U91)</f>
        <v>46261</v>
      </c>
      <c r="Y91" s="110">
        <f t="array" ref="Y91">INDEX('KALENDER MINGGU'!$C$6:$C$21,V91)</f>
        <v>46274</v>
      </c>
      <c r="AB91" s="109" t="str">
        <f t="shared" ref="AB91:AB105" si="86">IF(AND($U91&lt;=1,$V91&gt;=1),"■","")</f>
        <v/>
      </c>
      <c r="AC91" s="109" t="str">
        <f t="shared" ref="AC91:AC105" si="87">IF(AND($U91&lt;=2,$V91&gt;=2),"■","")</f>
        <v/>
      </c>
      <c r="AD91" s="109" t="str">
        <f t="shared" ref="AD91:AD105" si="88">IF(AND($U91&lt;=3,$V91&gt;=3),"■","")</f>
        <v/>
      </c>
      <c r="AE91" s="109" t="str">
        <f t="shared" ref="AE91:AE105" si="89">IF(AND($U91&lt;=4,$V91&gt;=4),"■","")</f>
        <v/>
      </c>
      <c r="AF91" s="109" t="str">
        <f t="shared" ref="AF91:AF105" si="90">IF(AND($U91&lt;=5,$V91&gt;=5),"■","")</f>
        <v/>
      </c>
      <c r="AG91" s="109" t="str">
        <f t="shared" ref="AG91:AG105" si="91">IF(AND($U91&lt;=6,$V91&gt;=6),"■","")</f>
        <v>■</v>
      </c>
      <c r="AH91" s="109" t="str">
        <f t="shared" ref="AH91:AH105" si="92">IF(AND($U91&lt;=7,$V91&gt;=7),"■","")</f>
        <v>■</v>
      </c>
      <c r="AI91" s="109" t="str">
        <f t="shared" ref="AI91:AI105" si="93">IF(AND($U91&lt;=8,$V91&gt;=8),"■","")</f>
        <v/>
      </c>
      <c r="AJ91" s="109" t="str">
        <f t="shared" ref="AJ91:AJ105" si="94">IF(AND($U91&lt;=9,$V91&gt;=9),"■","")</f>
        <v/>
      </c>
      <c r="AK91" s="109" t="str">
        <f t="shared" ref="AK91:AK105" si="95">IF(AND($U91&lt;=10,$V91&gt;=10),"■","")</f>
        <v/>
      </c>
      <c r="AL91" s="109" t="str">
        <f t="shared" ref="AL91:AL105" si="96">IF(AND($U91&lt;=11,$V91&gt;=11),"■","")</f>
        <v/>
      </c>
      <c r="AM91" s="109" t="str">
        <f t="shared" ref="AM91:AM105" si="97">IF(AND($U91&lt;=12,$V91&gt;=12),"■","")</f>
        <v/>
      </c>
      <c r="AN91" s="109" t="str">
        <f t="shared" ref="AN91:AN105" si="98">IF(AND($U91&lt;=13,$V91&gt;=13),"■","")</f>
        <v/>
      </c>
      <c r="AO91" s="109" t="str">
        <f t="shared" ref="AO91:AO105" si="99">IF(AND($U91&lt;=14,$V91&gt;=14),"■","")</f>
        <v/>
      </c>
      <c r="AP91" s="109" t="str">
        <f t="shared" ref="AP91:AP105" si="100">IF(AND($U91&lt;=15,$V91&gt;=15),"■","")</f>
        <v/>
      </c>
      <c r="AQ91" s="109" t="str">
        <f t="shared" ref="AQ91:AQ105" si="101">IF(AND($U91&lt;=16,$V91&gt;=16),"■","")</f>
        <v/>
      </c>
      <c r="AR91" t="s">
        <v>471</v>
      </c>
    </row>
    <row r="92" spans="1:44" ht="14.25" customHeight="1" x14ac:dyDescent="0.2">
      <c r="A92" s="22"/>
      <c r="B92" s="23">
        <v>3</v>
      </c>
      <c r="C92" s="46" t="s">
        <v>167</v>
      </c>
      <c r="D92" s="25" t="s">
        <v>168</v>
      </c>
      <c r="E92" s="47">
        <v>88</v>
      </c>
      <c r="F92" s="27" t="s">
        <v>57</v>
      </c>
      <c r="G92" s="28">
        <v>221000</v>
      </c>
      <c r="H92" s="29">
        <f t="shared" si="83"/>
        <v>19448000</v>
      </c>
      <c r="I92" s="30">
        <v>3908731694</v>
      </c>
      <c r="J92" s="31">
        <f t="shared" si="84"/>
        <v>0.49755269797241802</v>
      </c>
      <c r="K92" s="37"/>
      <c r="L92" s="22"/>
      <c r="M92" s="22"/>
      <c r="N92" s="22"/>
      <c r="O92" s="45"/>
      <c r="P92" s="22"/>
      <c r="Q92" s="22"/>
      <c r="R92" s="6"/>
      <c r="S92" s="6"/>
      <c r="T92" s="6"/>
      <c r="U92" s="108">
        <v>7</v>
      </c>
      <c r="V92" s="108">
        <v>8</v>
      </c>
      <c r="W92" s="109">
        <f t="shared" si="85"/>
        <v>2</v>
      </c>
      <c r="X92" s="110">
        <f t="array" ref="X92">INDEX('KALENDER MINGGU'!$B$6:$B$21,U92)</f>
        <v>46268</v>
      </c>
      <c r="Y92" s="110">
        <f t="array" ref="Y92">INDEX('KALENDER MINGGU'!$C$6:$C$21,V92)</f>
        <v>46281</v>
      </c>
      <c r="AB92" s="109" t="str">
        <f t="shared" si="86"/>
        <v/>
      </c>
      <c r="AC92" s="109" t="str">
        <f t="shared" si="87"/>
        <v/>
      </c>
      <c r="AD92" s="109" t="str">
        <f t="shared" si="88"/>
        <v/>
      </c>
      <c r="AE92" s="109" t="str">
        <f t="shared" si="89"/>
        <v/>
      </c>
      <c r="AF92" s="109" t="str">
        <f t="shared" si="90"/>
        <v/>
      </c>
      <c r="AG92" s="109" t="str">
        <f t="shared" si="91"/>
        <v/>
      </c>
      <c r="AH92" s="109" t="str">
        <f t="shared" si="92"/>
        <v>■</v>
      </c>
      <c r="AI92" s="109" t="str">
        <f t="shared" si="93"/>
        <v>■</v>
      </c>
      <c r="AJ92" s="109" t="str">
        <f t="shared" si="94"/>
        <v/>
      </c>
      <c r="AK92" s="109" t="str">
        <f t="shared" si="95"/>
        <v/>
      </c>
      <c r="AL92" s="109" t="str">
        <f t="shared" si="96"/>
        <v/>
      </c>
      <c r="AM92" s="109" t="str">
        <f t="shared" si="97"/>
        <v/>
      </c>
      <c r="AN92" s="109" t="str">
        <f t="shared" si="98"/>
        <v/>
      </c>
      <c r="AO92" s="109" t="str">
        <f t="shared" si="99"/>
        <v/>
      </c>
      <c r="AP92" s="109" t="str">
        <f t="shared" si="100"/>
        <v/>
      </c>
      <c r="AQ92" s="109" t="str">
        <f t="shared" si="101"/>
        <v/>
      </c>
      <c r="AR92" t="s">
        <v>472</v>
      </c>
    </row>
    <row r="93" spans="1:44" ht="14.25" customHeight="1" x14ac:dyDescent="0.2">
      <c r="A93" s="22"/>
      <c r="B93" s="23">
        <v>4</v>
      </c>
      <c r="C93" s="46" t="s">
        <v>169</v>
      </c>
      <c r="D93" s="25" t="s">
        <v>170</v>
      </c>
      <c r="E93" s="47">
        <v>118.4</v>
      </c>
      <c r="F93" s="27" t="s">
        <v>57</v>
      </c>
      <c r="G93" s="28">
        <v>57500</v>
      </c>
      <c r="H93" s="29">
        <f t="shared" si="83"/>
        <v>6808000</v>
      </c>
      <c r="I93" s="30">
        <v>3908731694</v>
      </c>
      <c r="J93" s="31">
        <f t="shared" si="84"/>
        <v>0.17417414478590201</v>
      </c>
      <c r="K93" s="37"/>
      <c r="L93" s="22"/>
      <c r="M93" s="22"/>
      <c r="N93" s="22"/>
      <c r="O93" s="45"/>
      <c r="P93" s="22"/>
      <c r="Q93" s="22"/>
      <c r="R93" s="6"/>
      <c r="S93" s="6"/>
      <c r="T93" s="6"/>
      <c r="U93" s="108">
        <v>8</v>
      </c>
      <c r="V93" s="108">
        <v>9</v>
      </c>
      <c r="W93" s="109">
        <f t="shared" si="85"/>
        <v>2</v>
      </c>
      <c r="X93" s="110">
        <f t="array" ref="X93">INDEX('KALENDER MINGGU'!$B$6:$B$21,U93)</f>
        <v>46275</v>
      </c>
      <c r="Y93" s="110">
        <f t="array" ref="Y93">INDEX('KALENDER MINGGU'!$C$6:$C$21,V93)</f>
        <v>46288</v>
      </c>
      <c r="AB93" s="109" t="str">
        <f t="shared" si="86"/>
        <v/>
      </c>
      <c r="AC93" s="109" t="str">
        <f t="shared" si="87"/>
        <v/>
      </c>
      <c r="AD93" s="109" t="str">
        <f t="shared" si="88"/>
        <v/>
      </c>
      <c r="AE93" s="109" t="str">
        <f t="shared" si="89"/>
        <v/>
      </c>
      <c r="AF93" s="109" t="str">
        <f t="shared" si="90"/>
        <v/>
      </c>
      <c r="AG93" s="109" t="str">
        <f t="shared" si="91"/>
        <v/>
      </c>
      <c r="AH93" s="109" t="str">
        <f t="shared" si="92"/>
        <v/>
      </c>
      <c r="AI93" s="109" t="str">
        <f t="shared" si="93"/>
        <v>■</v>
      </c>
      <c r="AJ93" s="109" t="str">
        <f t="shared" si="94"/>
        <v>■</v>
      </c>
      <c r="AK93" s="109" t="str">
        <f t="shared" si="95"/>
        <v/>
      </c>
      <c r="AL93" s="109" t="str">
        <f t="shared" si="96"/>
        <v/>
      </c>
      <c r="AM93" s="109" t="str">
        <f t="shared" si="97"/>
        <v/>
      </c>
      <c r="AN93" s="109" t="str">
        <f t="shared" si="98"/>
        <v/>
      </c>
      <c r="AO93" s="109" t="str">
        <f t="shared" si="99"/>
        <v/>
      </c>
      <c r="AP93" s="109" t="str">
        <f t="shared" si="100"/>
        <v/>
      </c>
      <c r="AQ93" s="109" t="str">
        <f t="shared" si="101"/>
        <v/>
      </c>
      <c r="AR93" t="s">
        <v>473</v>
      </c>
    </row>
    <row r="94" spans="1:44" ht="14.25" customHeight="1" x14ac:dyDescent="0.2">
      <c r="A94" s="22"/>
      <c r="B94" s="23">
        <v>5</v>
      </c>
      <c r="C94" s="46" t="s">
        <v>171</v>
      </c>
      <c r="D94" s="25" t="s">
        <v>172</v>
      </c>
      <c r="E94" s="47">
        <v>3</v>
      </c>
      <c r="F94" s="27" t="s">
        <v>73</v>
      </c>
      <c r="G94" s="28">
        <v>1300000</v>
      </c>
      <c r="H94" s="29">
        <f t="shared" si="83"/>
        <v>3900000</v>
      </c>
      <c r="I94" s="30">
        <v>3908731694</v>
      </c>
      <c r="J94" s="31">
        <f t="shared" si="84"/>
        <v>9.9776610555966191E-2</v>
      </c>
      <c r="K94" s="37"/>
      <c r="L94" s="22"/>
      <c r="M94" s="22"/>
      <c r="N94" s="22"/>
      <c r="O94" s="45"/>
      <c r="P94" s="22"/>
      <c r="Q94" s="22"/>
      <c r="R94" s="6"/>
      <c r="S94" s="6"/>
      <c r="T94" s="6"/>
      <c r="U94" s="108">
        <v>8</v>
      </c>
      <c r="V94" s="108">
        <v>9</v>
      </c>
      <c r="W94" s="109">
        <f t="shared" si="85"/>
        <v>2</v>
      </c>
      <c r="X94" s="110">
        <f t="array" ref="X94">INDEX('KALENDER MINGGU'!$B$6:$B$21,U94)</f>
        <v>46275</v>
      </c>
      <c r="Y94" s="110">
        <f t="array" ref="Y94">INDEX('KALENDER MINGGU'!$C$6:$C$21,V94)</f>
        <v>46288</v>
      </c>
      <c r="AB94" s="109" t="str">
        <f t="shared" si="86"/>
        <v/>
      </c>
      <c r="AC94" s="109" t="str">
        <f t="shared" si="87"/>
        <v/>
      </c>
      <c r="AD94" s="109" t="str">
        <f t="shared" si="88"/>
        <v/>
      </c>
      <c r="AE94" s="109" t="str">
        <f t="shared" si="89"/>
        <v/>
      </c>
      <c r="AF94" s="109" t="str">
        <f t="shared" si="90"/>
        <v/>
      </c>
      <c r="AG94" s="109" t="str">
        <f t="shared" si="91"/>
        <v/>
      </c>
      <c r="AH94" s="109" t="str">
        <f t="shared" si="92"/>
        <v/>
      </c>
      <c r="AI94" s="109" t="str">
        <f t="shared" si="93"/>
        <v>■</v>
      </c>
      <c r="AJ94" s="109" t="str">
        <f t="shared" si="94"/>
        <v>■</v>
      </c>
      <c r="AK94" s="109" t="str">
        <f t="shared" si="95"/>
        <v/>
      </c>
      <c r="AL94" s="109" t="str">
        <f t="shared" si="96"/>
        <v/>
      </c>
      <c r="AM94" s="109" t="str">
        <f t="shared" si="97"/>
        <v/>
      </c>
      <c r="AN94" s="109" t="str">
        <f t="shared" si="98"/>
        <v/>
      </c>
      <c r="AO94" s="109" t="str">
        <f t="shared" si="99"/>
        <v/>
      </c>
      <c r="AP94" s="109" t="str">
        <f t="shared" si="100"/>
        <v/>
      </c>
      <c r="AQ94" s="109" t="str">
        <f t="shared" si="101"/>
        <v/>
      </c>
      <c r="AR94" t="s">
        <v>474</v>
      </c>
    </row>
    <row r="95" spans="1:44" ht="14.25" customHeight="1" x14ac:dyDescent="0.2">
      <c r="A95" s="22"/>
      <c r="B95" s="23">
        <v>6</v>
      </c>
      <c r="C95" s="46" t="s">
        <v>173</v>
      </c>
      <c r="D95" s="25" t="s">
        <v>174</v>
      </c>
      <c r="E95" s="47">
        <v>12</v>
      </c>
      <c r="F95" s="27" t="s">
        <v>57</v>
      </c>
      <c r="G95" s="28">
        <v>200000</v>
      </c>
      <c r="H95" s="29">
        <f t="shared" si="83"/>
        <v>2400000</v>
      </c>
      <c r="I95" s="30">
        <v>3908731694</v>
      </c>
      <c r="J95" s="31">
        <f t="shared" si="84"/>
        <v>6.1400991111363809E-2</v>
      </c>
      <c r="K95" s="37"/>
      <c r="L95" s="22"/>
      <c r="M95" s="22"/>
      <c r="N95" s="22"/>
      <c r="O95" s="45"/>
      <c r="P95" s="22"/>
      <c r="Q95" s="22"/>
      <c r="R95" s="6"/>
      <c r="S95" s="6"/>
      <c r="T95" s="6"/>
      <c r="U95" s="108">
        <v>7</v>
      </c>
      <c r="V95" s="108">
        <v>8</v>
      </c>
      <c r="W95" s="109">
        <f t="shared" si="85"/>
        <v>2</v>
      </c>
      <c r="X95" s="110">
        <f t="array" ref="X95">INDEX('KALENDER MINGGU'!$B$6:$B$21,U95)</f>
        <v>46268</v>
      </c>
      <c r="Y95" s="110">
        <f t="array" ref="Y95">INDEX('KALENDER MINGGU'!$C$6:$C$21,V95)</f>
        <v>46281</v>
      </c>
      <c r="AB95" s="109" t="str">
        <f t="shared" si="86"/>
        <v/>
      </c>
      <c r="AC95" s="109" t="str">
        <f t="shared" si="87"/>
        <v/>
      </c>
      <c r="AD95" s="109" t="str">
        <f t="shared" si="88"/>
        <v/>
      </c>
      <c r="AE95" s="109" t="str">
        <f t="shared" si="89"/>
        <v/>
      </c>
      <c r="AF95" s="109" t="str">
        <f t="shared" si="90"/>
        <v/>
      </c>
      <c r="AG95" s="109" t="str">
        <f t="shared" si="91"/>
        <v/>
      </c>
      <c r="AH95" s="109" t="str">
        <f t="shared" si="92"/>
        <v>■</v>
      </c>
      <c r="AI95" s="109" t="str">
        <f t="shared" si="93"/>
        <v>■</v>
      </c>
      <c r="AJ95" s="109" t="str">
        <f t="shared" si="94"/>
        <v/>
      </c>
      <c r="AK95" s="109" t="str">
        <f t="shared" si="95"/>
        <v/>
      </c>
      <c r="AL95" s="109" t="str">
        <f t="shared" si="96"/>
        <v/>
      </c>
      <c r="AM95" s="109" t="str">
        <f t="shared" si="97"/>
        <v/>
      </c>
      <c r="AN95" s="109" t="str">
        <f t="shared" si="98"/>
        <v/>
      </c>
      <c r="AO95" s="109" t="str">
        <f t="shared" si="99"/>
        <v/>
      </c>
      <c r="AP95" s="109" t="str">
        <f t="shared" si="100"/>
        <v/>
      </c>
      <c r="AQ95" s="109" t="str">
        <f t="shared" si="101"/>
        <v/>
      </c>
      <c r="AR95" t="s">
        <v>475</v>
      </c>
    </row>
    <row r="96" spans="1:44" ht="14.25" customHeight="1" x14ac:dyDescent="0.2">
      <c r="A96" s="22"/>
      <c r="B96" s="23">
        <v>7</v>
      </c>
      <c r="C96" s="46" t="s">
        <v>175</v>
      </c>
      <c r="D96" s="25" t="s">
        <v>176</v>
      </c>
      <c r="E96" s="47">
        <v>6</v>
      </c>
      <c r="F96" s="27" t="s">
        <v>135</v>
      </c>
      <c r="G96" s="53">
        <v>450000</v>
      </c>
      <c r="H96" s="29">
        <f t="shared" si="83"/>
        <v>2700000</v>
      </c>
      <c r="I96" s="30">
        <v>3908731694</v>
      </c>
      <c r="J96" s="31">
        <f t="shared" si="84"/>
        <v>6.907611500028428E-2</v>
      </c>
      <c r="K96" s="37"/>
      <c r="L96" s="22"/>
      <c r="M96" s="22"/>
      <c r="N96" s="22"/>
      <c r="O96" s="45"/>
      <c r="P96" s="22"/>
      <c r="Q96" s="22"/>
      <c r="R96" s="6"/>
      <c r="S96" s="6"/>
      <c r="T96" s="6"/>
      <c r="U96" s="108">
        <v>8</v>
      </c>
      <c r="V96" s="108">
        <v>9</v>
      </c>
      <c r="W96" s="109">
        <f t="shared" si="85"/>
        <v>2</v>
      </c>
      <c r="X96" s="110">
        <f t="array" ref="X96">INDEX('KALENDER MINGGU'!$B$6:$B$21,U96)</f>
        <v>46275</v>
      </c>
      <c r="Y96" s="110">
        <f t="array" ref="Y96">INDEX('KALENDER MINGGU'!$C$6:$C$21,V96)</f>
        <v>46288</v>
      </c>
      <c r="AB96" s="109" t="str">
        <f t="shared" si="86"/>
        <v/>
      </c>
      <c r="AC96" s="109" t="str">
        <f t="shared" si="87"/>
        <v/>
      </c>
      <c r="AD96" s="109" t="str">
        <f t="shared" si="88"/>
        <v/>
      </c>
      <c r="AE96" s="109" t="str">
        <f t="shared" si="89"/>
        <v/>
      </c>
      <c r="AF96" s="109" t="str">
        <f t="shared" si="90"/>
        <v/>
      </c>
      <c r="AG96" s="109" t="str">
        <f t="shared" si="91"/>
        <v/>
      </c>
      <c r="AH96" s="109" t="str">
        <f t="shared" si="92"/>
        <v/>
      </c>
      <c r="AI96" s="109" t="str">
        <f t="shared" si="93"/>
        <v>■</v>
      </c>
      <c r="AJ96" s="109" t="str">
        <f t="shared" si="94"/>
        <v>■</v>
      </c>
      <c r="AK96" s="109" t="str">
        <f t="shared" si="95"/>
        <v/>
      </c>
      <c r="AL96" s="109" t="str">
        <f t="shared" si="96"/>
        <v/>
      </c>
      <c r="AM96" s="109" t="str">
        <f t="shared" si="97"/>
        <v/>
      </c>
      <c r="AN96" s="109" t="str">
        <f t="shared" si="98"/>
        <v/>
      </c>
      <c r="AO96" s="109" t="str">
        <f t="shared" si="99"/>
        <v/>
      </c>
      <c r="AP96" s="109" t="str">
        <f t="shared" si="100"/>
        <v/>
      </c>
      <c r="AQ96" s="109" t="str">
        <f t="shared" si="101"/>
        <v/>
      </c>
      <c r="AR96" t="s">
        <v>476</v>
      </c>
    </row>
    <row r="97" spans="1:44" ht="14.25" customHeight="1" x14ac:dyDescent="0.2">
      <c r="A97" s="22"/>
      <c r="B97" s="23">
        <v>8</v>
      </c>
      <c r="C97" s="46" t="s">
        <v>177</v>
      </c>
      <c r="D97" s="25" t="s">
        <v>178</v>
      </c>
      <c r="E97" s="47">
        <v>1</v>
      </c>
      <c r="F97" s="27" t="s">
        <v>73</v>
      </c>
      <c r="G97" s="53">
        <v>200000</v>
      </c>
      <c r="H97" s="29">
        <f t="shared" si="83"/>
        <v>200000</v>
      </c>
      <c r="I97" s="30">
        <v>3908731694</v>
      </c>
      <c r="J97" s="31">
        <f t="shared" si="84"/>
        <v>5.116749259280318E-3</v>
      </c>
      <c r="K97" s="37"/>
      <c r="L97" s="22"/>
      <c r="M97" s="22"/>
      <c r="N97" s="22"/>
      <c r="O97" s="45"/>
      <c r="P97" s="22"/>
      <c r="Q97" s="22"/>
      <c r="R97" s="6"/>
      <c r="S97" s="6"/>
      <c r="T97" s="6"/>
      <c r="U97" s="108">
        <v>8</v>
      </c>
      <c r="V97" s="108">
        <v>9</v>
      </c>
      <c r="W97" s="109">
        <f t="shared" si="85"/>
        <v>2</v>
      </c>
      <c r="X97" s="110">
        <f t="array" ref="X97">INDEX('KALENDER MINGGU'!$B$6:$B$21,U97)</f>
        <v>46275</v>
      </c>
      <c r="Y97" s="110">
        <f t="array" ref="Y97">INDEX('KALENDER MINGGU'!$C$6:$C$21,V97)</f>
        <v>46288</v>
      </c>
      <c r="AB97" s="109" t="str">
        <f t="shared" si="86"/>
        <v/>
      </c>
      <c r="AC97" s="109" t="str">
        <f t="shared" si="87"/>
        <v/>
      </c>
      <c r="AD97" s="109" t="str">
        <f t="shared" si="88"/>
        <v/>
      </c>
      <c r="AE97" s="109" t="str">
        <f t="shared" si="89"/>
        <v/>
      </c>
      <c r="AF97" s="109" t="str">
        <f t="shared" si="90"/>
        <v/>
      </c>
      <c r="AG97" s="109" t="str">
        <f t="shared" si="91"/>
        <v/>
      </c>
      <c r="AH97" s="109" t="str">
        <f t="shared" si="92"/>
        <v/>
      </c>
      <c r="AI97" s="109" t="str">
        <f t="shared" si="93"/>
        <v>■</v>
      </c>
      <c r="AJ97" s="109" t="str">
        <f t="shared" si="94"/>
        <v>■</v>
      </c>
      <c r="AK97" s="109" t="str">
        <f t="shared" si="95"/>
        <v/>
      </c>
      <c r="AL97" s="109" t="str">
        <f t="shared" si="96"/>
        <v/>
      </c>
      <c r="AM97" s="109" t="str">
        <f t="shared" si="97"/>
        <v/>
      </c>
      <c r="AN97" s="109" t="str">
        <f t="shared" si="98"/>
        <v/>
      </c>
      <c r="AO97" s="109" t="str">
        <f t="shared" si="99"/>
        <v/>
      </c>
      <c r="AP97" s="109" t="str">
        <f t="shared" si="100"/>
        <v/>
      </c>
      <c r="AQ97" s="109" t="str">
        <f t="shared" si="101"/>
        <v/>
      </c>
      <c r="AR97" t="s">
        <v>477</v>
      </c>
    </row>
    <row r="98" spans="1:44" ht="14.25" customHeight="1" x14ac:dyDescent="0.2">
      <c r="A98" s="22"/>
      <c r="B98" s="23">
        <v>9</v>
      </c>
      <c r="C98" s="46" t="s">
        <v>179</v>
      </c>
      <c r="D98" s="25" t="s">
        <v>180</v>
      </c>
      <c r="E98" s="47"/>
      <c r="F98" s="27"/>
      <c r="G98" s="53"/>
      <c r="H98" s="29">
        <f t="shared" si="83"/>
        <v>0</v>
      </c>
      <c r="I98" s="30">
        <v>3908731694</v>
      </c>
      <c r="J98" s="31">
        <f t="shared" si="84"/>
        <v>0</v>
      </c>
      <c r="K98" s="37"/>
      <c r="L98" s="22"/>
      <c r="M98" s="22"/>
      <c r="N98" s="22"/>
      <c r="O98" s="45"/>
      <c r="P98" s="22"/>
      <c r="Q98" s="22"/>
      <c r="R98" s="6"/>
      <c r="S98" s="6"/>
      <c r="T98" s="6"/>
      <c r="U98" s="108">
        <v>7</v>
      </c>
      <c r="V98" s="108">
        <v>9</v>
      </c>
      <c r="W98" s="109">
        <f t="shared" si="85"/>
        <v>3</v>
      </c>
      <c r="X98" s="110">
        <f t="array" ref="X98">INDEX('KALENDER MINGGU'!$B$6:$B$21,U98)</f>
        <v>46268</v>
      </c>
      <c r="Y98" s="110">
        <f t="array" ref="Y98">INDEX('KALENDER MINGGU'!$C$6:$C$21,V98)</f>
        <v>46288</v>
      </c>
      <c r="AB98" s="109" t="str">
        <f t="shared" si="86"/>
        <v/>
      </c>
      <c r="AC98" s="109" t="str">
        <f t="shared" si="87"/>
        <v/>
      </c>
      <c r="AD98" s="109" t="str">
        <f t="shared" si="88"/>
        <v/>
      </c>
      <c r="AE98" s="109" t="str">
        <f t="shared" si="89"/>
        <v/>
      </c>
      <c r="AF98" s="109" t="str">
        <f t="shared" si="90"/>
        <v/>
      </c>
      <c r="AG98" s="109" t="str">
        <f t="shared" si="91"/>
        <v/>
      </c>
      <c r="AH98" s="109" t="str">
        <f t="shared" si="92"/>
        <v>■</v>
      </c>
      <c r="AI98" s="109" t="str">
        <f t="shared" si="93"/>
        <v>■</v>
      </c>
      <c r="AJ98" s="109" t="str">
        <f t="shared" si="94"/>
        <v>■</v>
      </c>
      <c r="AK98" s="109" t="str">
        <f t="shared" si="95"/>
        <v/>
      </c>
      <c r="AL98" s="109" t="str">
        <f t="shared" si="96"/>
        <v/>
      </c>
      <c r="AM98" s="109" t="str">
        <f t="shared" si="97"/>
        <v/>
      </c>
      <c r="AN98" s="109" t="str">
        <f t="shared" si="98"/>
        <v/>
      </c>
      <c r="AO98" s="109" t="str">
        <f t="shared" si="99"/>
        <v/>
      </c>
      <c r="AP98" s="109" t="str">
        <f t="shared" si="100"/>
        <v/>
      </c>
      <c r="AQ98" s="109" t="str">
        <f t="shared" si="101"/>
        <v/>
      </c>
      <c r="AR98" t="s">
        <v>478</v>
      </c>
    </row>
    <row r="99" spans="1:44" ht="14.25" customHeight="1" x14ac:dyDescent="0.2">
      <c r="A99" s="22"/>
      <c r="B99" s="23" t="s">
        <v>181</v>
      </c>
      <c r="C99" s="46" t="s">
        <v>182</v>
      </c>
      <c r="D99" s="25" t="s">
        <v>183</v>
      </c>
      <c r="E99" s="47">
        <v>480</v>
      </c>
      <c r="F99" s="27" t="s">
        <v>135</v>
      </c>
      <c r="G99" s="53">
        <v>30000</v>
      </c>
      <c r="H99" s="29">
        <f t="shared" si="83"/>
        <v>14400000</v>
      </c>
      <c r="I99" s="30">
        <v>3908731694</v>
      </c>
      <c r="J99" s="31">
        <f t="shared" si="84"/>
        <v>0.36840594666818283</v>
      </c>
      <c r="K99" s="37"/>
      <c r="L99" s="22"/>
      <c r="M99" s="22"/>
      <c r="N99" s="22"/>
      <c r="O99" s="45"/>
      <c r="P99" s="22"/>
      <c r="Q99" s="22"/>
      <c r="R99" s="6"/>
      <c r="S99" s="6"/>
      <c r="T99" s="6"/>
      <c r="U99" s="108">
        <v>7</v>
      </c>
      <c r="V99" s="108">
        <v>9</v>
      </c>
      <c r="W99" s="109">
        <f t="shared" si="85"/>
        <v>3</v>
      </c>
      <c r="X99" s="110">
        <f t="array" ref="X99">INDEX('KALENDER MINGGU'!$B$6:$B$21,U99)</f>
        <v>46268</v>
      </c>
      <c r="Y99" s="110">
        <f t="array" ref="Y99">INDEX('KALENDER MINGGU'!$C$6:$C$21,V99)</f>
        <v>46288</v>
      </c>
      <c r="AB99" s="109" t="str">
        <f t="shared" si="86"/>
        <v/>
      </c>
      <c r="AC99" s="109" t="str">
        <f t="shared" si="87"/>
        <v/>
      </c>
      <c r="AD99" s="109" t="str">
        <f t="shared" si="88"/>
        <v/>
      </c>
      <c r="AE99" s="109" t="str">
        <f t="shared" si="89"/>
        <v/>
      </c>
      <c r="AF99" s="109" t="str">
        <f t="shared" si="90"/>
        <v/>
      </c>
      <c r="AG99" s="109" t="str">
        <f t="shared" si="91"/>
        <v/>
      </c>
      <c r="AH99" s="109" t="str">
        <f t="shared" si="92"/>
        <v>■</v>
      </c>
      <c r="AI99" s="109" t="str">
        <f t="shared" si="93"/>
        <v>■</v>
      </c>
      <c r="AJ99" s="109" t="str">
        <f t="shared" si="94"/>
        <v>■</v>
      </c>
      <c r="AK99" s="109" t="str">
        <f t="shared" si="95"/>
        <v/>
      </c>
      <c r="AL99" s="109" t="str">
        <f t="shared" si="96"/>
        <v/>
      </c>
      <c r="AM99" s="109" t="str">
        <f t="shared" si="97"/>
        <v/>
      </c>
      <c r="AN99" s="109" t="str">
        <f t="shared" si="98"/>
        <v/>
      </c>
      <c r="AO99" s="109" t="str">
        <f t="shared" si="99"/>
        <v/>
      </c>
      <c r="AP99" s="109" t="str">
        <f t="shared" si="100"/>
        <v/>
      </c>
      <c r="AQ99" s="109" t="str">
        <f t="shared" si="101"/>
        <v/>
      </c>
      <c r="AR99" t="s">
        <v>479</v>
      </c>
    </row>
    <row r="100" spans="1:44" ht="14.25" customHeight="1" x14ac:dyDescent="0.2">
      <c r="A100" s="22"/>
      <c r="B100" s="23" t="s">
        <v>181</v>
      </c>
      <c r="C100" s="46" t="s">
        <v>184</v>
      </c>
      <c r="D100" s="25" t="s">
        <v>185</v>
      </c>
      <c r="E100" s="47">
        <v>480</v>
      </c>
      <c r="F100" s="27" t="s">
        <v>135</v>
      </c>
      <c r="G100" s="53">
        <v>12000</v>
      </c>
      <c r="H100" s="29">
        <f t="shared" si="83"/>
        <v>5760000</v>
      </c>
      <c r="I100" s="30">
        <v>3908731694</v>
      </c>
      <c r="J100" s="31">
        <f t="shared" si="84"/>
        <v>0.14736237866727314</v>
      </c>
      <c r="K100" s="37"/>
      <c r="L100" s="22"/>
      <c r="M100" s="22"/>
      <c r="N100" s="22"/>
      <c r="O100" s="45"/>
      <c r="P100" s="22"/>
      <c r="Q100" s="22"/>
      <c r="R100" s="6"/>
      <c r="S100" s="6"/>
      <c r="T100" s="6"/>
      <c r="U100" s="108">
        <v>7</v>
      </c>
      <c r="V100" s="108">
        <v>9</v>
      </c>
      <c r="W100" s="109">
        <f t="shared" si="85"/>
        <v>3</v>
      </c>
      <c r="X100" s="110">
        <f t="array" ref="X100">INDEX('KALENDER MINGGU'!$B$6:$B$21,U100)</f>
        <v>46268</v>
      </c>
      <c r="Y100" s="110">
        <f t="array" ref="Y100">INDEX('KALENDER MINGGU'!$C$6:$C$21,V100)</f>
        <v>46288</v>
      </c>
      <c r="AB100" s="109" t="str">
        <f t="shared" si="86"/>
        <v/>
      </c>
      <c r="AC100" s="109" t="str">
        <f t="shared" si="87"/>
        <v/>
      </c>
      <c r="AD100" s="109" t="str">
        <f t="shared" si="88"/>
        <v/>
      </c>
      <c r="AE100" s="109" t="str">
        <f t="shared" si="89"/>
        <v/>
      </c>
      <c r="AF100" s="109" t="str">
        <f t="shared" si="90"/>
        <v/>
      </c>
      <c r="AG100" s="109" t="str">
        <f t="shared" si="91"/>
        <v/>
      </c>
      <c r="AH100" s="109" t="str">
        <f t="shared" si="92"/>
        <v>■</v>
      </c>
      <c r="AI100" s="109" t="str">
        <f t="shared" si="93"/>
        <v>■</v>
      </c>
      <c r="AJ100" s="109" t="str">
        <f t="shared" si="94"/>
        <v>■</v>
      </c>
      <c r="AK100" s="109" t="str">
        <f t="shared" si="95"/>
        <v/>
      </c>
      <c r="AL100" s="109" t="str">
        <f t="shared" si="96"/>
        <v/>
      </c>
      <c r="AM100" s="109" t="str">
        <f t="shared" si="97"/>
        <v/>
      </c>
      <c r="AN100" s="109" t="str">
        <f t="shared" si="98"/>
        <v/>
      </c>
      <c r="AO100" s="109" t="str">
        <f t="shared" si="99"/>
        <v/>
      </c>
      <c r="AP100" s="109" t="str">
        <f t="shared" si="100"/>
        <v/>
      </c>
      <c r="AQ100" s="109" t="str">
        <f t="shared" si="101"/>
        <v/>
      </c>
      <c r="AR100" t="s">
        <v>480</v>
      </c>
    </row>
    <row r="101" spans="1:44" ht="14.25" customHeight="1" x14ac:dyDescent="0.2">
      <c r="A101" s="22"/>
      <c r="B101" s="23" t="s">
        <v>181</v>
      </c>
      <c r="C101" s="46" t="s">
        <v>186</v>
      </c>
      <c r="D101" s="25" t="s">
        <v>187</v>
      </c>
      <c r="E101" s="47">
        <v>480</v>
      </c>
      <c r="F101" s="27" t="s">
        <v>135</v>
      </c>
      <c r="G101" s="53">
        <v>220000</v>
      </c>
      <c r="H101" s="29">
        <f t="shared" si="83"/>
        <v>105600000</v>
      </c>
      <c r="I101" s="30">
        <v>3908731694</v>
      </c>
      <c r="J101" s="31">
        <f t="shared" si="84"/>
        <v>2.7016436089000075</v>
      </c>
      <c r="K101" s="37"/>
      <c r="L101" s="22"/>
      <c r="M101" s="22"/>
      <c r="N101" s="22"/>
      <c r="O101" s="45"/>
      <c r="P101" s="22"/>
      <c r="Q101" s="22"/>
      <c r="R101" s="6"/>
      <c r="S101" s="6"/>
      <c r="T101" s="6"/>
      <c r="U101" s="108">
        <v>6</v>
      </c>
      <c r="V101" s="108">
        <v>9</v>
      </c>
      <c r="W101" s="109">
        <f t="shared" si="85"/>
        <v>4</v>
      </c>
      <c r="X101" s="110">
        <f t="array" ref="X101">INDEX('KALENDER MINGGU'!$B$6:$B$21,U101)</f>
        <v>46261</v>
      </c>
      <c r="Y101" s="110">
        <f t="array" ref="Y101">INDEX('KALENDER MINGGU'!$C$6:$C$21,V101)</f>
        <v>46288</v>
      </c>
      <c r="AB101" s="109" t="str">
        <f t="shared" si="86"/>
        <v/>
      </c>
      <c r="AC101" s="109" t="str">
        <f t="shared" si="87"/>
        <v/>
      </c>
      <c r="AD101" s="109" t="str">
        <f t="shared" si="88"/>
        <v/>
      </c>
      <c r="AE101" s="109" t="str">
        <f t="shared" si="89"/>
        <v/>
      </c>
      <c r="AF101" s="109" t="str">
        <f t="shared" si="90"/>
        <v/>
      </c>
      <c r="AG101" s="109" t="str">
        <f t="shared" si="91"/>
        <v>■</v>
      </c>
      <c r="AH101" s="109" t="str">
        <f t="shared" si="92"/>
        <v>■</v>
      </c>
      <c r="AI101" s="109" t="str">
        <f t="shared" si="93"/>
        <v>■</v>
      </c>
      <c r="AJ101" s="109" t="str">
        <f t="shared" si="94"/>
        <v>■</v>
      </c>
      <c r="AK101" s="109" t="str">
        <f t="shared" si="95"/>
        <v/>
      </c>
      <c r="AL101" s="109" t="str">
        <f t="shared" si="96"/>
        <v/>
      </c>
      <c r="AM101" s="109" t="str">
        <f t="shared" si="97"/>
        <v/>
      </c>
      <c r="AN101" s="109" t="str">
        <f t="shared" si="98"/>
        <v/>
      </c>
      <c r="AO101" s="109" t="str">
        <f t="shared" si="99"/>
        <v/>
      </c>
      <c r="AP101" s="109" t="str">
        <f t="shared" si="100"/>
        <v/>
      </c>
      <c r="AQ101" s="109" t="str">
        <f t="shared" si="101"/>
        <v/>
      </c>
      <c r="AR101" t="s">
        <v>481</v>
      </c>
    </row>
    <row r="102" spans="1:44" ht="14.25" customHeight="1" x14ac:dyDescent="0.2">
      <c r="A102" s="22"/>
      <c r="B102" s="23" t="s">
        <v>181</v>
      </c>
      <c r="C102" s="46" t="s">
        <v>188</v>
      </c>
      <c r="D102" s="25"/>
      <c r="E102" s="47">
        <v>88</v>
      </c>
      <c r="F102" s="27" t="s">
        <v>70</v>
      </c>
      <c r="G102" s="53">
        <v>150000</v>
      </c>
      <c r="H102" s="29">
        <f t="shared" si="83"/>
        <v>13200000</v>
      </c>
      <c r="I102" s="30">
        <v>3908731694</v>
      </c>
      <c r="J102" s="31">
        <f t="shared" si="84"/>
        <v>0.33770545111250094</v>
      </c>
      <c r="K102" s="37"/>
      <c r="L102" s="22"/>
      <c r="M102" s="22"/>
      <c r="N102" s="22"/>
      <c r="O102" s="45"/>
      <c r="P102" s="22"/>
      <c r="Q102" s="22"/>
      <c r="R102" s="6"/>
      <c r="S102" s="6"/>
      <c r="T102" s="6"/>
      <c r="U102" s="108">
        <v>7</v>
      </c>
      <c r="V102" s="108">
        <v>9</v>
      </c>
      <c r="W102" s="109">
        <f t="shared" si="85"/>
        <v>3</v>
      </c>
      <c r="X102" s="110">
        <f t="array" ref="X102">INDEX('KALENDER MINGGU'!$B$6:$B$21,U102)</f>
        <v>46268</v>
      </c>
      <c r="Y102" s="110">
        <f t="array" ref="Y102">INDEX('KALENDER MINGGU'!$C$6:$C$21,V102)</f>
        <v>46288</v>
      </c>
      <c r="AB102" s="109" t="str">
        <f t="shared" si="86"/>
        <v/>
      </c>
      <c r="AC102" s="109" t="str">
        <f t="shared" si="87"/>
        <v/>
      </c>
      <c r="AD102" s="109" t="str">
        <f t="shared" si="88"/>
        <v/>
      </c>
      <c r="AE102" s="109" t="str">
        <f t="shared" si="89"/>
        <v/>
      </c>
      <c r="AF102" s="109" t="str">
        <f t="shared" si="90"/>
        <v/>
      </c>
      <c r="AG102" s="109" t="str">
        <f t="shared" si="91"/>
        <v/>
      </c>
      <c r="AH102" s="109" t="str">
        <f t="shared" si="92"/>
        <v>■</v>
      </c>
      <c r="AI102" s="109" t="str">
        <f t="shared" si="93"/>
        <v>■</v>
      </c>
      <c r="AJ102" s="109" t="str">
        <f t="shared" si="94"/>
        <v>■</v>
      </c>
      <c r="AK102" s="109" t="str">
        <f t="shared" si="95"/>
        <v/>
      </c>
      <c r="AL102" s="109" t="str">
        <f t="shared" si="96"/>
        <v/>
      </c>
      <c r="AM102" s="109" t="str">
        <f t="shared" si="97"/>
        <v/>
      </c>
      <c r="AN102" s="109" t="str">
        <f t="shared" si="98"/>
        <v/>
      </c>
      <c r="AO102" s="109" t="str">
        <f t="shared" si="99"/>
        <v/>
      </c>
      <c r="AP102" s="109" t="str">
        <f t="shared" si="100"/>
        <v/>
      </c>
      <c r="AQ102" s="109" t="str">
        <f t="shared" si="101"/>
        <v/>
      </c>
      <c r="AR102" t="s">
        <v>482</v>
      </c>
    </row>
    <row r="103" spans="1:44" ht="14.25" customHeight="1" x14ac:dyDescent="0.2">
      <c r="A103" s="22"/>
      <c r="B103" s="23">
        <v>10</v>
      </c>
      <c r="C103" s="46" t="s">
        <v>189</v>
      </c>
      <c r="D103" s="25" t="s">
        <v>190</v>
      </c>
      <c r="E103" s="47">
        <v>6</v>
      </c>
      <c r="F103" s="27" t="s">
        <v>73</v>
      </c>
      <c r="G103" s="53">
        <v>1300000</v>
      </c>
      <c r="H103" s="29">
        <f t="shared" si="83"/>
        <v>7800000</v>
      </c>
      <c r="I103" s="30">
        <v>3908731694</v>
      </c>
      <c r="J103" s="31">
        <f t="shared" si="84"/>
        <v>0.19955322111193238</v>
      </c>
      <c r="K103" s="37"/>
      <c r="L103" s="22"/>
      <c r="M103" s="22"/>
      <c r="N103" s="22"/>
      <c r="O103" s="45"/>
      <c r="P103" s="22"/>
      <c r="Q103" s="22"/>
      <c r="R103" s="6"/>
      <c r="S103" s="6"/>
      <c r="T103" s="6"/>
      <c r="U103" s="108">
        <v>4</v>
      </c>
      <c r="V103" s="108">
        <v>10</v>
      </c>
      <c r="W103" s="109">
        <f t="shared" si="85"/>
        <v>7</v>
      </c>
      <c r="X103" s="110">
        <f t="array" ref="X103">INDEX('KALENDER MINGGU'!$B$6:$B$21,U103)</f>
        <v>46247</v>
      </c>
      <c r="Y103" s="110">
        <f t="array" ref="Y103">INDEX('KALENDER MINGGU'!$C$6:$C$21,V103)</f>
        <v>46295</v>
      </c>
      <c r="AB103" s="109" t="str">
        <f t="shared" si="86"/>
        <v/>
      </c>
      <c r="AC103" s="109" t="str">
        <f t="shared" si="87"/>
        <v/>
      </c>
      <c r="AD103" s="109" t="str">
        <f t="shared" si="88"/>
        <v/>
      </c>
      <c r="AE103" s="109" t="str">
        <f t="shared" si="89"/>
        <v>■</v>
      </c>
      <c r="AF103" s="109" t="str">
        <f t="shared" si="90"/>
        <v>■</v>
      </c>
      <c r="AG103" s="109" t="str">
        <f t="shared" si="91"/>
        <v>■</v>
      </c>
      <c r="AH103" s="109" t="str">
        <f t="shared" si="92"/>
        <v>■</v>
      </c>
      <c r="AI103" s="109" t="str">
        <f t="shared" si="93"/>
        <v>■</v>
      </c>
      <c r="AJ103" s="109" t="str">
        <f t="shared" si="94"/>
        <v>■</v>
      </c>
      <c r="AK103" s="109" t="str">
        <f t="shared" si="95"/>
        <v>■</v>
      </c>
      <c r="AL103" s="109" t="str">
        <f t="shared" si="96"/>
        <v/>
      </c>
      <c r="AM103" s="109" t="str">
        <f t="shared" si="97"/>
        <v/>
      </c>
      <c r="AN103" s="109" t="str">
        <f t="shared" si="98"/>
        <v/>
      </c>
      <c r="AO103" s="109" t="str">
        <f t="shared" si="99"/>
        <v/>
      </c>
      <c r="AP103" s="109" t="str">
        <f t="shared" si="100"/>
        <v/>
      </c>
      <c r="AQ103" s="109" t="str">
        <f t="shared" si="101"/>
        <v/>
      </c>
      <c r="AR103" t="s">
        <v>483</v>
      </c>
    </row>
    <row r="104" spans="1:44" ht="14.25" customHeight="1" x14ac:dyDescent="0.2">
      <c r="A104" s="22"/>
      <c r="B104" s="23">
        <v>11</v>
      </c>
      <c r="C104" s="46" t="s">
        <v>191</v>
      </c>
      <c r="D104" s="25" t="s">
        <v>192</v>
      </c>
      <c r="E104" s="47">
        <v>88.2</v>
      </c>
      <c r="F104" s="27" t="s">
        <v>135</v>
      </c>
      <c r="G104" s="53">
        <v>630000</v>
      </c>
      <c r="H104" s="29">
        <f t="shared" si="83"/>
        <v>55566000</v>
      </c>
      <c r="I104" s="30">
        <v>3908731694</v>
      </c>
      <c r="J104" s="31">
        <f t="shared" si="84"/>
        <v>1.4215864467058505</v>
      </c>
      <c r="K104" s="37"/>
      <c r="L104" s="22"/>
      <c r="M104" s="22"/>
      <c r="N104" s="22"/>
      <c r="O104" s="45"/>
      <c r="P104" s="22"/>
      <c r="Q104" s="22"/>
      <c r="R104" s="6"/>
      <c r="S104" s="6"/>
      <c r="T104" s="6"/>
      <c r="U104" s="108">
        <v>4</v>
      </c>
      <c r="V104" s="108">
        <v>10</v>
      </c>
      <c r="W104" s="109">
        <f t="shared" si="85"/>
        <v>7</v>
      </c>
      <c r="X104" s="110">
        <f t="array" ref="X104">INDEX('KALENDER MINGGU'!$B$6:$B$21,U104)</f>
        <v>46247</v>
      </c>
      <c r="Y104" s="110">
        <f t="array" ref="Y104">INDEX('KALENDER MINGGU'!$C$6:$C$21,V104)</f>
        <v>46295</v>
      </c>
      <c r="AB104" s="109" t="str">
        <f t="shared" si="86"/>
        <v/>
      </c>
      <c r="AC104" s="109" t="str">
        <f t="shared" si="87"/>
        <v/>
      </c>
      <c r="AD104" s="109" t="str">
        <f t="shared" si="88"/>
        <v/>
      </c>
      <c r="AE104" s="109" t="str">
        <f t="shared" si="89"/>
        <v>■</v>
      </c>
      <c r="AF104" s="109" t="str">
        <f t="shared" si="90"/>
        <v>■</v>
      </c>
      <c r="AG104" s="109" t="str">
        <f t="shared" si="91"/>
        <v>■</v>
      </c>
      <c r="AH104" s="109" t="str">
        <f t="shared" si="92"/>
        <v>■</v>
      </c>
      <c r="AI104" s="109" t="str">
        <f t="shared" si="93"/>
        <v>■</v>
      </c>
      <c r="AJ104" s="109" t="str">
        <f t="shared" si="94"/>
        <v>■</v>
      </c>
      <c r="AK104" s="109" t="str">
        <f t="shared" si="95"/>
        <v>■</v>
      </c>
      <c r="AL104" s="109" t="str">
        <f t="shared" si="96"/>
        <v/>
      </c>
      <c r="AM104" s="109" t="str">
        <f t="shared" si="97"/>
        <v/>
      </c>
      <c r="AN104" s="109" t="str">
        <f t="shared" si="98"/>
        <v/>
      </c>
      <c r="AO104" s="109" t="str">
        <f t="shared" si="99"/>
        <v/>
      </c>
      <c r="AP104" s="109" t="str">
        <f t="shared" si="100"/>
        <v/>
      </c>
      <c r="AQ104" s="109" t="str">
        <f t="shared" si="101"/>
        <v/>
      </c>
      <c r="AR104" t="s">
        <v>484</v>
      </c>
    </row>
    <row r="105" spans="1:44" ht="14.25" customHeight="1" x14ac:dyDescent="0.2">
      <c r="A105" s="22"/>
      <c r="B105" s="23">
        <v>12</v>
      </c>
      <c r="C105" s="46" t="s">
        <v>193</v>
      </c>
      <c r="D105" s="25" t="s">
        <v>194</v>
      </c>
      <c r="E105" s="47">
        <v>71</v>
      </c>
      <c r="F105" s="27" t="s">
        <v>70</v>
      </c>
      <c r="G105" s="53">
        <v>80000</v>
      </c>
      <c r="H105" s="29">
        <f t="shared" si="83"/>
        <v>5680000</v>
      </c>
      <c r="I105" s="30">
        <v>3908731694</v>
      </c>
      <c r="J105" s="31">
        <f t="shared" si="84"/>
        <v>0.14531567896356101</v>
      </c>
      <c r="K105" s="37"/>
      <c r="L105" s="22"/>
      <c r="M105" s="22"/>
      <c r="N105" s="22"/>
      <c r="O105" s="45"/>
      <c r="P105" s="22"/>
      <c r="Q105" s="22"/>
      <c r="R105" s="6"/>
      <c r="S105" s="6"/>
      <c r="T105" s="6"/>
      <c r="U105" s="108">
        <v>4</v>
      </c>
      <c r="V105" s="108">
        <v>10</v>
      </c>
      <c r="W105" s="109">
        <f t="shared" si="85"/>
        <v>7</v>
      </c>
      <c r="X105" s="110">
        <f t="array" ref="X105">INDEX('KALENDER MINGGU'!$B$6:$B$21,U105)</f>
        <v>46247</v>
      </c>
      <c r="Y105" s="110">
        <f t="array" ref="Y105">INDEX('KALENDER MINGGU'!$C$6:$C$21,V105)</f>
        <v>46295</v>
      </c>
      <c r="AB105" s="109" t="str">
        <f t="shared" si="86"/>
        <v/>
      </c>
      <c r="AC105" s="109" t="str">
        <f t="shared" si="87"/>
        <v/>
      </c>
      <c r="AD105" s="109" t="str">
        <f t="shared" si="88"/>
        <v/>
      </c>
      <c r="AE105" s="109" t="str">
        <f t="shared" si="89"/>
        <v>■</v>
      </c>
      <c r="AF105" s="109" t="str">
        <f t="shared" si="90"/>
        <v>■</v>
      </c>
      <c r="AG105" s="109" t="str">
        <f t="shared" si="91"/>
        <v>■</v>
      </c>
      <c r="AH105" s="109" t="str">
        <f t="shared" si="92"/>
        <v>■</v>
      </c>
      <c r="AI105" s="109" t="str">
        <f t="shared" si="93"/>
        <v>■</v>
      </c>
      <c r="AJ105" s="109" t="str">
        <f t="shared" si="94"/>
        <v>■</v>
      </c>
      <c r="AK105" s="109" t="str">
        <f t="shared" si="95"/>
        <v>■</v>
      </c>
      <c r="AL105" s="109" t="str">
        <f t="shared" si="96"/>
        <v/>
      </c>
      <c r="AM105" s="109" t="str">
        <f t="shared" si="97"/>
        <v/>
      </c>
      <c r="AN105" s="109" t="str">
        <f t="shared" si="98"/>
        <v/>
      </c>
      <c r="AO105" s="109" t="str">
        <f t="shared" si="99"/>
        <v/>
      </c>
      <c r="AP105" s="109" t="str">
        <f t="shared" si="100"/>
        <v/>
      </c>
      <c r="AQ105" s="109" t="str">
        <f t="shared" si="101"/>
        <v/>
      </c>
      <c r="AR105" t="s">
        <v>485</v>
      </c>
    </row>
    <row r="106" spans="1:44" ht="14.25" customHeight="1" x14ac:dyDescent="0.2">
      <c r="A106" s="22"/>
      <c r="B106" s="23"/>
      <c r="C106" s="46"/>
      <c r="D106" s="25" t="s">
        <v>195</v>
      </c>
      <c r="E106" s="47"/>
      <c r="F106" s="27"/>
      <c r="G106" s="53"/>
      <c r="H106" s="49">
        <f>SUM(H91:H105)</f>
        <v>279514500</v>
      </c>
      <c r="I106" s="30">
        <v>3908731694</v>
      </c>
      <c r="J106" s="43">
        <f t="shared" si="84"/>
        <v>7.1510280541655407</v>
      </c>
      <c r="K106" s="37"/>
      <c r="L106" s="22"/>
      <c r="M106" s="22"/>
      <c r="N106" s="22"/>
      <c r="O106" s="45"/>
      <c r="P106" s="22"/>
      <c r="Q106" s="22"/>
      <c r="R106" s="6"/>
      <c r="S106" s="6"/>
      <c r="T106" s="6"/>
      <c r="U106" s="109">
        <f>MIN(U91:U105)</f>
        <v>4</v>
      </c>
      <c r="V106" s="109">
        <f>MAX(V91:V105)</f>
        <v>10</v>
      </c>
      <c r="W106" s="109">
        <f t="shared" si="85"/>
        <v>7</v>
      </c>
      <c r="X106" s="110">
        <f t="array" ref="X106">INDEX('KALENDER MINGGU'!$B$6:$B$21,U106)</f>
        <v>46247</v>
      </c>
      <c r="Y106" s="110">
        <f t="array" ref="Y106">INDEX('KALENDER MINGGU'!$C$6:$C$21,V106)</f>
        <v>46295</v>
      </c>
      <c r="Z106" s="111">
        <f>SUM(TS!M32:AB32)/TS!L31*100</f>
        <v>70.326798788613829</v>
      </c>
      <c r="AA106" s="109" t="str">
        <f ca="1">IF(Z106&gt;=99.9,"COMPLETED",IF(U106&gt;'RENCANA MINGGUAN'!$J$7,"NOT STARTED",IF(V106&lt;'RENCANA MINGGUAN'!$J$7,"CRITICAL",IF(Z106+1&lt;W106,"DELAYED","ON SCHEDULE"))))</f>
        <v>ON SCHEDULE</v>
      </c>
      <c r="AB106" s="109" t="str">
        <f>IF(AND(U106&lt;=1,V106&gt;=1),"■","")</f>
        <v/>
      </c>
      <c r="AC106" s="109" t="str">
        <f>IF(AND(U106&lt;=2,V106&gt;=2),"■","")</f>
        <v/>
      </c>
      <c r="AD106" s="109" t="str">
        <f>IF(AND(U106&lt;=3,V106&gt;=3),"■","")</f>
        <v/>
      </c>
      <c r="AE106" s="109" t="str">
        <f>IF(AND(U106&lt;=4,V106&gt;=4),"■","")</f>
        <v>■</v>
      </c>
      <c r="AF106" s="109" t="str">
        <f>IF(AND(U106&lt;=5,V106&gt;=5),"■","")</f>
        <v>■</v>
      </c>
      <c r="AG106" s="109" t="str">
        <f>IF(AND(U106&lt;=6,V106&gt;=6),"■","")</f>
        <v>■</v>
      </c>
      <c r="AH106" s="109" t="str">
        <f>IF(AND(U106&lt;=7,V106&gt;=7),"■","")</f>
        <v>■</v>
      </c>
      <c r="AI106" s="109" t="str">
        <f>IF(AND(U106&lt;=8,V106&gt;=8),"■","")</f>
        <v>■</v>
      </c>
      <c r="AJ106" s="109" t="str">
        <f>IF(AND(U106&lt;=9,V106&gt;=9),"■","")</f>
        <v>■</v>
      </c>
      <c r="AK106" s="109" t="str">
        <f>IF(AND(U106&lt;=10,V106&gt;=10),"■","")</f>
        <v>■</v>
      </c>
      <c r="AL106" s="109" t="str">
        <f>IF(AND(U106&lt;=11,V106&gt;=11),"■","")</f>
        <v/>
      </c>
      <c r="AM106" s="109" t="str">
        <f>IF(AND(U106&lt;=12,V106&gt;=12),"■","")</f>
        <v/>
      </c>
      <c r="AN106" s="109" t="str">
        <f>IF(AND(U106&lt;=13,V106&gt;=13),"■","")</f>
        <v/>
      </c>
      <c r="AO106" s="109" t="str">
        <f>IF(AND(U106&lt;=14,V106&gt;=14),"■","")</f>
        <v/>
      </c>
      <c r="AP106" s="109" t="str">
        <f>IF(AND(U106&lt;=15,V106&gt;=15),"■","")</f>
        <v/>
      </c>
      <c r="AQ106" s="109" t="str">
        <f>IF(AND(U106&lt;=16,V106&gt;=16),"■","")</f>
        <v/>
      </c>
    </row>
    <row r="107" spans="1:44" ht="14.25" customHeight="1" x14ac:dyDescent="0.2">
      <c r="A107" s="22"/>
      <c r="B107" s="50"/>
      <c r="C107" s="46"/>
      <c r="D107" s="25"/>
      <c r="E107" s="51"/>
      <c r="F107" s="27"/>
      <c r="G107" s="28"/>
      <c r="H107" s="29">
        <f t="shared" ref="H107:H114" si="102">E107*G107</f>
        <v>0</v>
      </c>
      <c r="I107" s="44"/>
      <c r="J107" s="44"/>
      <c r="K107" s="37"/>
      <c r="L107" s="22"/>
      <c r="M107" s="22"/>
      <c r="N107" s="22"/>
      <c r="O107" s="45"/>
      <c r="P107" s="22"/>
      <c r="Q107" s="22"/>
      <c r="R107" s="6"/>
      <c r="S107" s="6"/>
      <c r="T107" s="6"/>
    </row>
    <row r="108" spans="1:44" ht="14.25" customHeight="1" x14ac:dyDescent="0.2">
      <c r="A108" s="22"/>
      <c r="B108" s="50"/>
      <c r="C108" s="46"/>
      <c r="D108" s="25"/>
      <c r="E108" s="51"/>
      <c r="F108" s="27"/>
      <c r="G108" s="28"/>
      <c r="H108" s="29">
        <f t="shared" si="102"/>
        <v>0</v>
      </c>
      <c r="I108" s="44"/>
      <c r="J108" s="44"/>
      <c r="K108" s="37"/>
      <c r="L108" s="22"/>
      <c r="M108" s="22"/>
      <c r="N108" s="22"/>
      <c r="O108" s="45"/>
      <c r="P108" s="22"/>
      <c r="Q108" s="22"/>
      <c r="R108" s="6"/>
      <c r="S108" s="6"/>
      <c r="T108" s="6"/>
    </row>
    <row r="109" spans="1:44" ht="14.25" customHeight="1" x14ac:dyDescent="0.25">
      <c r="A109" s="22"/>
      <c r="B109" s="16" t="s">
        <v>196</v>
      </c>
      <c r="C109" s="16" t="s">
        <v>197</v>
      </c>
      <c r="D109" s="16"/>
      <c r="E109" s="51"/>
      <c r="F109" s="27"/>
      <c r="G109" s="28"/>
      <c r="H109" s="29">
        <f t="shared" si="102"/>
        <v>0</v>
      </c>
      <c r="I109" s="44"/>
      <c r="J109" s="44"/>
      <c r="K109" s="37"/>
      <c r="L109" s="22"/>
      <c r="M109" s="22"/>
      <c r="N109" s="22"/>
      <c r="O109" s="45"/>
      <c r="P109" s="22"/>
      <c r="Q109" s="22"/>
      <c r="R109" s="6"/>
      <c r="S109" s="6"/>
      <c r="T109" s="6"/>
    </row>
    <row r="110" spans="1:44" ht="14.25" customHeight="1" x14ac:dyDescent="0.2">
      <c r="A110" s="22"/>
      <c r="B110" s="23">
        <v>1</v>
      </c>
      <c r="C110" s="46" t="s">
        <v>198</v>
      </c>
      <c r="D110" s="25" t="s">
        <v>90</v>
      </c>
      <c r="E110" s="48">
        <v>200</v>
      </c>
      <c r="F110" s="27" t="s">
        <v>57</v>
      </c>
      <c r="G110" s="28">
        <v>100000</v>
      </c>
      <c r="H110" s="29">
        <f t="shared" si="102"/>
        <v>20000000</v>
      </c>
      <c r="I110" s="30">
        <v>3908731694</v>
      </c>
      <c r="J110" s="31">
        <f t="shared" ref="J110:J115" si="103">H110/I110*100</f>
        <v>0.51167492592803177</v>
      </c>
      <c r="K110" s="37"/>
      <c r="L110" s="22"/>
      <c r="M110" s="22"/>
      <c r="N110" s="22"/>
      <c r="O110" s="45"/>
      <c r="P110" s="22"/>
      <c r="Q110" s="22"/>
      <c r="R110" s="6"/>
      <c r="S110" s="6"/>
      <c r="T110" s="6"/>
      <c r="U110" s="108">
        <v>4</v>
      </c>
      <c r="V110" s="108">
        <v>9</v>
      </c>
      <c r="W110" s="109">
        <f t="shared" ref="W110:W115" si="104">MAX(1,V110-U110+1)</f>
        <v>6</v>
      </c>
      <c r="X110" s="110">
        <f t="array" ref="X110">INDEX('KALENDER MINGGU'!$B$6:$B$21,U110)</f>
        <v>46247</v>
      </c>
      <c r="Y110" s="110">
        <f t="array" ref="Y110">INDEX('KALENDER MINGGU'!$C$6:$C$21,V110)</f>
        <v>46288</v>
      </c>
      <c r="AB110" s="109" t="str">
        <f>IF(AND($U110&lt;=1,$V110&gt;=1),"■","")</f>
        <v/>
      </c>
      <c r="AC110" s="109" t="str">
        <f>IF(AND($U110&lt;=2,$V110&gt;=2),"■","")</f>
        <v/>
      </c>
      <c r="AD110" s="109" t="str">
        <f>IF(AND($U110&lt;=3,$V110&gt;=3),"■","")</f>
        <v/>
      </c>
      <c r="AE110" s="109" t="str">
        <f>IF(AND($U110&lt;=4,$V110&gt;=4),"■","")</f>
        <v>■</v>
      </c>
      <c r="AF110" s="109" t="str">
        <f>IF(AND($U110&lt;=5,$V110&gt;=5),"■","")</f>
        <v>■</v>
      </c>
      <c r="AG110" s="109" t="str">
        <f>IF(AND($U110&lt;=6,$V110&gt;=6),"■","")</f>
        <v>■</v>
      </c>
      <c r="AH110" s="109" t="str">
        <f>IF(AND($U110&lt;=7,$V110&gt;=7),"■","")</f>
        <v>■</v>
      </c>
      <c r="AI110" s="109" t="str">
        <f>IF(AND($U110&lt;=8,$V110&gt;=8),"■","")</f>
        <v>■</v>
      </c>
      <c r="AJ110" s="109" t="str">
        <f>IF(AND($U110&lt;=9,$V110&gt;=9),"■","")</f>
        <v>■</v>
      </c>
      <c r="AK110" s="109" t="str">
        <f>IF(AND($U110&lt;=10,$V110&gt;=10),"■","")</f>
        <v/>
      </c>
      <c r="AL110" s="109" t="str">
        <f>IF(AND($U110&lt;=11,$V110&gt;=11),"■","")</f>
        <v/>
      </c>
      <c r="AM110" s="109" t="str">
        <f>IF(AND($U110&lt;=12,$V110&gt;=12),"■","")</f>
        <v/>
      </c>
      <c r="AN110" s="109" t="str">
        <f>IF(AND($U110&lt;=13,$V110&gt;=13),"■","")</f>
        <v/>
      </c>
      <c r="AO110" s="109" t="str">
        <f>IF(AND($U110&lt;=14,$V110&gt;=14),"■","")</f>
        <v/>
      </c>
      <c r="AP110" s="109" t="str">
        <f>IF(AND($U110&lt;=15,$V110&gt;=15),"■","")</f>
        <v/>
      </c>
      <c r="AQ110" s="109" t="str">
        <f>IF(AND($U110&lt;=16,$V110&gt;=16),"■","")</f>
        <v/>
      </c>
      <c r="AR110" t="s">
        <v>486</v>
      </c>
    </row>
    <row r="111" spans="1:44" ht="14.25" customHeight="1" x14ac:dyDescent="0.2">
      <c r="A111" s="22"/>
      <c r="B111" s="23">
        <v>2</v>
      </c>
      <c r="C111" s="46" t="s">
        <v>199</v>
      </c>
      <c r="D111" s="25" t="s">
        <v>200</v>
      </c>
      <c r="E111" s="48">
        <v>170</v>
      </c>
      <c r="F111" s="27" t="s">
        <v>70</v>
      </c>
      <c r="G111" s="28">
        <v>35000</v>
      </c>
      <c r="H111" s="29">
        <f t="shared" si="102"/>
        <v>5950000</v>
      </c>
      <c r="I111" s="30">
        <v>3908731694</v>
      </c>
      <c r="J111" s="31">
        <f t="shared" si="103"/>
        <v>0.15222329046358946</v>
      </c>
      <c r="K111" s="37"/>
      <c r="L111" s="22"/>
      <c r="M111" s="22"/>
      <c r="N111" s="22"/>
      <c r="O111" s="45"/>
      <c r="P111" s="22"/>
      <c r="Q111" s="22"/>
      <c r="R111" s="6"/>
      <c r="S111" s="6"/>
      <c r="T111" s="6"/>
      <c r="U111" s="108">
        <v>8</v>
      </c>
      <c r="V111" s="108">
        <v>9</v>
      </c>
      <c r="W111" s="109">
        <f t="shared" si="104"/>
        <v>2</v>
      </c>
      <c r="X111" s="110">
        <f t="array" ref="X111">INDEX('KALENDER MINGGU'!$B$6:$B$21,U111)</f>
        <v>46275</v>
      </c>
      <c r="Y111" s="110">
        <f t="array" ref="Y111">INDEX('KALENDER MINGGU'!$C$6:$C$21,V111)</f>
        <v>46288</v>
      </c>
      <c r="AB111" s="109" t="str">
        <f>IF(AND($U111&lt;=1,$V111&gt;=1),"■","")</f>
        <v/>
      </c>
      <c r="AC111" s="109" t="str">
        <f>IF(AND($U111&lt;=2,$V111&gt;=2),"■","")</f>
        <v/>
      </c>
      <c r="AD111" s="109" t="str">
        <f>IF(AND($U111&lt;=3,$V111&gt;=3),"■","")</f>
        <v/>
      </c>
      <c r="AE111" s="109" t="str">
        <f>IF(AND($U111&lt;=4,$V111&gt;=4),"■","")</f>
        <v/>
      </c>
      <c r="AF111" s="109" t="str">
        <f>IF(AND($U111&lt;=5,$V111&gt;=5),"■","")</f>
        <v/>
      </c>
      <c r="AG111" s="109" t="str">
        <f>IF(AND($U111&lt;=6,$V111&gt;=6),"■","")</f>
        <v/>
      </c>
      <c r="AH111" s="109" t="str">
        <f>IF(AND($U111&lt;=7,$V111&gt;=7),"■","")</f>
        <v/>
      </c>
      <c r="AI111" s="109" t="str">
        <f>IF(AND($U111&lt;=8,$V111&gt;=8),"■","")</f>
        <v>■</v>
      </c>
      <c r="AJ111" s="109" t="str">
        <f>IF(AND($U111&lt;=9,$V111&gt;=9),"■","")</f>
        <v>■</v>
      </c>
      <c r="AK111" s="109" t="str">
        <f>IF(AND($U111&lt;=10,$V111&gt;=10),"■","")</f>
        <v/>
      </c>
      <c r="AL111" s="109" t="str">
        <f>IF(AND($U111&lt;=11,$V111&gt;=11),"■","")</f>
        <v/>
      </c>
      <c r="AM111" s="109" t="str">
        <f>IF(AND($U111&lt;=12,$V111&gt;=12),"■","")</f>
        <v/>
      </c>
      <c r="AN111" s="109" t="str">
        <f>IF(AND($U111&lt;=13,$V111&gt;=13),"■","")</f>
        <v/>
      </c>
      <c r="AO111" s="109" t="str">
        <f>IF(AND($U111&lt;=14,$V111&gt;=14),"■","")</f>
        <v/>
      </c>
      <c r="AP111" s="109" t="str">
        <f>IF(AND($U111&lt;=15,$V111&gt;=15),"■","")</f>
        <v/>
      </c>
      <c r="AQ111" s="109" t="str">
        <f>IF(AND($U111&lt;=16,$V111&gt;=16),"■","")</f>
        <v/>
      </c>
      <c r="AR111" t="s">
        <v>487</v>
      </c>
    </row>
    <row r="112" spans="1:44" ht="14.25" customHeight="1" x14ac:dyDescent="0.2">
      <c r="A112" s="22"/>
      <c r="B112" s="23">
        <v>3</v>
      </c>
      <c r="C112" s="46" t="s">
        <v>201</v>
      </c>
      <c r="D112" s="25"/>
      <c r="E112" s="47"/>
      <c r="F112" s="27"/>
      <c r="G112" s="28"/>
      <c r="H112" s="29">
        <f t="shared" si="102"/>
        <v>0</v>
      </c>
      <c r="I112" s="30">
        <v>3908731694</v>
      </c>
      <c r="J112" s="31">
        <f t="shared" si="103"/>
        <v>0</v>
      </c>
      <c r="K112" s="37"/>
      <c r="L112" s="22"/>
      <c r="M112" s="22"/>
      <c r="N112" s="22"/>
      <c r="O112" s="45"/>
      <c r="P112" s="22"/>
      <c r="Q112" s="22"/>
      <c r="R112" s="6"/>
      <c r="S112" s="6"/>
      <c r="T112" s="6"/>
      <c r="U112" s="108">
        <v>4</v>
      </c>
      <c r="V112" s="108">
        <v>9</v>
      </c>
      <c r="W112" s="109">
        <f t="shared" si="104"/>
        <v>6</v>
      </c>
      <c r="X112" s="110">
        <f t="array" ref="X112">INDEX('KALENDER MINGGU'!$B$6:$B$21,U112)</f>
        <v>46247</v>
      </c>
      <c r="Y112" s="110">
        <f t="array" ref="Y112">INDEX('KALENDER MINGGU'!$C$6:$C$21,V112)</f>
        <v>46288</v>
      </c>
      <c r="AB112" s="109" t="str">
        <f>IF(AND($U112&lt;=1,$V112&gt;=1),"■","")</f>
        <v/>
      </c>
      <c r="AC112" s="109" t="str">
        <f>IF(AND($U112&lt;=2,$V112&gt;=2),"■","")</f>
        <v/>
      </c>
      <c r="AD112" s="109" t="str">
        <f>IF(AND($U112&lt;=3,$V112&gt;=3),"■","")</f>
        <v/>
      </c>
      <c r="AE112" s="109" t="str">
        <f>IF(AND($U112&lt;=4,$V112&gt;=4),"■","")</f>
        <v>■</v>
      </c>
      <c r="AF112" s="109" t="str">
        <f>IF(AND($U112&lt;=5,$V112&gt;=5),"■","")</f>
        <v>■</v>
      </c>
      <c r="AG112" s="109" t="str">
        <f>IF(AND($U112&lt;=6,$V112&gt;=6),"■","")</f>
        <v>■</v>
      </c>
      <c r="AH112" s="109" t="str">
        <f>IF(AND($U112&lt;=7,$V112&gt;=7),"■","")</f>
        <v>■</v>
      </c>
      <c r="AI112" s="109" t="str">
        <f>IF(AND($U112&lt;=8,$V112&gt;=8),"■","")</f>
        <v>■</v>
      </c>
      <c r="AJ112" s="109" t="str">
        <f>IF(AND($U112&lt;=9,$V112&gt;=9),"■","")</f>
        <v>■</v>
      </c>
      <c r="AK112" s="109" t="str">
        <f>IF(AND($U112&lt;=10,$V112&gt;=10),"■","")</f>
        <v/>
      </c>
      <c r="AL112" s="109" t="str">
        <f>IF(AND($U112&lt;=11,$V112&gt;=11),"■","")</f>
        <v/>
      </c>
      <c r="AM112" s="109" t="str">
        <f>IF(AND($U112&lt;=12,$V112&gt;=12),"■","")</f>
        <v/>
      </c>
      <c r="AN112" s="109" t="str">
        <f>IF(AND($U112&lt;=13,$V112&gt;=13),"■","")</f>
        <v/>
      </c>
      <c r="AO112" s="109" t="str">
        <f>IF(AND($U112&lt;=14,$V112&gt;=14),"■","")</f>
        <v/>
      </c>
      <c r="AP112" s="109" t="str">
        <f>IF(AND($U112&lt;=15,$V112&gt;=15),"■","")</f>
        <v/>
      </c>
      <c r="AQ112" s="109" t="str">
        <f>IF(AND($U112&lt;=16,$V112&gt;=16),"■","")</f>
        <v/>
      </c>
      <c r="AR112" t="s">
        <v>488</v>
      </c>
    </row>
    <row r="113" spans="1:44" ht="14.25" customHeight="1" x14ac:dyDescent="0.2">
      <c r="A113" s="22"/>
      <c r="B113" s="50"/>
      <c r="C113" s="46" t="s">
        <v>202</v>
      </c>
      <c r="D113" s="25" t="s">
        <v>203</v>
      </c>
      <c r="E113" s="51">
        <v>185</v>
      </c>
      <c r="F113" s="27" t="s">
        <v>70</v>
      </c>
      <c r="G113" s="28">
        <v>180000</v>
      </c>
      <c r="H113" s="29">
        <f t="shared" si="102"/>
        <v>33300000</v>
      </c>
      <c r="I113" s="30">
        <v>3908731694</v>
      </c>
      <c r="J113" s="31">
        <f t="shared" si="103"/>
        <v>0.85193875167017286</v>
      </c>
      <c r="K113" s="37"/>
      <c r="L113" s="22"/>
      <c r="M113" s="22"/>
      <c r="N113" s="22"/>
      <c r="O113" s="45"/>
      <c r="P113" s="22"/>
      <c r="Q113" s="22"/>
      <c r="R113" s="6"/>
      <c r="S113" s="6"/>
      <c r="T113" s="6"/>
      <c r="U113" s="108">
        <v>4</v>
      </c>
      <c r="V113" s="108">
        <v>10</v>
      </c>
      <c r="W113" s="109">
        <f t="shared" si="104"/>
        <v>7</v>
      </c>
      <c r="X113" s="110">
        <f t="array" ref="X113">INDEX('KALENDER MINGGU'!$B$6:$B$21,U113)</f>
        <v>46247</v>
      </c>
      <c r="Y113" s="110">
        <f t="array" ref="Y113">INDEX('KALENDER MINGGU'!$C$6:$C$21,V113)</f>
        <v>46295</v>
      </c>
      <c r="AB113" s="109" t="str">
        <f>IF(AND($U113&lt;=1,$V113&gt;=1),"■","")</f>
        <v/>
      </c>
      <c r="AC113" s="109" t="str">
        <f>IF(AND($U113&lt;=2,$V113&gt;=2),"■","")</f>
        <v/>
      </c>
      <c r="AD113" s="109" t="str">
        <f>IF(AND($U113&lt;=3,$V113&gt;=3),"■","")</f>
        <v/>
      </c>
      <c r="AE113" s="109" t="str">
        <f>IF(AND($U113&lt;=4,$V113&gt;=4),"■","")</f>
        <v>■</v>
      </c>
      <c r="AF113" s="109" t="str">
        <f>IF(AND($U113&lt;=5,$V113&gt;=5),"■","")</f>
        <v>■</v>
      </c>
      <c r="AG113" s="109" t="str">
        <f>IF(AND($U113&lt;=6,$V113&gt;=6),"■","")</f>
        <v>■</v>
      </c>
      <c r="AH113" s="109" t="str">
        <f>IF(AND($U113&lt;=7,$V113&gt;=7),"■","")</f>
        <v>■</v>
      </c>
      <c r="AI113" s="109" t="str">
        <f>IF(AND($U113&lt;=8,$V113&gt;=8),"■","")</f>
        <v>■</v>
      </c>
      <c r="AJ113" s="109" t="str">
        <f>IF(AND($U113&lt;=9,$V113&gt;=9),"■","")</f>
        <v>■</v>
      </c>
      <c r="AK113" s="109" t="str">
        <f>IF(AND($U113&lt;=10,$V113&gt;=10),"■","")</f>
        <v>■</v>
      </c>
      <c r="AL113" s="109" t="str">
        <f>IF(AND($U113&lt;=11,$V113&gt;=11),"■","")</f>
        <v/>
      </c>
      <c r="AM113" s="109" t="str">
        <f>IF(AND($U113&lt;=12,$V113&gt;=12),"■","")</f>
        <v/>
      </c>
      <c r="AN113" s="109" t="str">
        <f>IF(AND($U113&lt;=13,$V113&gt;=13),"■","")</f>
        <v/>
      </c>
      <c r="AO113" s="109" t="str">
        <f>IF(AND($U113&lt;=14,$V113&gt;=14),"■","")</f>
        <v/>
      </c>
      <c r="AP113" s="109" t="str">
        <f>IF(AND($U113&lt;=15,$V113&gt;=15),"■","")</f>
        <v/>
      </c>
      <c r="AQ113" s="109" t="str">
        <f>IF(AND($U113&lt;=16,$V113&gt;=16),"■","")</f>
        <v/>
      </c>
      <c r="AR113" t="s">
        <v>489</v>
      </c>
    </row>
    <row r="114" spans="1:44" ht="14.25" customHeight="1" x14ac:dyDescent="0.2">
      <c r="A114" s="22"/>
      <c r="B114" s="23"/>
      <c r="C114" s="46" t="s">
        <v>204</v>
      </c>
      <c r="D114" s="25" t="s">
        <v>205</v>
      </c>
      <c r="E114" s="51">
        <v>30</v>
      </c>
      <c r="F114" s="27" t="s">
        <v>70</v>
      </c>
      <c r="G114" s="28">
        <v>800000</v>
      </c>
      <c r="H114" s="29">
        <f t="shared" si="102"/>
        <v>24000000</v>
      </c>
      <c r="I114" s="30">
        <v>3908731694</v>
      </c>
      <c r="J114" s="31">
        <f t="shared" si="103"/>
        <v>0.61400991111363812</v>
      </c>
      <c r="K114" s="37"/>
      <c r="L114" s="22"/>
      <c r="M114" s="22"/>
      <c r="N114" s="22"/>
      <c r="O114" s="45"/>
      <c r="P114" s="22"/>
      <c r="Q114" s="22"/>
      <c r="R114" s="6"/>
      <c r="S114" s="6"/>
      <c r="T114" s="6"/>
      <c r="U114" s="108">
        <v>4</v>
      </c>
      <c r="V114" s="108">
        <v>10</v>
      </c>
      <c r="W114" s="109">
        <f t="shared" si="104"/>
        <v>7</v>
      </c>
      <c r="X114" s="110">
        <f t="array" ref="X114">INDEX('KALENDER MINGGU'!$B$6:$B$21,U114)</f>
        <v>46247</v>
      </c>
      <c r="Y114" s="110">
        <f t="array" ref="Y114">INDEX('KALENDER MINGGU'!$C$6:$C$21,V114)</f>
        <v>46295</v>
      </c>
      <c r="AB114" s="109" t="str">
        <f>IF(AND($U114&lt;=1,$V114&gt;=1),"■","")</f>
        <v/>
      </c>
      <c r="AC114" s="109" t="str">
        <f>IF(AND($U114&lt;=2,$V114&gt;=2),"■","")</f>
        <v/>
      </c>
      <c r="AD114" s="109" t="str">
        <f>IF(AND($U114&lt;=3,$V114&gt;=3),"■","")</f>
        <v/>
      </c>
      <c r="AE114" s="109" t="str">
        <f>IF(AND($U114&lt;=4,$V114&gt;=4),"■","")</f>
        <v>■</v>
      </c>
      <c r="AF114" s="109" t="str">
        <f>IF(AND($U114&lt;=5,$V114&gt;=5),"■","")</f>
        <v>■</v>
      </c>
      <c r="AG114" s="109" t="str">
        <f>IF(AND($U114&lt;=6,$V114&gt;=6),"■","")</f>
        <v>■</v>
      </c>
      <c r="AH114" s="109" t="str">
        <f>IF(AND($U114&lt;=7,$V114&gt;=7),"■","")</f>
        <v>■</v>
      </c>
      <c r="AI114" s="109" t="str">
        <f>IF(AND($U114&lt;=8,$V114&gt;=8),"■","")</f>
        <v>■</v>
      </c>
      <c r="AJ114" s="109" t="str">
        <f>IF(AND($U114&lt;=9,$V114&gt;=9),"■","")</f>
        <v>■</v>
      </c>
      <c r="AK114" s="109" t="str">
        <f>IF(AND($U114&lt;=10,$V114&gt;=10),"■","")</f>
        <v>■</v>
      </c>
      <c r="AL114" s="109" t="str">
        <f>IF(AND($U114&lt;=11,$V114&gt;=11),"■","")</f>
        <v/>
      </c>
      <c r="AM114" s="109" t="str">
        <f>IF(AND($U114&lt;=12,$V114&gt;=12),"■","")</f>
        <v/>
      </c>
      <c r="AN114" s="109" t="str">
        <f>IF(AND($U114&lt;=13,$V114&gt;=13),"■","")</f>
        <v/>
      </c>
      <c r="AO114" s="109" t="str">
        <f>IF(AND($U114&lt;=14,$V114&gt;=14),"■","")</f>
        <v/>
      </c>
      <c r="AP114" s="109" t="str">
        <f>IF(AND($U114&lt;=15,$V114&gt;=15),"■","")</f>
        <v/>
      </c>
      <c r="AQ114" s="109" t="str">
        <f>IF(AND($U114&lt;=16,$V114&gt;=16),"■","")</f>
        <v/>
      </c>
      <c r="AR114" t="s">
        <v>490</v>
      </c>
    </row>
    <row r="115" spans="1:44" ht="14.25" customHeight="1" x14ac:dyDescent="0.2">
      <c r="A115" s="22"/>
      <c r="B115" s="50"/>
      <c r="C115" s="46"/>
      <c r="D115" s="25"/>
      <c r="E115" s="51"/>
      <c r="F115" s="27"/>
      <c r="G115" s="28"/>
      <c r="H115" s="49">
        <f>SUM(H110:H114)</f>
        <v>83250000</v>
      </c>
      <c r="I115" s="30">
        <v>3908731694</v>
      </c>
      <c r="J115" s="43">
        <f t="shared" si="103"/>
        <v>2.1298468791754321</v>
      </c>
      <c r="K115" s="37"/>
      <c r="L115" s="22"/>
      <c r="M115" s="22"/>
      <c r="N115" s="22"/>
      <c r="O115" s="45"/>
      <c r="P115" s="22"/>
      <c r="Q115" s="22"/>
      <c r="R115" s="6"/>
      <c r="S115" s="6"/>
      <c r="T115" s="6"/>
      <c r="U115" s="109">
        <f>MIN(U110:U114)</f>
        <v>4</v>
      </c>
      <c r="V115" s="109">
        <f>MAX(V110:V114)</f>
        <v>10</v>
      </c>
      <c r="W115" s="109">
        <f t="shared" si="104"/>
        <v>7</v>
      </c>
      <c r="X115" s="110">
        <f t="array" ref="X115">INDEX('KALENDER MINGGU'!$B$6:$B$21,U115)</f>
        <v>46247</v>
      </c>
      <c r="Y115" s="110">
        <f t="array" ref="Y115">INDEX('KALENDER MINGGU'!$C$6:$C$21,V115)</f>
        <v>46295</v>
      </c>
      <c r="Z115" s="111">
        <f>SUM(TS!M34:AB34)/TS!L33*100</f>
        <v>88.2882882882883</v>
      </c>
      <c r="AA115" s="109" t="str">
        <f ca="1">IF(Z115&gt;=99.9,"COMPLETED",IF(U115&gt;'RENCANA MINGGUAN'!$J$7,"NOT STARTED",IF(V115&lt;'RENCANA MINGGUAN'!$J$7,"CRITICAL",IF(Z115+1&lt;W115,"DELAYED","ON SCHEDULE"))))</f>
        <v>ON SCHEDULE</v>
      </c>
      <c r="AB115" s="109" t="str">
        <f>IF(AND(U115&lt;=1,V115&gt;=1),"■","")</f>
        <v/>
      </c>
      <c r="AC115" s="109" t="str">
        <f>IF(AND(U115&lt;=2,V115&gt;=2),"■","")</f>
        <v/>
      </c>
      <c r="AD115" s="109" t="str">
        <f>IF(AND(U115&lt;=3,V115&gt;=3),"■","")</f>
        <v/>
      </c>
      <c r="AE115" s="109" t="str">
        <f>IF(AND(U115&lt;=4,V115&gt;=4),"■","")</f>
        <v>■</v>
      </c>
      <c r="AF115" s="109" t="str">
        <f>IF(AND(U115&lt;=5,V115&gt;=5),"■","")</f>
        <v>■</v>
      </c>
      <c r="AG115" s="109" t="str">
        <f>IF(AND(U115&lt;=6,V115&gt;=6),"■","")</f>
        <v>■</v>
      </c>
      <c r="AH115" s="109" t="str">
        <f>IF(AND(U115&lt;=7,V115&gt;=7),"■","")</f>
        <v>■</v>
      </c>
      <c r="AI115" s="109" t="str">
        <f>IF(AND(U115&lt;=8,V115&gt;=8),"■","")</f>
        <v>■</v>
      </c>
      <c r="AJ115" s="109" t="str">
        <f>IF(AND(U115&lt;=9,V115&gt;=9),"■","")</f>
        <v>■</v>
      </c>
      <c r="AK115" s="109" t="str">
        <f>IF(AND(U115&lt;=10,V115&gt;=10),"■","")</f>
        <v>■</v>
      </c>
      <c r="AL115" s="109" t="str">
        <f>IF(AND(U115&lt;=11,V115&gt;=11),"■","")</f>
        <v/>
      </c>
      <c r="AM115" s="109" t="str">
        <f>IF(AND(U115&lt;=12,V115&gt;=12),"■","")</f>
        <v/>
      </c>
      <c r="AN115" s="109" t="str">
        <f>IF(AND(U115&lt;=13,V115&gt;=13),"■","")</f>
        <v/>
      </c>
      <c r="AO115" s="109" t="str">
        <f>IF(AND(U115&lt;=14,V115&gt;=14),"■","")</f>
        <v/>
      </c>
      <c r="AP115" s="109" t="str">
        <f>IF(AND(U115&lt;=15,V115&gt;=15),"■","")</f>
        <v/>
      </c>
      <c r="AQ115" s="109" t="str">
        <f>IF(AND(U115&lt;=16,V115&gt;=16),"■","")</f>
        <v/>
      </c>
    </row>
    <row r="116" spans="1:44" ht="14.25" customHeight="1" x14ac:dyDescent="0.2">
      <c r="A116" s="22"/>
      <c r="B116" s="50"/>
      <c r="C116" s="46"/>
      <c r="D116" s="25"/>
      <c r="E116" s="51"/>
      <c r="F116" s="27"/>
      <c r="G116" s="28"/>
      <c r="H116" s="29">
        <f>E116*G116</f>
        <v>0</v>
      </c>
      <c r="I116" s="44"/>
      <c r="J116" s="44"/>
      <c r="K116" s="37"/>
      <c r="L116" s="22"/>
      <c r="M116" s="22"/>
      <c r="N116" s="22"/>
      <c r="O116" s="45"/>
      <c r="P116" s="22"/>
      <c r="Q116" s="22"/>
      <c r="R116" s="6"/>
      <c r="S116" s="6"/>
      <c r="T116" s="6"/>
    </row>
    <row r="117" spans="1:44" ht="14.25" customHeight="1" x14ac:dyDescent="0.25">
      <c r="A117" s="22"/>
      <c r="B117" s="16" t="s">
        <v>206</v>
      </c>
      <c r="C117" s="16" t="s">
        <v>207</v>
      </c>
      <c r="D117" s="16"/>
      <c r="E117" s="51"/>
      <c r="F117" s="27"/>
      <c r="G117" s="28"/>
      <c r="H117" s="29">
        <f>E117*G117</f>
        <v>0</v>
      </c>
      <c r="I117" s="44"/>
      <c r="J117" s="44"/>
      <c r="K117" s="37"/>
      <c r="L117" s="22"/>
      <c r="M117" s="22"/>
      <c r="N117" s="22"/>
      <c r="O117" s="45"/>
      <c r="P117" s="22"/>
      <c r="Q117" s="22"/>
      <c r="R117" s="6"/>
      <c r="S117" s="6"/>
      <c r="T117" s="6"/>
    </row>
    <row r="118" spans="1:44" ht="14.25" customHeight="1" x14ac:dyDescent="0.2">
      <c r="A118" s="22"/>
      <c r="B118" s="23">
        <v>1</v>
      </c>
      <c r="C118" s="46" t="s">
        <v>208</v>
      </c>
      <c r="D118" s="25" t="s">
        <v>209</v>
      </c>
      <c r="E118" s="47">
        <v>336</v>
      </c>
      <c r="F118" s="27" t="s">
        <v>111</v>
      </c>
      <c r="G118" s="28">
        <v>70000</v>
      </c>
      <c r="H118" s="29">
        <f>E118*G118</f>
        <v>23520000</v>
      </c>
      <c r="I118" s="30">
        <v>3908731694</v>
      </c>
      <c r="J118" s="31">
        <f>H118/I118*100</f>
        <v>0.60172971289136523</v>
      </c>
      <c r="K118" s="37"/>
      <c r="L118" s="22"/>
      <c r="M118" s="22"/>
      <c r="N118" s="22"/>
      <c r="O118" s="45"/>
      <c r="P118" s="22"/>
      <c r="Q118" s="22"/>
      <c r="R118" s="6"/>
      <c r="S118" s="6"/>
      <c r="T118" s="6"/>
      <c r="U118" s="108">
        <v>7</v>
      </c>
      <c r="V118" s="108">
        <v>9</v>
      </c>
      <c r="W118" s="109">
        <f>MAX(1,V118-U118+1)</f>
        <v>3</v>
      </c>
      <c r="X118" s="110">
        <f t="array" ref="X118">INDEX('KALENDER MINGGU'!$B$6:$B$21,U118)</f>
        <v>46268</v>
      </c>
      <c r="Y118" s="110">
        <f t="array" ref="Y118">INDEX('KALENDER MINGGU'!$C$6:$C$21,V118)</f>
        <v>46288</v>
      </c>
      <c r="AB118" s="109" t="str">
        <f>IF(AND($U118&lt;=1,$V118&gt;=1),"■","")</f>
        <v/>
      </c>
      <c r="AC118" s="109" t="str">
        <f>IF(AND($U118&lt;=2,$V118&gt;=2),"■","")</f>
        <v/>
      </c>
      <c r="AD118" s="109" t="str">
        <f>IF(AND($U118&lt;=3,$V118&gt;=3),"■","")</f>
        <v/>
      </c>
      <c r="AE118" s="109" t="str">
        <f>IF(AND($U118&lt;=4,$V118&gt;=4),"■","")</f>
        <v/>
      </c>
      <c r="AF118" s="109" t="str">
        <f>IF(AND($U118&lt;=5,$V118&gt;=5),"■","")</f>
        <v/>
      </c>
      <c r="AG118" s="109" t="str">
        <f>IF(AND($U118&lt;=6,$V118&gt;=6),"■","")</f>
        <v/>
      </c>
      <c r="AH118" s="109" t="str">
        <f>IF(AND($U118&lt;=7,$V118&gt;=7),"■","")</f>
        <v>■</v>
      </c>
      <c r="AI118" s="109" t="str">
        <f>IF(AND($U118&lt;=8,$V118&gt;=8),"■","")</f>
        <v>■</v>
      </c>
      <c r="AJ118" s="109" t="str">
        <f>IF(AND($U118&lt;=9,$V118&gt;=9),"■","")</f>
        <v>■</v>
      </c>
      <c r="AK118" s="109" t="str">
        <f>IF(AND($U118&lt;=10,$V118&gt;=10),"■","")</f>
        <v/>
      </c>
      <c r="AL118" s="109" t="str">
        <f>IF(AND($U118&lt;=11,$V118&gt;=11),"■","")</f>
        <v/>
      </c>
      <c r="AM118" s="109" t="str">
        <f>IF(AND($U118&lt;=12,$V118&gt;=12),"■","")</f>
        <v/>
      </c>
      <c r="AN118" s="109" t="str">
        <f>IF(AND($U118&lt;=13,$V118&gt;=13),"■","")</f>
        <v/>
      </c>
      <c r="AO118" s="109" t="str">
        <f>IF(AND($U118&lt;=14,$V118&gt;=14),"■","")</f>
        <v/>
      </c>
      <c r="AP118" s="109" t="str">
        <f>IF(AND($U118&lt;=15,$V118&gt;=15),"■","")</f>
        <v/>
      </c>
      <c r="AQ118" s="109" t="str">
        <f>IF(AND($U118&lt;=16,$V118&gt;=16),"■","")</f>
        <v/>
      </c>
      <c r="AR118" t="s">
        <v>491</v>
      </c>
    </row>
    <row r="119" spans="1:44" ht="14.25" customHeight="1" x14ac:dyDescent="0.2">
      <c r="A119" s="22"/>
      <c r="B119" s="23">
        <v>2</v>
      </c>
      <c r="C119" s="46" t="s">
        <v>210</v>
      </c>
      <c r="D119" s="25" t="s">
        <v>211</v>
      </c>
      <c r="E119" s="47">
        <v>14</v>
      </c>
      <c r="F119" s="27" t="s">
        <v>54</v>
      </c>
      <c r="G119" s="28">
        <v>1450000</v>
      </c>
      <c r="H119" s="29">
        <f>E119*G119</f>
        <v>20300000</v>
      </c>
      <c r="I119" s="30">
        <v>3908731694</v>
      </c>
      <c r="J119" s="31">
        <f>H119/I119*100</f>
        <v>0.51935004981695221</v>
      </c>
      <c r="K119" s="37"/>
      <c r="L119" s="22"/>
      <c r="M119" s="22"/>
      <c r="N119" s="22"/>
      <c r="O119" s="45"/>
      <c r="P119" s="22"/>
      <c r="Q119" s="22"/>
      <c r="R119" s="6"/>
      <c r="S119" s="6"/>
      <c r="T119" s="6"/>
      <c r="U119" s="108">
        <v>7</v>
      </c>
      <c r="V119" s="108">
        <v>9</v>
      </c>
      <c r="W119" s="109">
        <f>MAX(1,V119-U119+1)</f>
        <v>3</v>
      </c>
      <c r="X119" s="110">
        <f t="array" ref="X119">INDEX('KALENDER MINGGU'!$B$6:$B$21,U119)</f>
        <v>46268</v>
      </c>
      <c r="Y119" s="110">
        <f t="array" ref="Y119">INDEX('KALENDER MINGGU'!$C$6:$C$21,V119)</f>
        <v>46288</v>
      </c>
      <c r="AB119" s="109" t="str">
        <f>IF(AND($U119&lt;=1,$V119&gt;=1),"■","")</f>
        <v/>
      </c>
      <c r="AC119" s="109" t="str">
        <f>IF(AND($U119&lt;=2,$V119&gt;=2),"■","")</f>
        <v/>
      </c>
      <c r="AD119" s="109" t="str">
        <f>IF(AND($U119&lt;=3,$V119&gt;=3),"■","")</f>
        <v/>
      </c>
      <c r="AE119" s="109" t="str">
        <f>IF(AND($U119&lt;=4,$V119&gt;=4),"■","")</f>
        <v/>
      </c>
      <c r="AF119" s="109" t="str">
        <f>IF(AND($U119&lt;=5,$V119&gt;=5),"■","")</f>
        <v/>
      </c>
      <c r="AG119" s="109" t="str">
        <f>IF(AND($U119&lt;=6,$V119&gt;=6),"■","")</f>
        <v/>
      </c>
      <c r="AH119" s="109" t="str">
        <f>IF(AND($U119&lt;=7,$V119&gt;=7),"■","")</f>
        <v>■</v>
      </c>
      <c r="AI119" s="109" t="str">
        <f>IF(AND($U119&lt;=8,$V119&gt;=8),"■","")</f>
        <v>■</v>
      </c>
      <c r="AJ119" s="109" t="str">
        <f>IF(AND($U119&lt;=9,$V119&gt;=9),"■","")</f>
        <v>■</v>
      </c>
      <c r="AK119" s="109" t="str">
        <f>IF(AND($U119&lt;=10,$V119&gt;=10),"■","")</f>
        <v/>
      </c>
      <c r="AL119" s="109" t="str">
        <f>IF(AND($U119&lt;=11,$V119&gt;=11),"■","")</f>
        <v/>
      </c>
      <c r="AM119" s="109" t="str">
        <f>IF(AND($U119&lt;=12,$V119&gt;=12),"■","")</f>
        <v/>
      </c>
      <c r="AN119" s="109" t="str">
        <f>IF(AND($U119&lt;=13,$V119&gt;=13),"■","")</f>
        <v/>
      </c>
      <c r="AO119" s="109" t="str">
        <f>IF(AND($U119&lt;=14,$V119&gt;=14),"■","")</f>
        <v/>
      </c>
      <c r="AP119" s="109" t="str">
        <f>IF(AND($U119&lt;=15,$V119&gt;=15),"■","")</f>
        <v/>
      </c>
      <c r="AQ119" s="109" t="str">
        <f>IF(AND($U119&lt;=16,$V119&gt;=16),"■","")</f>
        <v/>
      </c>
      <c r="AR119" t="s">
        <v>492</v>
      </c>
    </row>
    <row r="120" spans="1:44" ht="14.25" customHeight="1" x14ac:dyDescent="0.2">
      <c r="A120" s="22"/>
      <c r="B120" s="23">
        <v>3</v>
      </c>
      <c r="C120" s="46" t="s">
        <v>212</v>
      </c>
      <c r="D120" s="25"/>
      <c r="E120" s="47">
        <v>1</v>
      </c>
      <c r="F120" s="27" t="s">
        <v>41</v>
      </c>
      <c r="G120" s="28">
        <v>1500000</v>
      </c>
      <c r="H120" s="29">
        <f>E120*G120</f>
        <v>1500000</v>
      </c>
      <c r="I120" s="30">
        <v>3908731694</v>
      </c>
      <c r="J120" s="31">
        <f>H120/I120*100</f>
        <v>3.8375619444602382E-2</v>
      </c>
      <c r="K120" s="37"/>
      <c r="L120" s="22"/>
      <c r="M120" s="22"/>
      <c r="N120" s="22"/>
      <c r="O120" s="45"/>
      <c r="P120" s="22"/>
      <c r="Q120" s="22"/>
      <c r="R120" s="6"/>
      <c r="S120" s="6"/>
      <c r="T120" s="6"/>
      <c r="U120" s="108">
        <v>7</v>
      </c>
      <c r="V120" s="108">
        <v>9</v>
      </c>
      <c r="W120" s="109">
        <f>MAX(1,V120-U120+1)</f>
        <v>3</v>
      </c>
      <c r="X120" s="110">
        <f t="array" ref="X120">INDEX('KALENDER MINGGU'!$B$6:$B$21,U120)</f>
        <v>46268</v>
      </c>
      <c r="Y120" s="110">
        <f t="array" ref="Y120">INDEX('KALENDER MINGGU'!$C$6:$C$21,V120)</f>
        <v>46288</v>
      </c>
      <c r="AB120" s="109" t="str">
        <f>IF(AND($U120&lt;=1,$V120&gt;=1),"■","")</f>
        <v/>
      </c>
      <c r="AC120" s="109" t="str">
        <f>IF(AND($U120&lt;=2,$V120&gt;=2),"■","")</f>
        <v/>
      </c>
      <c r="AD120" s="109" t="str">
        <f>IF(AND($U120&lt;=3,$V120&gt;=3),"■","")</f>
        <v/>
      </c>
      <c r="AE120" s="109" t="str">
        <f>IF(AND($U120&lt;=4,$V120&gt;=4),"■","")</f>
        <v/>
      </c>
      <c r="AF120" s="109" t="str">
        <f>IF(AND($U120&lt;=5,$V120&gt;=5),"■","")</f>
        <v/>
      </c>
      <c r="AG120" s="109" t="str">
        <f>IF(AND($U120&lt;=6,$V120&gt;=6),"■","")</f>
        <v/>
      </c>
      <c r="AH120" s="109" t="str">
        <f>IF(AND($U120&lt;=7,$V120&gt;=7),"■","")</f>
        <v>■</v>
      </c>
      <c r="AI120" s="109" t="str">
        <f>IF(AND($U120&lt;=8,$V120&gt;=8),"■","")</f>
        <v>■</v>
      </c>
      <c r="AJ120" s="109" t="str">
        <f>IF(AND($U120&lt;=9,$V120&gt;=9),"■","")</f>
        <v>■</v>
      </c>
      <c r="AK120" s="109" t="str">
        <f>IF(AND($U120&lt;=10,$V120&gt;=10),"■","")</f>
        <v/>
      </c>
      <c r="AL120" s="109" t="str">
        <f>IF(AND($U120&lt;=11,$V120&gt;=11),"■","")</f>
        <v/>
      </c>
      <c r="AM120" s="109" t="str">
        <f>IF(AND($U120&lt;=12,$V120&gt;=12),"■","")</f>
        <v/>
      </c>
      <c r="AN120" s="109" t="str">
        <f>IF(AND($U120&lt;=13,$V120&gt;=13),"■","")</f>
        <v/>
      </c>
      <c r="AO120" s="109" t="str">
        <f>IF(AND($U120&lt;=14,$V120&gt;=14),"■","")</f>
        <v/>
      </c>
      <c r="AP120" s="109" t="str">
        <f>IF(AND($U120&lt;=15,$V120&gt;=15),"■","")</f>
        <v/>
      </c>
      <c r="AQ120" s="109" t="str">
        <f>IF(AND($U120&lt;=16,$V120&gt;=16),"■","")</f>
        <v/>
      </c>
      <c r="AR120" t="s">
        <v>493</v>
      </c>
    </row>
    <row r="121" spans="1:44" ht="14.25" customHeight="1" x14ac:dyDescent="0.2">
      <c r="A121" s="22"/>
      <c r="B121" s="50"/>
      <c r="C121" s="46"/>
      <c r="D121" s="25"/>
      <c r="E121" s="51"/>
      <c r="F121" s="27"/>
      <c r="G121" s="28"/>
      <c r="H121" s="49">
        <f>SUM(H118:H120)</f>
        <v>45320000</v>
      </c>
      <c r="I121" s="30">
        <v>3908731694</v>
      </c>
      <c r="J121" s="43">
        <f>H121/I121*100</f>
        <v>1.1594553821529199</v>
      </c>
      <c r="K121" s="37"/>
      <c r="L121" s="22"/>
      <c r="M121" s="22"/>
      <c r="N121" s="22"/>
      <c r="O121" s="45"/>
      <c r="P121" s="22"/>
      <c r="Q121" s="22"/>
      <c r="R121" s="6"/>
      <c r="S121" s="6"/>
      <c r="T121" s="6"/>
      <c r="U121" s="109">
        <f>MIN(U118:U120)</f>
        <v>7</v>
      </c>
      <c r="V121" s="109">
        <f>MAX(V118:V120)</f>
        <v>9</v>
      </c>
      <c r="W121" s="109">
        <f>MAX(1,V121-U121+1)</f>
        <v>3</v>
      </c>
      <c r="X121" s="110">
        <f t="array" ref="X121">INDEX('KALENDER MINGGU'!$B$6:$B$21,U121)</f>
        <v>46268</v>
      </c>
      <c r="Y121" s="110">
        <f t="array" ref="Y121">INDEX('KALENDER MINGGU'!$C$6:$C$21,V121)</f>
        <v>46288</v>
      </c>
      <c r="Z121" s="111">
        <f>SUM(TS!M36:AB36)/TS!L35*100</f>
        <v>98.333674820325285</v>
      </c>
      <c r="AA121" s="109" t="str">
        <f ca="1">IF(Z121&gt;=99.9,"COMPLETED",IF(U121&gt;'RENCANA MINGGUAN'!$J$7,"NOT STARTED",IF(V121&lt;'RENCANA MINGGUAN'!$J$7,"CRITICAL",IF(Z121+1&lt;W121,"DELAYED","ON SCHEDULE"))))</f>
        <v>CRITICAL</v>
      </c>
      <c r="AB121" s="109" t="str">
        <f>IF(AND(U121&lt;=1,V121&gt;=1),"■","")</f>
        <v/>
      </c>
      <c r="AC121" s="109" t="str">
        <f>IF(AND(U121&lt;=2,V121&gt;=2),"■","")</f>
        <v/>
      </c>
      <c r="AD121" s="109" t="str">
        <f>IF(AND(U121&lt;=3,V121&gt;=3),"■","")</f>
        <v/>
      </c>
      <c r="AE121" s="109" t="str">
        <f>IF(AND(U121&lt;=4,V121&gt;=4),"■","")</f>
        <v/>
      </c>
      <c r="AF121" s="109" t="str">
        <f>IF(AND(U121&lt;=5,V121&gt;=5),"■","")</f>
        <v/>
      </c>
      <c r="AG121" s="109" t="str">
        <f>IF(AND(U121&lt;=6,V121&gt;=6),"■","")</f>
        <v/>
      </c>
      <c r="AH121" s="109" t="str">
        <f>IF(AND(U121&lt;=7,V121&gt;=7),"■","")</f>
        <v>■</v>
      </c>
      <c r="AI121" s="109" t="str">
        <f>IF(AND(U121&lt;=8,V121&gt;=8),"■","")</f>
        <v>■</v>
      </c>
      <c r="AJ121" s="109" t="str">
        <f>IF(AND(U121&lt;=9,V121&gt;=9),"■","")</f>
        <v>■</v>
      </c>
      <c r="AK121" s="109" t="str">
        <f>IF(AND(U121&lt;=10,V121&gt;=10),"■","")</f>
        <v/>
      </c>
      <c r="AL121" s="109" t="str">
        <f>IF(AND(U121&lt;=11,V121&gt;=11),"■","")</f>
        <v/>
      </c>
      <c r="AM121" s="109" t="str">
        <f>IF(AND(U121&lt;=12,V121&gt;=12),"■","")</f>
        <v/>
      </c>
      <c r="AN121" s="109" t="str">
        <f>IF(AND(U121&lt;=13,V121&gt;=13),"■","")</f>
        <v/>
      </c>
      <c r="AO121" s="109" t="str">
        <f>IF(AND(U121&lt;=14,V121&gt;=14),"■","")</f>
        <v/>
      </c>
      <c r="AP121" s="109" t="str">
        <f>IF(AND(U121&lt;=15,V121&gt;=15),"■","")</f>
        <v/>
      </c>
      <c r="AQ121" s="109" t="str">
        <f>IF(AND(U121&lt;=16,V121&gt;=16),"■","")</f>
        <v/>
      </c>
    </row>
    <row r="122" spans="1:44" ht="14.25" customHeight="1" x14ac:dyDescent="0.2">
      <c r="A122" s="22"/>
      <c r="B122" s="50"/>
      <c r="C122" s="46"/>
      <c r="D122" s="25"/>
      <c r="E122" s="51"/>
      <c r="F122" s="27"/>
      <c r="G122" s="28"/>
      <c r="H122" s="29">
        <f>E122*G122</f>
        <v>0</v>
      </c>
      <c r="I122" s="44"/>
      <c r="J122" s="44"/>
      <c r="K122" s="37">
        <v>1</v>
      </c>
      <c r="L122" s="22" t="s">
        <v>213</v>
      </c>
      <c r="M122" s="22"/>
      <c r="N122" s="22"/>
      <c r="O122" s="45" t="s">
        <v>214</v>
      </c>
      <c r="P122" s="22">
        <v>100000</v>
      </c>
      <c r="Q122" s="22">
        <v>390000</v>
      </c>
      <c r="R122" s="6"/>
      <c r="S122" s="6"/>
      <c r="T122" s="6"/>
    </row>
    <row r="123" spans="1:44" ht="14.25" customHeight="1" x14ac:dyDescent="0.25">
      <c r="A123" s="22"/>
      <c r="B123" s="16" t="s">
        <v>215</v>
      </c>
      <c r="C123" s="16" t="s">
        <v>216</v>
      </c>
      <c r="D123" s="16"/>
      <c r="E123" s="51"/>
      <c r="F123" s="27"/>
      <c r="G123" s="28"/>
      <c r="H123" s="29">
        <f>E123*G123</f>
        <v>0</v>
      </c>
      <c r="I123" s="44"/>
      <c r="J123" s="44"/>
      <c r="K123" s="37">
        <v>2</v>
      </c>
      <c r="L123" s="22" t="s">
        <v>217</v>
      </c>
      <c r="M123" s="22"/>
      <c r="N123" s="22"/>
      <c r="O123" s="45">
        <v>1</v>
      </c>
      <c r="P123" s="22">
        <v>600000</v>
      </c>
      <c r="Q123" s="22">
        <v>600000</v>
      </c>
      <c r="R123" s="6"/>
      <c r="S123" s="6"/>
      <c r="T123" s="6"/>
    </row>
    <row r="124" spans="1:44" ht="14.25" customHeight="1" x14ac:dyDescent="0.2">
      <c r="A124" s="22"/>
      <c r="B124" s="23">
        <v>1</v>
      </c>
      <c r="C124" s="46" t="s">
        <v>218</v>
      </c>
      <c r="D124" s="25" t="s">
        <v>219</v>
      </c>
      <c r="E124" s="47">
        <v>160</v>
      </c>
      <c r="F124" s="27" t="s">
        <v>111</v>
      </c>
      <c r="G124" s="28">
        <v>120000</v>
      </c>
      <c r="H124" s="29">
        <f>E124*G124</f>
        <v>19200000</v>
      </c>
      <c r="I124" s="30">
        <v>3908731694</v>
      </c>
      <c r="J124" s="31">
        <f>H124/I124*100</f>
        <v>0.49120792889091047</v>
      </c>
      <c r="K124" s="37">
        <v>3</v>
      </c>
      <c r="L124" s="54" t="s">
        <v>220</v>
      </c>
      <c r="M124" s="54"/>
      <c r="N124" s="54"/>
      <c r="O124" s="45" t="s">
        <v>221</v>
      </c>
      <c r="P124" s="22">
        <v>498750</v>
      </c>
      <c r="Q124" s="22">
        <v>1496250</v>
      </c>
      <c r="R124" s="6"/>
      <c r="S124" s="6"/>
      <c r="T124" s="6"/>
      <c r="U124" s="108">
        <v>10</v>
      </c>
      <c r="V124" s="108">
        <v>12</v>
      </c>
      <c r="W124" s="109">
        <f>MAX(1,V124-U124+1)</f>
        <v>3</v>
      </c>
      <c r="X124" s="110">
        <f t="array" ref="X124">INDEX('KALENDER MINGGU'!$B$6:$B$21,U124)</f>
        <v>46289</v>
      </c>
      <c r="Y124" s="110">
        <f t="array" ref="Y124">INDEX('KALENDER MINGGU'!$C$6:$C$21,V124)</f>
        <v>46309</v>
      </c>
      <c r="AB124" s="109" t="str">
        <f>IF(AND($U124&lt;=1,$V124&gt;=1),"■","")</f>
        <v/>
      </c>
      <c r="AC124" s="109" t="str">
        <f>IF(AND($U124&lt;=2,$V124&gt;=2),"■","")</f>
        <v/>
      </c>
      <c r="AD124" s="109" t="str">
        <f>IF(AND($U124&lt;=3,$V124&gt;=3),"■","")</f>
        <v/>
      </c>
      <c r="AE124" s="109" t="str">
        <f>IF(AND($U124&lt;=4,$V124&gt;=4),"■","")</f>
        <v/>
      </c>
      <c r="AF124" s="109" t="str">
        <f>IF(AND($U124&lt;=5,$V124&gt;=5),"■","")</f>
        <v/>
      </c>
      <c r="AG124" s="109" t="str">
        <f>IF(AND($U124&lt;=6,$V124&gt;=6),"■","")</f>
        <v/>
      </c>
      <c r="AH124" s="109" t="str">
        <f>IF(AND($U124&lt;=7,$V124&gt;=7),"■","")</f>
        <v/>
      </c>
      <c r="AI124" s="109" t="str">
        <f>IF(AND($U124&lt;=8,$V124&gt;=8),"■","")</f>
        <v/>
      </c>
      <c r="AJ124" s="109" t="str">
        <f>IF(AND($U124&lt;=9,$V124&gt;=9),"■","")</f>
        <v/>
      </c>
      <c r="AK124" s="109" t="str">
        <f>IF(AND($U124&lt;=10,$V124&gt;=10),"■","")</f>
        <v>■</v>
      </c>
      <c r="AL124" s="109" t="str">
        <f>IF(AND($U124&lt;=11,$V124&gt;=11),"■","")</f>
        <v>■</v>
      </c>
      <c r="AM124" s="109" t="str">
        <f>IF(AND($U124&lt;=12,$V124&gt;=12),"■","")</f>
        <v>■</v>
      </c>
      <c r="AN124" s="109" t="str">
        <f>IF(AND($U124&lt;=13,$V124&gt;=13),"■","")</f>
        <v/>
      </c>
      <c r="AO124" s="109" t="str">
        <f>IF(AND($U124&lt;=14,$V124&gt;=14),"■","")</f>
        <v/>
      </c>
      <c r="AP124" s="109" t="str">
        <f>IF(AND($U124&lt;=15,$V124&gt;=15),"■","")</f>
        <v/>
      </c>
      <c r="AQ124" s="109" t="str">
        <f>IF(AND($U124&lt;=16,$V124&gt;=16),"■","")</f>
        <v/>
      </c>
      <c r="AR124" t="s">
        <v>494</v>
      </c>
    </row>
    <row r="125" spans="1:44" ht="14.25" customHeight="1" x14ac:dyDescent="0.2">
      <c r="A125" s="22"/>
      <c r="B125" s="23">
        <v>2</v>
      </c>
      <c r="C125" s="46" t="s">
        <v>222</v>
      </c>
      <c r="D125" s="25" t="s">
        <v>223</v>
      </c>
      <c r="E125" s="47">
        <v>8</v>
      </c>
      <c r="F125" s="27" t="s">
        <v>108</v>
      </c>
      <c r="G125" s="28">
        <v>1800000</v>
      </c>
      <c r="H125" s="29">
        <f>E125*G125</f>
        <v>14400000</v>
      </c>
      <c r="I125" s="30">
        <v>3908731694</v>
      </c>
      <c r="J125" s="31">
        <f>H125/I125*100</f>
        <v>0.36840594666818283</v>
      </c>
      <c r="K125" s="37">
        <v>4</v>
      </c>
      <c r="L125" s="22" t="s">
        <v>224</v>
      </c>
      <c r="M125" s="22"/>
      <c r="N125" s="22"/>
      <c r="O125" s="22">
        <v>1</v>
      </c>
      <c r="P125" s="22">
        <v>1200000</v>
      </c>
      <c r="Q125" s="22">
        <v>1200000</v>
      </c>
      <c r="R125" s="6"/>
      <c r="S125" s="6"/>
      <c r="T125" s="6"/>
      <c r="U125" s="108">
        <v>7</v>
      </c>
      <c r="V125" s="108">
        <v>9</v>
      </c>
      <c r="W125" s="109">
        <f>MAX(1,V125-U125+1)</f>
        <v>3</v>
      </c>
      <c r="X125" s="110">
        <f t="array" ref="X125">INDEX('KALENDER MINGGU'!$B$6:$B$21,U125)</f>
        <v>46268</v>
      </c>
      <c r="Y125" s="110">
        <f t="array" ref="Y125">INDEX('KALENDER MINGGU'!$C$6:$C$21,V125)</f>
        <v>46288</v>
      </c>
      <c r="AB125" s="109" t="str">
        <f>IF(AND($U125&lt;=1,$V125&gt;=1),"■","")</f>
        <v/>
      </c>
      <c r="AC125" s="109" t="str">
        <f>IF(AND($U125&lt;=2,$V125&gt;=2),"■","")</f>
        <v/>
      </c>
      <c r="AD125" s="109" t="str">
        <f>IF(AND($U125&lt;=3,$V125&gt;=3),"■","")</f>
        <v/>
      </c>
      <c r="AE125" s="109" t="str">
        <f>IF(AND($U125&lt;=4,$V125&gt;=4),"■","")</f>
        <v/>
      </c>
      <c r="AF125" s="109" t="str">
        <f>IF(AND($U125&lt;=5,$V125&gt;=5),"■","")</f>
        <v/>
      </c>
      <c r="AG125" s="109" t="str">
        <f>IF(AND($U125&lt;=6,$V125&gt;=6),"■","")</f>
        <v/>
      </c>
      <c r="AH125" s="109" t="str">
        <f>IF(AND($U125&lt;=7,$V125&gt;=7),"■","")</f>
        <v>■</v>
      </c>
      <c r="AI125" s="109" t="str">
        <f>IF(AND($U125&lt;=8,$V125&gt;=8),"■","")</f>
        <v>■</v>
      </c>
      <c r="AJ125" s="109" t="str">
        <f>IF(AND($U125&lt;=9,$V125&gt;=9),"■","")</f>
        <v>■</v>
      </c>
      <c r="AK125" s="109" t="str">
        <f>IF(AND($U125&lt;=10,$V125&gt;=10),"■","")</f>
        <v/>
      </c>
      <c r="AL125" s="109" t="str">
        <f>IF(AND($U125&lt;=11,$V125&gt;=11),"■","")</f>
        <v/>
      </c>
      <c r="AM125" s="109" t="str">
        <f>IF(AND($U125&lt;=12,$V125&gt;=12),"■","")</f>
        <v/>
      </c>
      <c r="AN125" s="109" t="str">
        <f>IF(AND($U125&lt;=13,$V125&gt;=13),"■","")</f>
        <v/>
      </c>
      <c r="AO125" s="109" t="str">
        <f>IF(AND($U125&lt;=14,$V125&gt;=14),"■","")</f>
        <v/>
      </c>
      <c r="AP125" s="109" t="str">
        <f>IF(AND($U125&lt;=15,$V125&gt;=15),"■","")</f>
        <v/>
      </c>
      <c r="AQ125" s="109" t="str">
        <f>IF(AND($U125&lt;=16,$V125&gt;=16),"■","")</f>
        <v/>
      </c>
      <c r="AR125" t="s">
        <v>495</v>
      </c>
    </row>
    <row r="126" spans="1:44" ht="14.25" customHeight="1" x14ac:dyDescent="0.2">
      <c r="A126" s="22"/>
      <c r="B126" s="23">
        <v>3</v>
      </c>
      <c r="C126" s="46" t="s">
        <v>225</v>
      </c>
      <c r="D126" s="25" t="s">
        <v>226</v>
      </c>
      <c r="E126" s="47">
        <v>82</v>
      </c>
      <c r="F126" s="27" t="s">
        <v>70</v>
      </c>
      <c r="G126" s="28">
        <v>300000</v>
      </c>
      <c r="H126" s="29">
        <f>E126*G126</f>
        <v>24600000</v>
      </c>
      <c r="I126" s="30">
        <v>3908731694</v>
      </c>
      <c r="J126" s="31">
        <f>H126/I126*100</f>
        <v>0.629360158891479</v>
      </c>
      <c r="K126" s="37">
        <v>5</v>
      </c>
      <c r="L126" s="22" t="s">
        <v>227</v>
      </c>
      <c r="M126" s="22"/>
      <c r="N126" s="22"/>
      <c r="O126" s="22">
        <v>40</v>
      </c>
      <c r="P126" s="22">
        <v>27000</v>
      </c>
      <c r="Q126" s="22">
        <v>1080000</v>
      </c>
      <c r="R126" s="6"/>
      <c r="S126" s="6"/>
      <c r="T126" s="6"/>
      <c r="U126" s="108">
        <v>10</v>
      </c>
      <c r="V126" s="108">
        <v>12</v>
      </c>
      <c r="W126" s="109">
        <f>MAX(1,V126-U126+1)</f>
        <v>3</v>
      </c>
      <c r="X126" s="110">
        <f t="array" ref="X126">INDEX('KALENDER MINGGU'!$B$6:$B$21,U126)</f>
        <v>46289</v>
      </c>
      <c r="Y126" s="110">
        <f t="array" ref="Y126">INDEX('KALENDER MINGGU'!$C$6:$C$21,V126)</f>
        <v>46309</v>
      </c>
      <c r="AB126" s="109" t="str">
        <f>IF(AND($U126&lt;=1,$V126&gt;=1),"■","")</f>
        <v/>
      </c>
      <c r="AC126" s="109" t="str">
        <f>IF(AND($U126&lt;=2,$V126&gt;=2),"■","")</f>
        <v/>
      </c>
      <c r="AD126" s="109" t="str">
        <f>IF(AND($U126&lt;=3,$V126&gt;=3),"■","")</f>
        <v/>
      </c>
      <c r="AE126" s="109" t="str">
        <f>IF(AND($U126&lt;=4,$V126&gt;=4),"■","")</f>
        <v/>
      </c>
      <c r="AF126" s="109" t="str">
        <f>IF(AND($U126&lt;=5,$V126&gt;=5),"■","")</f>
        <v/>
      </c>
      <c r="AG126" s="109" t="str">
        <f>IF(AND($U126&lt;=6,$V126&gt;=6),"■","")</f>
        <v/>
      </c>
      <c r="AH126" s="109" t="str">
        <f>IF(AND($U126&lt;=7,$V126&gt;=7),"■","")</f>
        <v/>
      </c>
      <c r="AI126" s="109" t="str">
        <f>IF(AND($U126&lt;=8,$V126&gt;=8),"■","")</f>
        <v/>
      </c>
      <c r="AJ126" s="109" t="str">
        <f>IF(AND($U126&lt;=9,$V126&gt;=9),"■","")</f>
        <v/>
      </c>
      <c r="AK126" s="109" t="str">
        <f>IF(AND($U126&lt;=10,$V126&gt;=10),"■","")</f>
        <v>■</v>
      </c>
      <c r="AL126" s="109" t="str">
        <f>IF(AND($U126&lt;=11,$V126&gt;=11),"■","")</f>
        <v>■</v>
      </c>
      <c r="AM126" s="109" t="str">
        <f>IF(AND($U126&lt;=12,$V126&gt;=12),"■","")</f>
        <v>■</v>
      </c>
      <c r="AN126" s="109" t="str">
        <f>IF(AND($U126&lt;=13,$V126&gt;=13),"■","")</f>
        <v/>
      </c>
      <c r="AO126" s="109" t="str">
        <f>IF(AND($U126&lt;=14,$V126&gt;=14),"■","")</f>
        <v/>
      </c>
      <c r="AP126" s="109" t="str">
        <f>IF(AND($U126&lt;=15,$V126&gt;=15),"■","")</f>
        <v/>
      </c>
      <c r="AQ126" s="109" t="str">
        <f>IF(AND($U126&lt;=16,$V126&gt;=16),"■","")</f>
        <v/>
      </c>
      <c r="AR126" t="s">
        <v>496</v>
      </c>
    </row>
    <row r="127" spans="1:44" ht="14.25" customHeight="1" x14ac:dyDescent="0.2">
      <c r="A127" s="22"/>
      <c r="B127" s="50"/>
      <c r="C127" s="46"/>
      <c r="D127" s="25"/>
      <c r="E127" s="51"/>
      <c r="F127" s="27"/>
      <c r="G127" s="28"/>
      <c r="H127" s="49">
        <f>SUM(H124:H126)</f>
        <v>58200000</v>
      </c>
      <c r="I127" s="30">
        <v>3908731694</v>
      </c>
      <c r="J127" s="43">
        <f>H127/I127*100</f>
        <v>1.4889740344505722</v>
      </c>
      <c r="K127" s="37">
        <v>6</v>
      </c>
      <c r="L127" s="22" t="s">
        <v>228</v>
      </c>
      <c r="M127" s="22"/>
      <c r="N127" s="22"/>
      <c r="O127" s="22">
        <v>1</v>
      </c>
      <c r="P127" s="22">
        <v>1000000</v>
      </c>
      <c r="Q127" s="22">
        <v>1000000</v>
      </c>
      <c r="R127" s="6"/>
      <c r="S127" s="6"/>
      <c r="T127" s="6"/>
      <c r="U127" s="109">
        <f>MIN(U124:U126)</f>
        <v>7</v>
      </c>
      <c r="V127" s="109">
        <f>MAX(V124:V126)</f>
        <v>12</v>
      </c>
      <c r="W127" s="109">
        <f>MAX(1,V127-U127+1)</f>
        <v>6</v>
      </c>
      <c r="X127" s="110">
        <f t="array" ref="X127">INDEX('KALENDER MINGGU'!$B$6:$B$21,U127)</f>
        <v>46268</v>
      </c>
      <c r="Y127" s="110">
        <f t="array" ref="Y127">INDEX('KALENDER MINGGU'!$C$6:$C$21,V127)</f>
        <v>46309</v>
      </c>
      <c r="Z127" s="111">
        <f>SUM(TS!M38:AB38)/TS!L37*100</f>
        <v>1.5463917525773196</v>
      </c>
      <c r="AA127" s="109" t="str">
        <f ca="1">IF(Z127&gt;=99.9,"COMPLETED",IF(U127&gt;'RENCANA MINGGUAN'!$J$7,"NOT STARTED",IF(V127&lt;'RENCANA MINGGUAN'!$J$7,"CRITICAL",IF(Z127+1&lt;W127,"DELAYED","ON SCHEDULE"))))</f>
        <v>DELAYED</v>
      </c>
      <c r="AB127" s="109" t="str">
        <f>IF(AND(U127&lt;=1,V127&gt;=1),"■","")</f>
        <v/>
      </c>
      <c r="AC127" s="109" t="str">
        <f>IF(AND(U127&lt;=2,V127&gt;=2),"■","")</f>
        <v/>
      </c>
      <c r="AD127" s="109" t="str">
        <f>IF(AND(U127&lt;=3,V127&gt;=3),"■","")</f>
        <v/>
      </c>
      <c r="AE127" s="109" t="str">
        <f>IF(AND(U127&lt;=4,V127&gt;=4),"■","")</f>
        <v/>
      </c>
      <c r="AF127" s="109" t="str">
        <f>IF(AND(U127&lt;=5,V127&gt;=5),"■","")</f>
        <v/>
      </c>
      <c r="AG127" s="109" t="str">
        <f>IF(AND(U127&lt;=6,V127&gt;=6),"■","")</f>
        <v/>
      </c>
      <c r="AH127" s="109" t="str">
        <f>IF(AND(U127&lt;=7,V127&gt;=7),"■","")</f>
        <v>■</v>
      </c>
      <c r="AI127" s="109" t="str">
        <f>IF(AND(U127&lt;=8,V127&gt;=8),"■","")</f>
        <v>■</v>
      </c>
      <c r="AJ127" s="109" t="str">
        <f>IF(AND(U127&lt;=9,V127&gt;=9),"■","")</f>
        <v>■</v>
      </c>
      <c r="AK127" s="109" t="str">
        <f>IF(AND(U127&lt;=10,V127&gt;=10),"■","")</f>
        <v>■</v>
      </c>
      <c r="AL127" s="109" t="str">
        <f>IF(AND(U127&lt;=11,V127&gt;=11),"■","")</f>
        <v>■</v>
      </c>
      <c r="AM127" s="109" t="str">
        <f>IF(AND(U127&lt;=12,V127&gt;=12),"■","")</f>
        <v>■</v>
      </c>
      <c r="AN127" s="109" t="str">
        <f>IF(AND(U127&lt;=13,V127&gt;=13),"■","")</f>
        <v/>
      </c>
      <c r="AO127" s="109" t="str">
        <f>IF(AND(U127&lt;=14,V127&gt;=14),"■","")</f>
        <v/>
      </c>
      <c r="AP127" s="109" t="str">
        <f>IF(AND(U127&lt;=15,V127&gt;=15),"■","")</f>
        <v/>
      </c>
      <c r="AQ127" s="109" t="str">
        <f>IF(AND(U127&lt;=16,V127&gt;=16),"■","")</f>
        <v/>
      </c>
    </row>
    <row r="128" spans="1:44" ht="14.25" customHeight="1" x14ac:dyDescent="0.2">
      <c r="A128" s="22"/>
      <c r="B128" s="50"/>
      <c r="C128" s="46"/>
      <c r="D128" s="25"/>
      <c r="E128" s="51"/>
      <c r="F128" s="27"/>
      <c r="G128" s="28"/>
      <c r="H128" s="29">
        <f>E128*G128</f>
        <v>0</v>
      </c>
      <c r="I128" s="44"/>
      <c r="J128" s="44"/>
      <c r="K128" s="37">
        <v>7</v>
      </c>
      <c r="L128" s="22" t="s">
        <v>229</v>
      </c>
      <c r="M128" s="22"/>
      <c r="N128" s="22" t="s">
        <v>230</v>
      </c>
      <c r="O128" s="22" t="s">
        <v>231</v>
      </c>
      <c r="P128" s="22">
        <v>200000</v>
      </c>
      <c r="Q128" s="22">
        <v>460000</v>
      </c>
      <c r="R128" s="6"/>
      <c r="S128" s="6"/>
      <c r="T128" s="6"/>
    </row>
    <row r="129" spans="1:44" ht="14.25" customHeight="1" x14ac:dyDescent="0.25">
      <c r="A129" s="22"/>
      <c r="B129" s="16" t="s">
        <v>232</v>
      </c>
      <c r="C129" s="16" t="s">
        <v>497</v>
      </c>
      <c r="D129" s="16"/>
      <c r="E129" s="51"/>
      <c r="F129" s="27"/>
      <c r="G129" s="28"/>
      <c r="H129" s="29">
        <f>E129*G129</f>
        <v>0</v>
      </c>
      <c r="I129" s="44"/>
      <c r="J129" s="44"/>
      <c r="K129" s="37"/>
      <c r="L129" s="22"/>
      <c r="M129" s="22"/>
      <c r="N129" s="22"/>
      <c r="O129" s="22"/>
      <c r="P129" s="22"/>
      <c r="Q129" s="22"/>
      <c r="R129" s="6"/>
      <c r="S129" s="6"/>
      <c r="T129" s="6"/>
    </row>
    <row r="130" spans="1:44" ht="14.25" customHeight="1" x14ac:dyDescent="0.2">
      <c r="A130" s="15"/>
      <c r="B130" s="23">
        <v>1</v>
      </c>
      <c r="C130" s="46" t="s">
        <v>234</v>
      </c>
      <c r="D130" s="46" t="s">
        <v>235</v>
      </c>
      <c r="E130" s="47">
        <v>26</v>
      </c>
      <c r="F130" s="27" t="s">
        <v>111</v>
      </c>
      <c r="G130" s="28">
        <v>200000</v>
      </c>
      <c r="H130" s="29">
        <f>E130*G130</f>
        <v>5200000</v>
      </c>
      <c r="I130" s="30">
        <v>3908731694</v>
      </c>
      <c r="J130" s="31">
        <f>H130/I130*100</f>
        <v>0.13303548074128826</v>
      </c>
      <c r="K130" s="19" t="s">
        <v>80</v>
      </c>
      <c r="L130" s="21" t="s">
        <v>236</v>
      </c>
      <c r="M130" s="21"/>
      <c r="N130" s="21"/>
      <c r="O130" s="21"/>
      <c r="P130" s="15"/>
      <c r="Q130" s="15"/>
      <c r="R130" s="6"/>
      <c r="S130" s="6"/>
      <c r="T130" s="6"/>
      <c r="U130" s="108">
        <v>10</v>
      </c>
      <c r="V130" s="108">
        <v>12</v>
      </c>
      <c r="W130" s="109">
        <f>MAX(1,V130-U130+1)</f>
        <v>3</v>
      </c>
      <c r="X130" s="110">
        <f t="array" ref="X130">INDEX('KALENDER MINGGU'!$B$6:$B$21,U130)</f>
        <v>46289</v>
      </c>
      <c r="Y130" s="110">
        <f t="array" ref="Y130">INDEX('KALENDER MINGGU'!$C$6:$C$21,V130)</f>
        <v>46309</v>
      </c>
      <c r="AB130" s="109" t="str">
        <f>IF(AND($U130&lt;=1,$V130&gt;=1),"■","")</f>
        <v/>
      </c>
      <c r="AC130" s="109" t="str">
        <f>IF(AND($U130&lt;=2,$V130&gt;=2),"■","")</f>
        <v/>
      </c>
      <c r="AD130" s="109" t="str">
        <f>IF(AND($U130&lt;=3,$V130&gt;=3),"■","")</f>
        <v/>
      </c>
      <c r="AE130" s="109" t="str">
        <f>IF(AND($U130&lt;=4,$V130&gt;=4),"■","")</f>
        <v/>
      </c>
      <c r="AF130" s="109" t="str">
        <f>IF(AND($U130&lt;=5,$V130&gt;=5),"■","")</f>
        <v/>
      </c>
      <c r="AG130" s="109" t="str">
        <f>IF(AND($U130&lt;=6,$V130&gt;=6),"■","")</f>
        <v/>
      </c>
      <c r="AH130" s="109" t="str">
        <f>IF(AND($U130&lt;=7,$V130&gt;=7),"■","")</f>
        <v/>
      </c>
      <c r="AI130" s="109" t="str">
        <f>IF(AND($U130&lt;=8,$V130&gt;=8),"■","")</f>
        <v/>
      </c>
      <c r="AJ130" s="109" t="str">
        <f>IF(AND($U130&lt;=9,$V130&gt;=9),"■","")</f>
        <v/>
      </c>
      <c r="AK130" s="109" t="str">
        <f>IF(AND($U130&lt;=10,$V130&gt;=10),"■","")</f>
        <v>■</v>
      </c>
      <c r="AL130" s="109" t="str">
        <f>IF(AND($U130&lt;=11,$V130&gt;=11),"■","")</f>
        <v>■</v>
      </c>
      <c r="AM130" s="109" t="str">
        <f>IF(AND($U130&lt;=12,$V130&gt;=12),"■","")</f>
        <v>■</v>
      </c>
      <c r="AN130" s="109" t="str">
        <f>IF(AND($U130&lt;=13,$V130&gt;=13),"■","")</f>
        <v/>
      </c>
      <c r="AO130" s="109" t="str">
        <f>IF(AND($U130&lt;=14,$V130&gt;=14),"■","")</f>
        <v/>
      </c>
      <c r="AP130" s="109" t="str">
        <f>IF(AND($U130&lt;=15,$V130&gt;=15),"■","")</f>
        <v/>
      </c>
      <c r="AQ130" s="109" t="str">
        <f>IF(AND($U130&lt;=16,$V130&gt;=16),"■","")</f>
        <v/>
      </c>
      <c r="AR130" t="s">
        <v>498</v>
      </c>
    </row>
    <row r="131" spans="1:44" ht="14.25" customHeight="1" x14ac:dyDescent="0.2">
      <c r="A131" s="22"/>
      <c r="B131" s="23">
        <v>2</v>
      </c>
      <c r="C131" s="46" t="s">
        <v>237</v>
      </c>
      <c r="D131" s="25" t="s">
        <v>67</v>
      </c>
      <c r="E131" s="47">
        <v>30</v>
      </c>
      <c r="F131" s="27" t="s">
        <v>135</v>
      </c>
      <c r="G131" s="28">
        <v>85000</v>
      </c>
      <c r="H131" s="29">
        <f>E131*G131</f>
        <v>2550000</v>
      </c>
      <c r="I131" s="30">
        <v>3908731694</v>
      </c>
      <c r="J131" s="31">
        <f>H131/I131*100</f>
        <v>6.5238553055824045E-2</v>
      </c>
      <c r="K131" s="37">
        <v>1</v>
      </c>
      <c r="L131" s="22" t="s">
        <v>238</v>
      </c>
      <c r="M131" s="22"/>
      <c r="N131" s="22" t="s">
        <v>239</v>
      </c>
      <c r="O131" s="45" t="s">
        <v>240</v>
      </c>
      <c r="P131" s="22">
        <v>18000</v>
      </c>
      <c r="Q131" s="22">
        <v>5040000</v>
      </c>
      <c r="R131" s="6"/>
      <c r="S131" s="6"/>
      <c r="T131" s="6"/>
      <c r="U131" s="108">
        <v>10</v>
      </c>
      <c r="V131" s="108">
        <v>11</v>
      </c>
      <c r="W131" s="109">
        <f>MAX(1,V131-U131+1)</f>
        <v>2</v>
      </c>
      <c r="X131" s="110">
        <f t="array" ref="X131">INDEX('KALENDER MINGGU'!$B$6:$B$21,U131)</f>
        <v>46289</v>
      </c>
      <c r="Y131" s="110">
        <f t="array" ref="Y131">INDEX('KALENDER MINGGU'!$C$6:$C$21,V131)</f>
        <v>46302</v>
      </c>
      <c r="AB131" s="109" t="str">
        <f>IF(AND($U131&lt;=1,$V131&gt;=1),"■","")</f>
        <v/>
      </c>
      <c r="AC131" s="109" t="str">
        <f>IF(AND($U131&lt;=2,$V131&gt;=2),"■","")</f>
        <v/>
      </c>
      <c r="AD131" s="109" t="str">
        <f>IF(AND($U131&lt;=3,$V131&gt;=3),"■","")</f>
        <v/>
      </c>
      <c r="AE131" s="109" t="str">
        <f>IF(AND($U131&lt;=4,$V131&gt;=4),"■","")</f>
        <v/>
      </c>
      <c r="AF131" s="109" t="str">
        <f>IF(AND($U131&lt;=5,$V131&gt;=5),"■","")</f>
        <v/>
      </c>
      <c r="AG131" s="109" t="str">
        <f>IF(AND($U131&lt;=6,$V131&gt;=6),"■","")</f>
        <v/>
      </c>
      <c r="AH131" s="109" t="str">
        <f>IF(AND($U131&lt;=7,$V131&gt;=7),"■","")</f>
        <v/>
      </c>
      <c r="AI131" s="109" t="str">
        <f>IF(AND($U131&lt;=8,$V131&gt;=8),"■","")</f>
        <v/>
      </c>
      <c r="AJ131" s="109" t="str">
        <f>IF(AND($U131&lt;=9,$V131&gt;=9),"■","")</f>
        <v/>
      </c>
      <c r="AK131" s="109" t="str">
        <f>IF(AND($U131&lt;=10,$V131&gt;=10),"■","")</f>
        <v>■</v>
      </c>
      <c r="AL131" s="109" t="str">
        <f>IF(AND($U131&lt;=11,$V131&gt;=11),"■","")</f>
        <v>■</v>
      </c>
      <c r="AM131" s="109" t="str">
        <f>IF(AND($U131&lt;=12,$V131&gt;=12),"■","")</f>
        <v/>
      </c>
      <c r="AN131" s="109" t="str">
        <f>IF(AND($U131&lt;=13,$V131&gt;=13),"■","")</f>
        <v/>
      </c>
      <c r="AO131" s="109" t="str">
        <f>IF(AND($U131&lt;=14,$V131&gt;=14),"■","")</f>
        <v/>
      </c>
      <c r="AP131" s="109" t="str">
        <f>IF(AND($U131&lt;=15,$V131&gt;=15),"■","")</f>
        <v/>
      </c>
      <c r="AQ131" s="109" t="str">
        <f>IF(AND($U131&lt;=16,$V131&gt;=16),"■","")</f>
        <v/>
      </c>
      <c r="AR131" t="s">
        <v>499</v>
      </c>
    </row>
    <row r="132" spans="1:44" ht="14.25" customHeight="1" x14ac:dyDescent="0.2">
      <c r="A132" s="22"/>
      <c r="B132" s="23">
        <v>3</v>
      </c>
      <c r="C132" s="46" t="s">
        <v>241</v>
      </c>
      <c r="D132" s="25" t="s">
        <v>242</v>
      </c>
      <c r="E132" s="47">
        <v>1</v>
      </c>
      <c r="F132" s="27" t="s">
        <v>73</v>
      </c>
      <c r="G132" s="28">
        <v>11000000</v>
      </c>
      <c r="H132" s="29">
        <f>E132*G132</f>
        <v>11000000</v>
      </c>
      <c r="I132" s="30">
        <v>3908731694</v>
      </c>
      <c r="J132" s="31">
        <f>H132/I132*100</f>
        <v>0.28142120926041747</v>
      </c>
      <c r="K132" s="37">
        <v>2</v>
      </c>
      <c r="L132" s="22" t="s">
        <v>243</v>
      </c>
      <c r="M132" s="22"/>
      <c r="N132" s="22" t="s">
        <v>239</v>
      </c>
      <c r="O132" s="45">
        <v>280</v>
      </c>
      <c r="P132" s="22">
        <v>18000</v>
      </c>
      <c r="Q132" s="22">
        <v>5040000</v>
      </c>
      <c r="R132" s="6"/>
      <c r="S132" s="6"/>
      <c r="T132" s="6"/>
      <c r="U132" s="108">
        <v>8</v>
      </c>
      <c r="V132" s="108">
        <v>9</v>
      </c>
      <c r="W132" s="109">
        <f>MAX(1,V132-U132+1)</f>
        <v>2</v>
      </c>
      <c r="X132" s="110">
        <f t="array" ref="X132">INDEX('KALENDER MINGGU'!$B$6:$B$21,U132)</f>
        <v>46275</v>
      </c>
      <c r="Y132" s="110">
        <f t="array" ref="Y132">INDEX('KALENDER MINGGU'!$C$6:$C$21,V132)</f>
        <v>46288</v>
      </c>
      <c r="AB132" s="109" t="str">
        <f>IF(AND($U132&lt;=1,$V132&gt;=1),"■","")</f>
        <v/>
      </c>
      <c r="AC132" s="109" t="str">
        <f>IF(AND($U132&lt;=2,$V132&gt;=2),"■","")</f>
        <v/>
      </c>
      <c r="AD132" s="109" t="str">
        <f>IF(AND($U132&lt;=3,$V132&gt;=3),"■","")</f>
        <v/>
      </c>
      <c r="AE132" s="109" t="str">
        <f>IF(AND($U132&lt;=4,$V132&gt;=4),"■","")</f>
        <v/>
      </c>
      <c r="AF132" s="109" t="str">
        <f>IF(AND($U132&lt;=5,$V132&gt;=5),"■","")</f>
        <v/>
      </c>
      <c r="AG132" s="109" t="str">
        <f>IF(AND($U132&lt;=6,$V132&gt;=6),"■","")</f>
        <v/>
      </c>
      <c r="AH132" s="109" t="str">
        <f>IF(AND($U132&lt;=7,$V132&gt;=7),"■","")</f>
        <v/>
      </c>
      <c r="AI132" s="109" t="str">
        <f>IF(AND($U132&lt;=8,$V132&gt;=8),"■","")</f>
        <v>■</v>
      </c>
      <c r="AJ132" s="109" t="str">
        <f>IF(AND($U132&lt;=9,$V132&gt;=9),"■","")</f>
        <v>■</v>
      </c>
      <c r="AK132" s="109" t="str">
        <f>IF(AND($U132&lt;=10,$V132&gt;=10),"■","")</f>
        <v/>
      </c>
      <c r="AL132" s="109" t="str">
        <f>IF(AND($U132&lt;=11,$V132&gt;=11),"■","")</f>
        <v/>
      </c>
      <c r="AM132" s="109" t="str">
        <f>IF(AND($U132&lt;=12,$V132&gt;=12),"■","")</f>
        <v/>
      </c>
      <c r="AN132" s="109" t="str">
        <f>IF(AND($U132&lt;=13,$V132&gt;=13),"■","")</f>
        <v/>
      </c>
      <c r="AO132" s="109" t="str">
        <f>IF(AND($U132&lt;=14,$V132&gt;=14),"■","")</f>
        <v/>
      </c>
      <c r="AP132" s="109" t="str">
        <f>IF(AND($U132&lt;=15,$V132&gt;=15),"■","")</f>
        <v/>
      </c>
      <c r="AQ132" s="109" t="str">
        <f>IF(AND($U132&lt;=16,$V132&gt;=16),"■","")</f>
        <v/>
      </c>
      <c r="AR132" t="s">
        <v>500</v>
      </c>
    </row>
    <row r="133" spans="1:44" ht="14.25" customHeight="1" x14ac:dyDescent="0.2">
      <c r="A133" s="22"/>
      <c r="B133" s="50"/>
      <c r="C133" s="46"/>
      <c r="D133" s="25"/>
      <c r="E133" s="51"/>
      <c r="F133" s="27"/>
      <c r="G133" s="28"/>
      <c r="H133" s="49">
        <f>SUM(H130:H132)</f>
        <v>18750000</v>
      </c>
      <c r="I133" s="30">
        <v>3908731694</v>
      </c>
      <c r="J133" s="43">
        <f>H133/I133*100</f>
        <v>0.47969524305752975</v>
      </c>
      <c r="K133" s="37"/>
      <c r="L133" s="22"/>
      <c r="M133" s="22"/>
      <c r="N133" s="22"/>
      <c r="O133" s="45"/>
      <c r="P133" s="22"/>
      <c r="Q133" s="22"/>
      <c r="R133" s="6"/>
      <c r="S133" s="6"/>
      <c r="T133" s="6"/>
      <c r="U133" s="109">
        <f>MIN(U130:U132)</f>
        <v>8</v>
      </c>
      <c r="V133" s="109">
        <f>MAX(V130:V132)</f>
        <v>12</v>
      </c>
      <c r="W133" s="109">
        <f>MAX(1,V133-U133+1)</f>
        <v>5</v>
      </c>
      <c r="X133" s="110">
        <f t="array" ref="X133">INDEX('KALENDER MINGGU'!$B$6:$B$21,U133)</f>
        <v>46275</v>
      </c>
      <c r="Y133" s="110">
        <f t="array" ref="Y133">INDEX('KALENDER MINGGU'!$C$6:$C$21,V133)</f>
        <v>46309</v>
      </c>
      <c r="Z133" s="111">
        <f>SUM(TS!M40:AB40)/TS!L39*100</f>
        <v>0.53333333333333344</v>
      </c>
      <c r="AA133" s="109" t="str">
        <f ca="1">IF(Z133&gt;=99.9,"COMPLETED",IF(U133&gt;'RENCANA MINGGUAN'!$J$7,"NOT STARTED",IF(V133&lt;'RENCANA MINGGUAN'!$J$7,"CRITICAL",IF(Z133+1&lt;W133,"DELAYED","ON SCHEDULE"))))</f>
        <v>DELAYED</v>
      </c>
      <c r="AB133" s="109" t="str">
        <f>IF(AND(U133&lt;=1,V133&gt;=1),"■","")</f>
        <v/>
      </c>
      <c r="AC133" s="109" t="str">
        <f>IF(AND(U133&lt;=2,V133&gt;=2),"■","")</f>
        <v/>
      </c>
      <c r="AD133" s="109" t="str">
        <f>IF(AND(U133&lt;=3,V133&gt;=3),"■","")</f>
        <v/>
      </c>
      <c r="AE133" s="109" t="str">
        <f>IF(AND(U133&lt;=4,V133&gt;=4),"■","")</f>
        <v/>
      </c>
      <c r="AF133" s="109" t="str">
        <f>IF(AND(U133&lt;=5,V133&gt;=5),"■","")</f>
        <v/>
      </c>
      <c r="AG133" s="109" t="str">
        <f>IF(AND(U133&lt;=6,V133&gt;=6),"■","")</f>
        <v/>
      </c>
      <c r="AH133" s="109" t="str">
        <f>IF(AND(U133&lt;=7,V133&gt;=7),"■","")</f>
        <v/>
      </c>
      <c r="AI133" s="109" t="str">
        <f>IF(AND(U133&lt;=8,V133&gt;=8),"■","")</f>
        <v>■</v>
      </c>
      <c r="AJ133" s="109" t="str">
        <f>IF(AND(U133&lt;=9,V133&gt;=9),"■","")</f>
        <v>■</v>
      </c>
      <c r="AK133" s="109" t="str">
        <f>IF(AND(U133&lt;=10,V133&gt;=10),"■","")</f>
        <v>■</v>
      </c>
      <c r="AL133" s="109" t="str">
        <f>IF(AND(U133&lt;=11,V133&gt;=11),"■","")</f>
        <v>■</v>
      </c>
      <c r="AM133" s="109" t="str">
        <f>IF(AND(U133&lt;=12,V133&gt;=12),"■","")</f>
        <v>■</v>
      </c>
      <c r="AN133" s="109" t="str">
        <f>IF(AND(U133&lt;=13,V133&gt;=13),"■","")</f>
        <v/>
      </c>
      <c r="AO133" s="109" t="str">
        <f>IF(AND(U133&lt;=14,V133&gt;=14),"■","")</f>
        <v/>
      </c>
      <c r="AP133" s="109" t="str">
        <f>IF(AND(U133&lt;=15,V133&gt;=15),"■","")</f>
        <v/>
      </c>
      <c r="AQ133" s="109" t="str">
        <f>IF(AND(U133&lt;=16,V133&gt;=16),"■","")</f>
        <v/>
      </c>
    </row>
    <row r="134" spans="1:44" ht="14.25" customHeight="1" x14ac:dyDescent="0.25">
      <c r="A134" s="15"/>
      <c r="B134" s="16"/>
      <c r="C134" s="16"/>
      <c r="D134" s="55"/>
      <c r="E134" s="56"/>
      <c r="F134" s="40"/>
      <c r="G134" s="41"/>
      <c r="H134" s="29"/>
      <c r="I134" s="1"/>
      <c r="J134" s="1"/>
      <c r="K134" s="19"/>
      <c r="L134" s="21"/>
      <c r="M134" s="21"/>
      <c r="N134" s="21"/>
      <c r="O134" s="21"/>
      <c r="P134" s="15"/>
      <c r="Q134" s="15"/>
      <c r="R134" s="6"/>
      <c r="S134" s="6"/>
      <c r="T134" s="6"/>
    </row>
    <row r="135" spans="1:44" ht="14.25" customHeight="1" x14ac:dyDescent="0.25">
      <c r="A135" s="15"/>
      <c r="B135" s="16" t="s">
        <v>244</v>
      </c>
      <c r="C135" s="16" t="s">
        <v>501</v>
      </c>
      <c r="D135" s="55"/>
      <c r="E135" s="56"/>
      <c r="F135" s="40"/>
      <c r="G135" s="41"/>
      <c r="H135" s="29"/>
      <c r="I135" s="1"/>
      <c r="J135" s="1"/>
      <c r="K135" s="19" t="s">
        <v>100</v>
      </c>
      <c r="L135" s="21" t="s">
        <v>246</v>
      </c>
      <c r="M135" s="21"/>
      <c r="N135" s="21"/>
      <c r="O135" s="21"/>
      <c r="P135" s="15"/>
      <c r="Q135" s="15"/>
      <c r="R135" s="6"/>
      <c r="S135" s="6"/>
      <c r="T135" s="6"/>
    </row>
    <row r="136" spans="1:44" ht="14.25" customHeight="1" x14ac:dyDescent="0.25">
      <c r="A136" s="22"/>
      <c r="B136" s="57">
        <v>1</v>
      </c>
      <c r="C136" s="58" t="s">
        <v>247</v>
      </c>
      <c r="D136" s="59" t="s">
        <v>248</v>
      </c>
      <c r="E136" s="47">
        <v>1</v>
      </c>
      <c r="F136" s="57" t="s">
        <v>249</v>
      </c>
      <c r="G136" s="28">
        <v>18500000</v>
      </c>
      <c r="H136" s="29">
        <f t="shared" ref="H136:H143" si="105">E136*G136</f>
        <v>18500000</v>
      </c>
      <c r="I136" s="30">
        <v>3908731694</v>
      </c>
      <c r="J136" s="31">
        <f t="shared" ref="J136:J144" si="106">H136/I136*100</f>
        <v>0.47329930648342938</v>
      </c>
      <c r="K136" s="37">
        <v>1</v>
      </c>
      <c r="L136" s="22" t="s">
        <v>250</v>
      </c>
      <c r="M136" s="22"/>
      <c r="N136" s="22" t="s">
        <v>251</v>
      </c>
      <c r="O136" s="45" t="s">
        <v>252</v>
      </c>
      <c r="P136" s="22">
        <v>550000</v>
      </c>
      <c r="Q136" s="22">
        <v>33000000</v>
      </c>
      <c r="R136" s="6"/>
      <c r="S136" s="6"/>
      <c r="T136" s="6"/>
      <c r="U136" s="108">
        <v>7</v>
      </c>
      <c r="V136" s="108">
        <v>10</v>
      </c>
      <c r="W136" s="109">
        <f t="shared" ref="W136:W144" si="107">MAX(1,V136-U136+1)</f>
        <v>4</v>
      </c>
      <c r="X136" s="110">
        <f t="array" ref="X136">INDEX('KALENDER MINGGU'!$B$6:$B$21,U136)</f>
        <v>46268</v>
      </c>
      <c r="Y136" s="110">
        <f t="array" ref="Y136">INDEX('KALENDER MINGGU'!$C$6:$C$21,V136)</f>
        <v>46295</v>
      </c>
      <c r="AB136" s="109" t="str">
        <f t="shared" ref="AB136:AB143" si="108">IF(AND($U136&lt;=1,$V136&gt;=1),"■","")</f>
        <v/>
      </c>
      <c r="AC136" s="109" t="str">
        <f t="shared" ref="AC136:AC143" si="109">IF(AND($U136&lt;=2,$V136&gt;=2),"■","")</f>
        <v/>
      </c>
      <c r="AD136" s="109" t="str">
        <f t="shared" ref="AD136:AD143" si="110">IF(AND($U136&lt;=3,$V136&gt;=3),"■","")</f>
        <v/>
      </c>
      <c r="AE136" s="109" t="str">
        <f t="shared" ref="AE136:AE143" si="111">IF(AND($U136&lt;=4,$V136&gt;=4),"■","")</f>
        <v/>
      </c>
      <c r="AF136" s="109" t="str">
        <f t="shared" ref="AF136:AF143" si="112">IF(AND($U136&lt;=5,$V136&gt;=5),"■","")</f>
        <v/>
      </c>
      <c r="AG136" s="109" t="str">
        <f t="shared" ref="AG136:AG143" si="113">IF(AND($U136&lt;=6,$V136&gt;=6),"■","")</f>
        <v/>
      </c>
      <c r="AH136" s="109" t="str">
        <f t="shared" ref="AH136:AH143" si="114">IF(AND($U136&lt;=7,$V136&gt;=7),"■","")</f>
        <v>■</v>
      </c>
      <c r="AI136" s="109" t="str">
        <f t="shared" ref="AI136:AI143" si="115">IF(AND($U136&lt;=8,$V136&gt;=8),"■","")</f>
        <v>■</v>
      </c>
      <c r="AJ136" s="109" t="str">
        <f t="shared" ref="AJ136:AJ143" si="116">IF(AND($U136&lt;=9,$V136&gt;=9),"■","")</f>
        <v>■</v>
      </c>
      <c r="AK136" s="109" t="str">
        <f t="shared" ref="AK136:AK143" si="117">IF(AND($U136&lt;=10,$V136&gt;=10),"■","")</f>
        <v>■</v>
      </c>
      <c r="AL136" s="109" t="str">
        <f t="shared" ref="AL136:AL143" si="118">IF(AND($U136&lt;=11,$V136&gt;=11),"■","")</f>
        <v/>
      </c>
      <c r="AM136" s="109" t="str">
        <f t="shared" ref="AM136:AM143" si="119">IF(AND($U136&lt;=12,$V136&gt;=12),"■","")</f>
        <v/>
      </c>
      <c r="AN136" s="109" t="str">
        <f t="shared" ref="AN136:AN143" si="120">IF(AND($U136&lt;=13,$V136&gt;=13),"■","")</f>
        <v/>
      </c>
      <c r="AO136" s="109" t="str">
        <f t="shared" ref="AO136:AO143" si="121">IF(AND($U136&lt;=14,$V136&gt;=14),"■","")</f>
        <v/>
      </c>
      <c r="AP136" s="109" t="str">
        <f t="shared" ref="AP136:AP143" si="122">IF(AND($U136&lt;=15,$V136&gt;=15),"■","")</f>
        <v/>
      </c>
      <c r="AQ136" s="109" t="str">
        <f t="shared" ref="AQ136:AQ143" si="123">IF(AND($U136&lt;=16,$V136&gt;=16),"■","")</f>
        <v/>
      </c>
      <c r="AR136" t="s">
        <v>502</v>
      </c>
    </row>
    <row r="137" spans="1:44" ht="14.25" customHeight="1" x14ac:dyDescent="0.25">
      <c r="A137" s="22"/>
      <c r="B137" s="57">
        <v>2</v>
      </c>
      <c r="C137" s="58" t="s">
        <v>253</v>
      </c>
      <c r="D137" s="58" t="s">
        <v>254</v>
      </c>
      <c r="E137" s="47">
        <v>1</v>
      </c>
      <c r="F137" s="57" t="s">
        <v>249</v>
      </c>
      <c r="G137" s="28">
        <v>4900000</v>
      </c>
      <c r="H137" s="29">
        <f t="shared" si="105"/>
        <v>4900000</v>
      </c>
      <c r="I137" s="30">
        <v>3908731694</v>
      </c>
      <c r="J137" s="31">
        <f t="shared" si="106"/>
        <v>0.12536035685236779</v>
      </c>
      <c r="K137" s="37">
        <v>2</v>
      </c>
      <c r="L137" s="22" t="s">
        <v>250</v>
      </c>
      <c r="M137" s="22"/>
      <c r="N137" s="22" t="s">
        <v>255</v>
      </c>
      <c r="O137" s="45" t="s">
        <v>256</v>
      </c>
      <c r="P137" s="22">
        <v>650000</v>
      </c>
      <c r="Q137" s="22">
        <v>7800000</v>
      </c>
      <c r="R137" s="6"/>
      <c r="S137" s="6"/>
      <c r="T137" s="6"/>
      <c r="U137" s="108">
        <v>7</v>
      </c>
      <c r="V137" s="108">
        <v>10</v>
      </c>
      <c r="W137" s="109">
        <f t="shared" si="107"/>
        <v>4</v>
      </c>
      <c r="X137" s="110">
        <f t="array" ref="X137">INDEX('KALENDER MINGGU'!$B$6:$B$21,U137)</f>
        <v>46268</v>
      </c>
      <c r="Y137" s="110">
        <f t="array" ref="Y137">INDEX('KALENDER MINGGU'!$C$6:$C$21,V137)</f>
        <v>46295</v>
      </c>
      <c r="AB137" s="109" t="str">
        <f t="shared" si="108"/>
        <v/>
      </c>
      <c r="AC137" s="109" t="str">
        <f t="shared" si="109"/>
        <v/>
      </c>
      <c r="AD137" s="109" t="str">
        <f t="shared" si="110"/>
        <v/>
      </c>
      <c r="AE137" s="109" t="str">
        <f t="shared" si="111"/>
        <v/>
      </c>
      <c r="AF137" s="109" t="str">
        <f t="shared" si="112"/>
        <v/>
      </c>
      <c r="AG137" s="109" t="str">
        <f t="shared" si="113"/>
        <v/>
      </c>
      <c r="AH137" s="109" t="str">
        <f t="shared" si="114"/>
        <v>■</v>
      </c>
      <c r="AI137" s="109" t="str">
        <f t="shared" si="115"/>
        <v>■</v>
      </c>
      <c r="AJ137" s="109" t="str">
        <f t="shared" si="116"/>
        <v>■</v>
      </c>
      <c r="AK137" s="109" t="str">
        <f t="shared" si="117"/>
        <v>■</v>
      </c>
      <c r="AL137" s="109" t="str">
        <f t="shared" si="118"/>
        <v/>
      </c>
      <c r="AM137" s="109" t="str">
        <f t="shared" si="119"/>
        <v/>
      </c>
      <c r="AN137" s="109" t="str">
        <f t="shared" si="120"/>
        <v/>
      </c>
      <c r="AO137" s="109" t="str">
        <f t="shared" si="121"/>
        <v/>
      </c>
      <c r="AP137" s="109" t="str">
        <f t="shared" si="122"/>
        <v/>
      </c>
      <c r="AQ137" s="109" t="str">
        <f t="shared" si="123"/>
        <v/>
      </c>
      <c r="AR137" t="s">
        <v>503</v>
      </c>
    </row>
    <row r="138" spans="1:44" ht="14.25" customHeight="1" x14ac:dyDescent="0.25">
      <c r="A138" s="22"/>
      <c r="B138" s="57">
        <v>3</v>
      </c>
      <c r="C138" s="58" t="s">
        <v>257</v>
      </c>
      <c r="D138" s="59"/>
      <c r="E138" s="47">
        <v>1</v>
      </c>
      <c r="F138" s="57" t="s">
        <v>73</v>
      </c>
      <c r="G138" s="28">
        <v>1250000</v>
      </c>
      <c r="H138" s="29">
        <f t="shared" si="105"/>
        <v>1250000</v>
      </c>
      <c r="I138" s="30">
        <v>3908731694</v>
      </c>
      <c r="J138" s="31">
        <f t="shared" si="106"/>
        <v>3.1979682870501985E-2</v>
      </c>
      <c r="K138" s="37"/>
      <c r="L138" s="22"/>
      <c r="M138" s="22"/>
      <c r="N138" s="22"/>
      <c r="O138" s="45"/>
      <c r="P138" s="22"/>
      <c r="Q138" s="22"/>
      <c r="R138" s="6"/>
      <c r="S138" s="6"/>
      <c r="T138" s="6"/>
      <c r="U138" s="108">
        <v>7</v>
      </c>
      <c r="V138" s="108">
        <v>10</v>
      </c>
      <c r="W138" s="109">
        <f t="shared" si="107"/>
        <v>4</v>
      </c>
      <c r="X138" s="110">
        <f t="array" ref="X138">INDEX('KALENDER MINGGU'!$B$6:$B$21,U138)</f>
        <v>46268</v>
      </c>
      <c r="Y138" s="110">
        <f t="array" ref="Y138">INDEX('KALENDER MINGGU'!$C$6:$C$21,V138)</f>
        <v>46295</v>
      </c>
      <c r="AB138" s="109" t="str">
        <f t="shared" si="108"/>
        <v/>
      </c>
      <c r="AC138" s="109" t="str">
        <f t="shared" si="109"/>
        <v/>
      </c>
      <c r="AD138" s="109" t="str">
        <f t="shared" si="110"/>
        <v/>
      </c>
      <c r="AE138" s="109" t="str">
        <f t="shared" si="111"/>
        <v/>
      </c>
      <c r="AF138" s="109" t="str">
        <f t="shared" si="112"/>
        <v/>
      </c>
      <c r="AG138" s="109" t="str">
        <f t="shared" si="113"/>
        <v/>
      </c>
      <c r="AH138" s="109" t="str">
        <f t="shared" si="114"/>
        <v>■</v>
      </c>
      <c r="AI138" s="109" t="str">
        <f t="shared" si="115"/>
        <v>■</v>
      </c>
      <c r="AJ138" s="109" t="str">
        <f t="shared" si="116"/>
        <v>■</v>
      </c>
      <c r="AK138" s="109" t="str">
        <f t="shared" si="117"/>
        <v>■</v>
      </c>
      <c r="AL138" s="109" t="str">
        <f t="shared" si="118"/>
        <v/>
      </c>
      <c r="AM138" s="109" t="str">
        <f t="shared" si="119"/>
        <v/>
      </c>
      <c r="AN138" s="109" t="str">
        <f t="shared" si="120"/>
        <v/>
      </c>
      <c r="AO138" s="109" t="str">
        <f t="shared" si="121"/>
        <v/>
      </c>
      <c r="AP138" s="109" t="str">
        <f t="shared" si="122"/>
        <v/>
      </c>
      <c r="AQ138" s="109" t="str">
        <f t="shared" si="123"/>
        <v/>
      </c>
      <c r="AR138" t="s">
        <v>504</v>
      </c>
    </row>
    <row r="139" spans="1:44" ht="14.25" customHeight="1" x14ac:dyDescent="0.25">
      <c r="A139" s="15"/>
      <c r="B139" s="57">
        <v>4</v>
      </c>
      <c r="C139" s="58" t="s">
        <v>258</v>
      </c>
      <c r="D139" s="59" t="s">
        <v>254</v>
      </c>
      <c r="E139" s="47">
        <v>9</v>
      </c>
      <c r="F139" s="57" t="s">
        <v>135</v>
      </c>
      <c r="G139" s="28">
        <v>900000</v>
      </c>
      <c r="H139" s="29">
        <f t="shared" si="105"/>
        <v>8100000</v>
      </c>
      <c r="I139" s="30">
        <v>3908731694</v>
      </c>
      <c r="J139" s="31">
        <f t="shared" si="106"/>
        <v>0.20722834500085285</v>
      </c>
      <c r="K139" s="19" t="s">
        <v>112</v>
      </c>
      <c r="L139" s="21" t="s">
        <v>259</v>
      </c>
      <c r="M139" s="21"/>
      <c r="N139" s="21"/>
      <c r="O139" s="21"/>
      <c r="P139" s="15"/>
      <c r="Q139" s="15"/>
      <c r="R139" s="6"/>
      <c r="S139" s="6"/>
      <c r="T139" s="6"/>
      <c r="U139" s="108">
        <v>7</v>
      </c>
      <c r="V139" s="108">
        <v>10</v>
      </c>
      <c r="W139" s="109">
        <f t="shared" si="107"/>
        <v>4</v>
      </c>
      <c r="X139" s="110">
        <f t="array" ref="X139">INDEX('KALENDER MINGGU'!$B$6:$B$21,U139)</f>
        <v>46268</v>
      </c>
      <c r="Y139" s="110">
        <f t="array" ref="Y139">INDEX('KALENDER MINGGU'!$C$6:$C$21,V139)</f>
        <v>46295</v>
      </c>
      <c r="AB139" s="109" t="str">
        <f t="shared" si="108"/>
        <v/>
      </c>
      <c r="AC139" s="109" t="str">
        <f t="shared" si="109"/>
        <v/>
      </c>
      <c r="AD139" s="109" t="str">
        <f t="shared" si="110"/>
        <v/>
      </c>
      <c r="AE139" s="109" t="str">
        <f t="shared" si="111"/>
        <v/>
      </c>
      <c r="AF139" s="109" t="str">
        <f t="shared" si="112"/>
        <v/>
      </c>
      <c r="AG139" s="109" t="str">
        <f t="shared" si="113"/>
        <v/>
      </c>
      <c r="AH139" s="109" t="str">
        <f t="shared" si="114"/>
        <v>■</v>
      </c>
      <c r="AI139" s="109" t="str">
        <f t="shared" si="115"/>
        <v>■</v>
      </c>
      <c r="AJ139" s="109" t="str">
        <f t="shared" si="116"/>
        <v>■</v>
      </c>
      <c r="AK139" s="109" t="str">
        <f t="shared" si="117"/>
        <v>■</v>
      </c>
      <c r="AL139" s="109" t="str">
        <f t="shared" si="118"/>
        <v/>
      </c>
      <c r="AM139" s="109" t="str">
        <f t="shared" si="119"/>
        <v/>
      </c>
      <c r="AN139" s="109" t="str">
        <f t="shared" si="120"/>
        <v/>
      </c>
      <c r="AO139" s="109" t="str">
        <f t="shared" si="121"/>
        <v/>
      </c>
      <c r="AP139" s="109" t="str">
        <f t="shared" si="122"/>
        <v/>
      </c>
      <c r="AQ139" s="109" t="str">
        <f t="shared" si="123"/>
        <v/>
      </c>
      <c r="AR139" t="s">
        <v>505</v>
      </c>
    </row>
    <row r="140" spans="1:44" ht="14.25" customHeight="1" x14ac:dyDescent="0.25">
      <c r="A140" s="22"/>
      <c r="B140" s="57">
        <v>5</v>
      </c>
      <c r="C140" s="58" t="s">
        <v>260</v>
      </c>
      <c r="D140" s="59" t="s">
        <v>254</v>
      </c>
      <c r="E140" s="47">
        <v>1</v>
      </c>
      <c r="F140" s="57" t="s">
        <v>73</v>
      </c>
      <c r="G140" s="28">
        <v>6500000</v>
      </c>
      <c r="H140" s="29">
        <f t="shared" si="105"/>
        <v>6500000</v>
      </c>
      <c r="I140" s="30">
        <v>3908731694</v>
      </c>
      <c r="J140" s="31">
        <f t="shared" si="106"/>
        <v>0.1662943509266103</v>
      </c>
      <c r="K140" s="37">
        <v>1</v>
      </c>
      <c r="L140" s="22" t="s">
        <v>261</v>
      </c>
      <c r="M140" s="22"/>
      <c r="N140" s="22" t="s">
        <v>262</v>
      </c>
      <c r="O140" s="45" t="s">
        <v>263</v>
      </c>
      <c r="P140" s="22">
        <v>350000</v>
      </c>
      <c r="Q140" s="22">
        <v>19600000</v>
      </c>
      <c r="R140" s="6"/>
      <c r="S140" s="6"/>
      <c r="T140" s="6"/>
      <c r="U140" s="108">
        <v>7</v>
      </c>
      <c r="V140" s="108">
        <v>10</v>
      </c>
      <c r="W140" s="109">
        <f t="shared" si="107"/>
        <v>4</v>
      </c>
      <c r="X140" s="110">
        <f t="array" ref="X140">INDEX('KALENDER MINGGU'!$B$6:$B$21,U140)</f>
        <v>46268</v>
      </c>
      <c r="Y140" s="110">
        <f t="array" ref="Y140">INDEX('KALENDER MINGGU'!$C$6:$C$21,V140)</f>
        <v>46295</v>
      </c>
      <c r="AB140" s="109" t="str">
        <f t="shared" si="108"/>
        <v/>
      </c>
      <c r="AC140" s="109" t="str">
        <f t="shared" si="109"/>
        <v/>
      </c>
      <c r="AD140" s="109" t="str">
        <f t="shared" si="110"/>
        <v/>
      </c>
      <c r="AE140" s="109" t="str">
        <f t="shared" si="111"/>
        <v/>
      </c>
      <c r="AF140" s="109" t="str">
        <f t="shared" si="112"/>
        <v/>
      </c>
      <c r="AG140" s="109" t="str">
        <f t="shared" si="113"/>
        <v/>
      </c>
      <c r="AH140" s="109" t="str">
        <f t="shared" si="114"/>
        <v>■</v>
      </c>
      <c r="AI140" s="109" t="str">
        <f t="shared" si="115"/>
        <v>■</v>
      </c>
      <c r="AJ140" s="109" t="str">
        <f t="shared" si="116"/>
        <v>■</v>
      </c>
      <c r="AK140" s="109" t="str">
        <f t="shared" si="117"/>
        <v>■</v>
      </c>
      <c r="AL140" s="109" t="str">
        <f t="shared" si="118"/>
        <v/>
      </c>
      <c r="AM140" s="109" t="str">
        <f t="shared" si="119"/>
        <v/>
      </c>
      <c r="AN140" s="109" t="str">
        <f t="shared" si="120"/>
        <v/>
      </c>
      <c r="AO140" s="109" t="str">
        <f t="shared" si="121"/>
        <v/>
      </c>
      <c r="AP140" s="109" t="str">
        <f t="shared" si="122"/>
        <v/>
      </c>
      <c r="AQ140" s="109" t="str">
        <f t="shared" si="123"/>
        <v/>
      </c>
      <c r="AR140" t="s">
        <v>506</v>
      </c>
    </row>
    <row r="141" spans="1:44" ht="14.25" customHeight="1" x14ac:dyDescent="0.25">
      <c r="A141" s="22"/>
      <c r="B141" s="57">
        <v>6</v>
      </c>
      <c r="C141" s="58" t="s">
        <v>264</v>
      </c>
      <c r="D141" s="59" t="s">
        <v>254</v>
      </c>
      <c r="E141" s="47">
        <v>1</v>
      </c>
      <c r="F141" s="57" t="s">
        <v>73</v>
      </c>
      <c r="G141" s="28">
        <v>5000000</v>
      </c>
      <c r="H141" s="29">
        <f t="shared" si="105"/>
        <v>5000000</v>
      </c>
      <c r="I141" s="30">
        <v>3908731694</v>
      </c>
      <c r="J141" s="31">
        <f t="shared" si="106"/>
        <v>0.12791873148200794</v>
      </c>
      <c r="K141" s="37">
        <v>2</v>
      </c>
      <c r="L141" s="22" t="s">
        <v>265</v>
      </c>
      <c r="M141" s="22"/>
      <c r="N141" s="22" t="s">
        <v>170</v>
      </c>
      <c r="O141" s="45" t="s">
        <v>252</v>
      </c>
      <c r="P141" s="22">
        <v>55750</v>
      </c>
      <c r="Q141" s="22">
        <v>3345000</v>
      </c>
      <c r="R141" s="6"/>
      <c r="S141" s="6"/>
      <c r="T141" s="6"/>
      <c r="U141" s="108">
        <v>7</v>
      </c>
      <c r="V141" s="108">
        <v>10</v>
      </c>
      <c r="W141" s="109">
        <f t="shared" si="107"/>
        <v>4</v>
      </c>
      <c r="X141" s="110">
        <f t="array" ref="X141">INDEX('KALENDER MINGGU'!$B$6:$B$21,U141)</f>
        <v>46268</v>
      </c>
      <c r="Y141" s="110">
        <f t="array" ref="Y141">INDEX('KALENDER MINGGU'!$C$6:$C$21,V141)</f>
        <v>46295</v>
      </c>
      <c r="AB141" s="109" t="str">
        <f t="shared" si="108"/>
        <v/>
      </c>
      <c r="AC141" s="109" t="str">
        <f t="shared" si="109"/>
        <v/>
      </c>
      <c r="AD141" s="109" t="str">
        <f t="shared" si="110"/>
        <v/>
      </c>
      <c r="AE141" s="109" t="str">
        <f t="shared" si="111"/>
        <v/>
      </c>
      <c r="AF141" s="109" t="str">
        <f t="shared" si="112"/>
        <v/>
      </c>
      <c r="AG141" s="109" t="str">
        <f t="shared" si="113"/>
        <v/>
      </c>
      <c r="AH141" s="109" t="str">
        <f t="shared" si="114"/>
        <v>■</v>
      </c>
      <c r="AI141" s="109" t="str">
        <f t="shared" si="115"/>
        <v>■</v>
      </c>
      <c r="AJ141" s="109" t="str">
        <f t="shared" si="116"/>
        <v>■</v>
      </c>
      <c r="AK141" s="109" t="str">
        <f t="shared" si="117"/>
        <v>■</v>
      </c>
      <c r="AL141" s="109" t="str">
        <f t="shared" si="118"/>
        <v/>
      </c>
      <c r="AM141" s="109" t="str">
        <f t="shared" si="119"/>
        <v/>
      </c>
      <c r="AN141" s="109" t="str">
        <f t="shared" si="120"/>
        <v/>
      </c>
      <c r="AO141" s="109" t="str">
        <f t="shared" si="121"/>
        <v/>
      </c>
      <c r="AP141" s="109" t="str">
        <f t="shared" si="122"/>
        <v/>
      </c>
      <c r="AQ141" s="109" t="str">
        <f t="shared" si="123"/>
        <v/>
      </c>
      <c r="AR141" t="s">
        <v>507</v>
      </c>
    </row>
    <row r="142" spans="1:44" ht="14.25" customHeight="1" x14ac:dyDescent="0.25">
      <c r="A142" s="22"/>
      <c r="B142" s="57">
        <v>7</v>
      </c>
      <c r="C142" s="58" t="s">
        <v>266</v>
      </c>
      <c r="D142" s="59"/>
      <c r="E142" s="47">
        <v>5</v>
      </c>
      <c r="F142" s="57" t="s">
        <v>267</v>
      </c>
      <c r="G142" s="28">
        <v>1650000</v>
      </c>
      <c r="H142" s="29">
        <f t="shared" si="105"/>
        <v>8250000</v>
      </c>
      <c r="I142" s="30">
        <v>3908731694</v>
      </c>
      <c r="J142" s="31">
        <f t="shared" si="106"/>
        <v>0.21106590694531308</v>
      </c>
      <c r="K142" s="37">
        <v>3</v>
      </c>
      <c r="L142" s="22" t="s">
        <v>268</v>
      </c>
      <c r="M142" s="22"/>
      <c r="N142" s="22" t="s">
        <v>269</v>
      </c>
      <c r="O142" s="45" t="s">
        <v>252</v>
      </c>
      <c r="P142" s="22">
        <v>55000</v>
      </c>
      <c r="Q142" s="22">
        <v>3300000</v>
      </c>
      <c r="R142" s="6"/>
      <c r="S142" s="6"/>
      <c r="T142" s="6"/>
      <c r="U142" s="108">
        <v>7</v>
      </c>
      <c r="V142" s="108">
        <v>10</v>
      </c>
      <c r="W142" s="109">
        <f t="shared" si="107"/>
        <v>4</v>
      </c>
      <c r="X142" s="110">
        <f t="array" ref="X142">INDEX('KALENDER MINGGU'!$B$6:$B$21,U142)</f>
        <v>46268</v>
      </c>
      <c r="Y142" s="110">
        <f t="array" ref="Y142">INDEX('KALENDER MINGGU'!$C$6:$C$21,V142)</f>
        <v>46295</v>
      </c>
      <c r="AB142" s="109" t="str">
        <f t="shared" si="108"/>
        <v/>
      </c>
      <c r="AC142" s="109" t="str">
        <f t="shared" si="109"/>
        <v/>
      </c>
      <c r="AD142" s="109" t="str">
        <f t="shared" si="110"/>
        <v/>
      </c>
      <c r="AE142" s="109" t="str">
        <f t="shared" si="111"/>
        <v/>
      </c>
      <c r="AF142" s="109" t="str">
        <f t="shared" si="112"/>
        <v/>
      </c>
      <c r="AG142" s="109" t="str">
        <f t="shared" si="113"/>
        <v/>
      </c>
      <c r="AH142" s="109" t="str">
        <f t="shared" si="114"/>
        <v>■</v>
      </c>
      <c r="AI142" s="109" t="str">
        <f t="shared" si="115"/>
        <v>■</v>
      </c>
      <c r="AJ142" s="109" t="str">
        <f t="shared" si="116"/>
        <v>■</v>
      </c>
      <c r="AK142" s="109" t="str">
        <f t="shared" si="117"/>
        <v>■</v>
      </c>
      <c r="AL142" s="109" t="str">
        <f t="shared" si="118"/>
        <v/>
      </c>
      <c r="AM142" s="109" t="str">
        <f t="shared" si="119"/>
        <v/>
      </c>
      <c r="AN142" s="109" t="str">
        <f t="shared" si="120"/>
        <v/>
      </c>
      <c r="AO142" s="109" t="str">
        <f t="shared" si="121"/>
        <v/>
      </c>
      <c r="AP142" s="109" t="str">
        <f t="shared" si="122"/>
        <v/>
      </c>
      <c r="AQ142" s="109" t="str">
        <f t="shared" si="123"/>
        <v/>
      </c>
      <c r="AR142" t="s">
        <v>508</v>
      </c>
    </row>
    <row r="143" spans="1:44" ht="14.25" customHeight="1" x14ac:dyDescent="0.25">
      <c r="A143" s="22"/>
      <c r="B143" s="57">
        <v>8</v>
      </c>
      <c r="C143" s="58" t="s">
        <v>270</v>
      </c>
      <c r="D143" s="59" t="s">
        <v>271</v>
      </c>
      <c r="E143" s="47">
        <f>1.35*2.6</f>
        <v>3.5100000000000002</v>
      </c>
      <c r="F143" s="59" t="s">
        <v>135</v>
      </c>
      <c r="G143" s="28">
        <v>2000000</v>
      </c>
      <c r="H143" s="29">
        <f t="shared" si="105"/>
        <v>7020000</v>
      </c>
      <c r="I143" s="30">
        <v>3908731694</v>
      </c>
      <c r="J143" s="31">
        <f t="shared" si="106"/>
        <v>0.17959789900073914</v>
      </c>
      <c r="K143" s="37">
        <v>4</v>
      </c>
      <c r="L143" s="22" t="s">
        <v>272</v>
      </c>
      <c r="M143" s="22"/>
      <c r="N143" s="22" t="s">
        <v>273</v>
      </c>
      <c r="O143" s="45" t="s">
        <v>274</v>
      </c>
      <c r="P143" s="22">
        <v>200000</v>
      </c>
      <c r="Q143" s="22">
        <v>9600000</v>
      </c>
      <c r="R143" s="6"/>
      <c r="S143" s="6"/>
      <c r="T143" s="6"/>
      <c r="U143" s="108">
        <v>7</v>
      </c>
      <c r="V143" s="108">
        <v>10</v>
      </c>
      <c r="W143" s="109">
        <f t="shared" si="107"/>
        <v>4</v>
      </c>
      <c r="X143" s="110">
        <f t="array" ref="X143">INDEX('KALENDER MINGGU'!$B$6:$B$21,U143)</f>
        <v>46268</v>
      </c>
      <c r="Y143" s="110">
        <f t="array" ref="Y143">INDEX('KALENDER MINGGU'!$C$6:$C$21,V143)</f>
        <v>46295</v>
      </c>
      <c r="AB143" s="109" t="str">
        <f t="shared" si="108"/>
        <v/>
      </c>
      <c r="AC143" s="109" t="str">
        <f t="shared" si="109"/>
        <v/>
      </c>
      <c r="AD143" s="109" t="str">
        <f t="shared" si="110"/>
        <v/>
      </c>
      <c r="AE143" s="109" t="str">
        <f t="shared" si="111"/>
        <v/>
      </c>
      <c r="AF143" s="109" t="str">
        <f t="shared" si="112"/>
        <v/>
      </c>
      <c r="AG143" s="109" t="str">
        <f t="shared" si="113"/>
        <v/>
      </c>
      <c r="AH143" s="109" t="str">
        <f t="shared" si="114"/>
        <v>■</v>
      </c>
      <c r="AI143" s="109" t="str">
        <f t="shared" si="115"/>
        <v>■</v>
      </c>
      <c r="AJ143" s="109" t="str">
        <f t="shared" si="116"/>
        <v>■</v>
      </c>
      <c r="AK143" s="109" t="str">
        <f t="shared" si="117"/>
        <v>■</v>
      </c>
      <c r="AL143" s="109" t="str">
        <f t="shared" si="118"/>
        <v/>
      </c>
      <c r="AM143" s="109" t="str">
        <f t="shared" si="119"/>
        <v/>
      </c>
      <c r="AN143" s="109" t="str">
        <f t="shared" si="120"/>
        <v/>
      </c>
      <c r="AO143" s="109" t="str">
        <f t="shared" si="121"/>
        <v/>
      </c>
      <c r="AP143" s="109" t="str">
        <f t="shared" si="122"/>
        <v/>
      </c>
      <c r="AQ143" s="109" t="str">
        <f t="shared" si="123"/>
        <v/>
      </c>
      <c r="AR143" t="s">
        <v>509</v>
      </c>
    </row>
    <row r="144" spans="1:44" ht="14.25" customHeight="1" x14ac:dyDescent="0.2">
      <c r="A144" s="22"/>
      <c r="B144" s="60"/>
      <c r="C144" s="61"/>
      <c r="D144" s="62"/>
      <c r="E144" s="63"/>
      <c r="F144" s="64"/>
      <c r="G144" s="65"/>
      <c r="H144" s="49">
        <f>SUM(H136:H143)</f>
        <v>59520000</v>
      </c>
      <c r="I144" s="30">
        <v>3908731694</v>
      </c>
      <c r="J144" s="43">
        <f t="shared" si="106"/>
        <v>1.5227445795618224</v>
      </c>
      <c r="K144" s="37">
        <v>5</v>
      </c>
      <c r="L144" s="22" t="s">
        <v>275</v>
      </c>
      <c r="M144" s="22"/>
      <c r="N144" s="22" t="s">
        <v>273</v>
      </c>
      <c r="O144" s="45" t="s">
        <v>256</v>
      </c>
      <c r="P144" s="22">
        <v>200000</v>
      </c>
      <c r="Q144" s="22">
        <v>2400000</v>
      </c>
      <c r="R144" s="6"/>
      <c r="S144" s="6"/>
      <c r="T144" s="6"/>
      <c r="U144" s="109">
        <f>MIN(U136:U143)</f>
        <v>7</v>
      </c>
      <c r="V144" s="109">
        <f>MAX(V136:V143)</f>
        <v>10</v>
      </c>
      <c r="W144" s="109">
        <f t="shared" si="107"/>
        <v>4</v>
      </c>
      <c r="X144" s="110">
        <f t="array" ref="X144">INDEX('KALENDER MINGGU'!$B$6:$B$21,U144)</f>
        <v>46268</v>
      </c>
      <c r="Y144" s="110">
        <f t="array" ref="Y144">INDEX('KALENDER MINGGU'!$C$6:$C$21,V144)</f>
        <v>46295</v>
      </c>
      <c r="Z144" s="111">
        <f>SUM(TS!M42:AB42)/TS!L41*100</f>
        <v>36.028225806451616</v>
      </c>
      <c r="AA144" s="109" t="str">
        <f ca="1">IF(Z144&gt;=99.9,"COMPLETED",IF(U144&gt;'RENCANA MINGGUAN'!$J$7,"NOT STARTED",IF(V144&lt;'RENCANA MINGGUAN'!$J$7,"CRITICAL",IF(Z144+1&lt;W144,"DELAYED","ON SCHEDULE"))))</f>
        <v>ON SCHEDULE</v>
      </c>
      <c r="AB144" s="109" t="str">
        <f>IF(AND(U144&lt;=1,V144&gt;=1),"■","")</f>
        <v/>
      </c>
      <c r="AC144" s="109" t="str">
        <f>IF(AND(U144&lt;=2,V144&gt;=2),"■","")</f>
        <v/>
      </c>
      <c r="AD144" s="109" t="str">
        <f>IF(AND(U144&lt;=3,V144&gt;=3),"■","")</f>
        <v/>
      </c>
      <c r="AE144" s="109" t="str">
        <f>IF(AND(U144&lt;=4,V144&gt;=4),"■","")</f>
        <v/>
      </c>
      <c r="AF144" s="109" t="str">
        <f>IF(AND(U144&lt;=5,V144&gt;=5),"■","")</f>
        <v/>
      </c>
      <c r="AG144" s="109" t="str">
        <f>IF(AND(U144&lt;=6,V144&gt;=6),"■","")</f>
        <v/>
      </c>
      <c r="AH144" s="109" t="str">
        <f>IF(AND(U144&lt;=7,V144&gt;=7),"■","")</f>
        <v>■</v>
      </c>
      <c r="AI144" s="109" t="str">
        <f>IF(AND(U144&lt;=8,V144&gt;=8),"■","")</f>
        <v>■</v>
      </c>
      <c r="AJ144" s="109" t="str">
        <f>IF(AND(U144&lt;=9,V144&gt;=9),"■","")</f>
        <v>■</v>
      </c>
      <c r="AK144" s="109" t="str">
        <f>IF(AND(U144&lt;=10,V144&gt;=10),"■","")</f>
        <v>■</v>
      </c>
      <c r="AL144" s="109" t="str">
        <f>IF(AND(U144&lt;=11,V144&gt;=11),"■","")</f>
        <v/>
      </c>
      <c r="AM144" s="109" t="str">
        <f>IF(AND(U144&lt;=12,V144&gt;=12),"■","")</f>
        <v/>
      </c>
      <c r="AN144" s="109" t="str">
        <f>IF(AND(U144&lt;=13,V144&gt;=13),"■","")</f>
        <v/>
      </c>
      <c r="AO144" s="109" t="str">
        <f>IF(AND(U144&lt;=14,V144&gt;=14),"■","")</f>
        <v/>
      </c>
      <c r="AP144" s="109" t="str">
        <f>IF(AND(U144&lt;=15,V144&gt;=15),"■","")</f>
        <v/>
      </c>
      <c r="AQ144" s="109" t="str">
        <f>IF(AND(U144&lt;=16,V144&gt;=16),"■","")</f>
        <v/>
      </c>
    </row>
    <row r="145" spans="1:20" ht="14.25" customHeight="1" x14ac:dyDescent="0.2">
      <c r="A145" s="22"/>
      <c r="B145" s="60"/>
      <c r="C145" s="61"/>
      <c r="D145" s="62"/>
      <c r="E145" s="63"/>
      <c r="F145" s="64"/>
      <c r="G145" s="65"/>
      <c r="H145" s="66">
        <f t="shared" ref="H145:H157" si="124">E145*G145</f>
        <v>0</v>
      </c>
      <c r="I145" s="44"/>
      <c r="J145" s="44"/>
      <c r="K145" s="37">
        <v>6</v>
      </c>
      <c r="L145" s="22" t="s">
        <v>276</v>
      </c>
      <c r="M145" s="22"/>
      <c r="N145" s="22" t="s">
        <v>277</v>
      </c>
      <c r="O145" s="45" t="s">
        <v>274</v>
      </c>
      <c r="P145" s="22">
        <v>293000</v>
      </c>
      <c r="Q145" s="22">
        <v>14064000</v>
      </c>
      <c r="R145" s="6"/>
      <c r="S145" s="6"/>
      <c r="T145" s="6"/>
    </row>
    <row r="146" spans="1:20" ht="14.25" hidden="1" customHeight="1" x14ac:dyDescent="0.2">
      <c r="A146" s="22"/>
      <c r="B146" s="60"/>
      <c r="C146" s="61"/>
      <c r="D146" s="62"/>
      <c r="E146" s="63"/>
      <c r="F146" s="64"/>
      <c r="G146" s="65"/>
      <c r="H146" s="66">
        <f t="shared" si="124"/>
        <v>0</v>
      </c>
      <c r="I146" s="44"/>
      <c r="J146" s="44"/>
      <c r="K146" s="37">
        <v>7</v>
      </c>
      <c r="L146" s="22" t="s">
        <v>278</v>
      </c>
      <c r="M146" s="22"/>
      <c r="N146" s="22" t="s">
        <v>279</v>
      </c>
      <c r="O146" s="45" t="s">
        <v>263</v>
      </c>
      <c r="P146" s="22">
        <v>1150000</v>
      </c>
      <c r="Q146" s="22">
        <v>64400000</v>
      </c>
      <c r="R146" s="6"/>
      <c r="S146" s="6"/>
      <c r="T146" s="6"/>
    </row>
    <row r="147" spans="1:20" ht="14.25" hidden="1" customHeight="1" x14ac:dyDescent="0.2">
      <c r="A147" s="22"/>
      <c r="B147" s="60"/>
      <c r="C147" s="61"/>
      <c r="D147" s="62"/>
      <c r="E147" s="63"/>
      <c r="F147" s="64"/>
      <c r="G147" s="65"/>
      <c r="H147" s="66">
        <f t="shared" si="124"/>
        <v>0</v>
      </c>
      <c r="I147" s="44"/>
      <c r="J147" s="44"/>
      <c r="K147" s="37">
        <v>8</v>
      </c>
      <c r="L147" s="22" t="s">
        <v>280</v>
      </c>
      <c r="M147" s="22"/>
      <c r="N147" s="22" t="s">
        <v>279</v>
      </c>
      <c r="O147" s="45" t="s">
        <v>281</v>
      </c>
      <c r="P147" s="22">
        <v>4000000</v>
      </c>
      <c r="Q147" s="22">
        <v>8000000</v>
      </c>
      <c r="R147" s="6"/>
      <c r="S147" s="6"/>
      <c r="T147" s="6"/>
    </row>
    <row r="148" spans="1:20" ht="14.25" hidden="1" customHeight="1" x14ac:dyDescent="0.2">
      <c r="A148" s="22"/>
      <c r="B148" s="60"/>
      <c r="C148" s="61"/>
      <c r="D148" s="62"/>
      <c r="E148" s="63"/>
      <c r="F148" s="64"/>
      <c r="G148" s="65"/>
      <c r="H148" s="66">
        <f t="shared" si="124"/>
        <v>0</v>
      </c>
      <c r="I148" s="44"/>
      <c r="J148" s="44"/>
      <c r="K148" s="37">
        <v>9</v>
      </c>
      <c r="L148" s="22" t="s">
        <v>282</v>
      </c>
      <c r="M148" s="22"/>
      <c r="N148" s="22" t="s">
        <v>283</v>
      </c>
      <c r="O148" s="45" t="s">
        <v>284</v>
      </c>
      <c r="P148" s="22">
        <v>180000</v>
      </c>
      <c r="Q148" s="22">
        <v>1800000</v>
      </c>
      <c r="R148" s="6"/>
      <c r="S148" s="6"/>
      <c r="T148" s="6"/>
    </row>
    <row r="149" spans="1:20" ht="14.25" hidden="1" customHeight="1" x14ac:dyDescent="0.2">
      <c r="A149" s="22"/>
      <c r="B149" s="60"/>
      <c r="C149" s="61"/>
      <c r="D149" s="62"/>
      <c r="E149" s="63"/>
      <c r="F149" s="64"/>
      <c r="G149" s="65"/>
      <c r="H149" s="66">
        <f t="shared" si="124"/>
        <v>0</v>
      </c>
      <c r="I149" s="44"/>
      <c r="J149" s="44"/>
      <c r="K149" s="37">
        <v>10</v>
      </c>
      <c r="L149" s="22" t="s">
        <v>285</v>
      </c>
      <c r="M149" s="22"/>
      <c r="N149" s="22" t="s">
        <v>286</v>
      </c>
      <c r="O149" s="45" t="s">
        <v>287</v>
      </c>
      <c r="P149" s="22">
        <v>215000</v>
      </c>
      <c r="Q149" s="22">
        <v>3010000</v>
      </c>
      <c r="R149" s="6"/>
      <c r="S149" s="6"/>
      <c r="T149" s="6"/>
    </row>
    <row r="150" spans="1:20" ht="14.25" hidden="1" customHeight="1" x14ac:dyDescent="0.2">
      <c r="A150" s="22"/>
      <c r="B150" s="60"/>
      <c r="C150" s="61"/>
      <c r="D150" s="62"/>
      <c r="E150" s="63"/>
      <c r="F150" s="64"/>
      <c r="G150" s="65"/>
      <c r="H150" s="66">
        <f t="shared" si="124"/>
        <v>0</v>
      </c>
      <c r="I150" s="44"/>
      <c r="J150" s="44"/>
      <c r="K150" s="37">
        <v>11</v>
      </c>
      <c r="L150" s="22" t="s">
        <v>288</v>
      </c>
      <c r="M150" s="22"/>
      <c r="N150" s="22" t="s">
        <v>289</v>
      </c>
      <c r="O150" s="45" t="s">
        <v>290</v>
      </c>
      <c r="P150" s="22">
        <v>6000000</v>
      </c>
      <c r="Q150" s="22">
        <v>24000000</v>
      </c>
      <c r="R150" s="6"/>
      <c r="S150" s="6"/>
      <c r="T150" s="6"/>
    </row>
    <row r="151" spans="1:20" ht="14.25" hidden="1" customHeight="1" x14ac:dyDescent="0.2">
      <c r="A151" s="22"/>
      <c r="B151" s="60"/>
      <c r="C151" s="61"/>
      <c r="D151" s="62"/>
      <c r="E151" s="63"/>
      <c r="F151" s="64"/>
      <c r="G151" s="65"/>
      <c r="H151" s="66">
        <f t="shared" si="124"/>
        <v>0</v>
      </c>
      <c r="I151" s="44"/>
      <c r="J151" s="44"/>
      <c r="K151" s="37">
        <v>12</v>
      </c>
      <c r="L151" s="22" t="s">
        <v>291</v>
      </c>
      <c r="M151" s="22"/>
      <c r="N151" s="22" t="s">
        <v>292</v>
      </c>
      <c r="O151" s="45" t="s">
        <v>293</v>
      </c>
      <c r="P151" s="22">
        <v>400000</v>
      </c>
      <c r="Q151" s="22">
        <v>1800000</v>
      </c>
      <c r="R151" s="6"/>
      <c r="S151" s="6"/>
      <c r="T151" s="6"/>
    </row>
    <row r="152" spans="1:20" ht="14.25" hidden="1" customHeight="1" x14ac:dyDescent="0.2">
      <c r="A152" s="22"/>
      <c r="B152" s="60"/>
      <c r="C152" s="61"/>
      <c r="D152" s="62"/>
      <c r="E152" s="63"/>
      <c r="F152" s="64"/>
      <c r="G152" s="65"/>
      <c r="H152" s="66">
        <f t="shared" si="124"/>
        <v>0</v>
      </c>
      <c r="I152" s="44"/>
      <c r="J152" s="44"/>
      <c r="K152" s="37">
        <v>13</v>
      </c>
      <c r="L152" s="22" t="s">
        <v>294</v>
      </c>
      <c r="M152" s="22"/>
      <c r="N152" s="22" t="s">
        <v>295</v>
      </c>
      <c r="O152" s="45" t="s">
        <v>42</v>
      </c>
      <c r="P152" s="22">
        <v>4500000</v>
      </c>
      <c r="Q152" s="22">
        <v>4500000</v>
      </c>
      <c r="R152" s="6"/>
      <c r="S152" s="6"/>
      <c r="T152" s="6"/>
    </row>
    <row r="153" spans="1:20" ht="14.25" hidden="1" customHeight="1" x14ac:dyDescent="0.2">
      <c r="A153" s="22"/>
      <c r="B153" s="60"/>
      <c r="C153" s="61"/>
      <c r="D153" s="62"/>
      <c r="E153" s="63"/>
      <c r="F153" s="64"/>
      <c r="G153" s="65"/>
      <c r="H153" s="66">
        <f t="shared" si="124"/>
        <v>0</v>
      </c>
      <c r="I153" s="44"/>
      <c r="J153" s="44"/>
      <c r="K153" s="37"/>
      <c r="L153" s="22"/>
      <c r="M153" s="22"/>
      <c r="N153" s="22"/>
      <c r="O153" s="45"/>
      <c r="P153" s="22"/>
      <c r="Q153" s="22"/>
      <c r="R153" s="6"/>
      <c r="S153" s="6"/>
      <c r="T153" s="6"/>
    </row>
    <row r="154" spans="1:20" ht="14.25" hidden="1" customHeight="1" x14ac:dyDescent="0.2">
      <c r="A154" s="22"/>
      <c r="B154" s="60"/>
      <c r="C154" s="61"/>
      <c r="D154" s="62"/>
      <c r="E154" s="63"/>
      <c r="F154" s="64"/>
      <c r="G154" s="65"/>
      <c r="H154" s="66">
        <f t="shared" si="124"/>
        <v>0</v>
      </c>
      <c r="I154" s="1"/>
      <c r="J154" s="1"/>
      <c r="K154" s="19" t="s">
        <v>122</v>
      </c>
      <c r="L154" s="21" t="s">
        <v>296</v>
      </c>
      <c r="M154" s="21"/>
      <c r="N154" s="21"/>
      <c r="O154" s="21"/>
      <c r="P154" s="15"/>
      <c r="Q154" s="15"/>
      <c r="R154" s="6"/>
      <c r="S154" s="6"/>
      <c r="T154" s="6"/>
    </row>
    <row r="155" spans="1:20" ht="14.25" hidden="1" customHeight="1" x14ac:dyDescent="0.2">
      <c r="A155" s="22"/>
      <c r="B155" s="60"/>
      <c r="C155" s="61"/>
      <c r="D155" s="62"/>
      <c r="E155" s="63"/>
      <c r="F155" s="64"/>
      <c r="G155" s="65"/>
      <c r="H155" s="66">
        <f t="shared" si="124"/>
        <v>0</v>
      </c>
      <c r="I155" s="44"/>
      <c r="J155" s="44"/>
      <c r="K155" s="37">
        <v>1</v>
      </c>
      <c r="L155" s="22" t="s">
        <v>297</v>
      </c>
      <c r="M155" s="22"/>
      <c r="N155" s="22" t="s">
        <v>298</v>
      </c>
      <c r="O155" s="45" t="s">
        <v>299</v>
      </c>
      <c r="P155" s="22">
        <v>145000</v>
      </c>
      <c r="Q155" s="22">
        <v>2900000</v>
      </c>
      <c r="R155" s="6"/>
      <c r="S155" s="6"/>
      <c r="T155" s="6"/>
    </row>
    <row r="156" spans="1:20" ht="14.25" hidden="1" customHeight="1" x14ac:dyDescent="0.2">
      <c r="A156" s="22"/>
      <c r="B156" s="60"/>
      <c r="C156" s="61"/>
      <c r="D156" s="62"/>
      <c r="E156" s="63"/>
      <c r="F156" s="64"/>
      <c r="G156" s="65"/>
      <c r="H156" s="66">
        <f t="shared" si="124"/>
        <v>0</v>
      </c>
      <c r="I156" s="44"/>
      <c r="J156" s="44"/>
      <c r="K156" s="37">
        <v>2</v>
      </c>
      <c r="L156" s="22" t="s">
        <v>300</v>
      </c>
      <c r="M156" s="22"/>
      <c r="N156" s="22"/>
      <c r="O156" s="45" t="s">
        <v>42</v>
      </c>
      <c r="P156" s="22">
        <v>300000</v>
      </c>
      <c r="Q156" s="22">
        <v>300000</v>
      </c>
      <c r="R156" s="6"/>
      <c r="S156" s="6"/>
      <c r="T156" s="6"/>
    </row>
    <row r="157" spans="1:20" ht="14.25" hidden="1" customHeight="1" x14ac:dyDescent="0.2">
      <c r="A157" s="22"/>
      <c r="B157" s="60"/>
      <c r="C157" s="61"/>
      <c r="D157" s="62"/>
      <c r="E157" s="63"/>
      <c r="F157" s="64"/>
      <c r="G157" s="65"/>
      <c r="H157" s="66">
        <f t="shared" si="124"/>
        <v>0</v>
      </c>
      <c r="I157" s="67"/>
      <c r="J157" s="68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ht="14.25" customHeight="1" x14ac:dyDescent="0.2">
      <c r="A158" s="6"/>
      <c r="B158" s="68"/>
      <c r="C158" s="69"/>
      <c r="D158" s="70"/>
      <c r="E158" s="70"/>
      <c r="F158" s="68"/>
      <c r="G158" s="68"/>
      <c r="H158" s="68"/>
      <c r="I158" s="68"/>
      <c r="J158" s="68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ht="14.25" customHeight="1" x14ac:dyDescent="0.2">
      <c r="A159" s="6"/>
      <c r="B159" s="68"/>
      <c r="C159" s="69"/>
      <c r="D159" s="70"/>
      <c r="E159" s="70"/>
      <c r="F159" s="68"/>
      <c r="G159" s="71" t="s">
        <v>301</v>
      </c>
      <c r="H159" s="72">
        <f>SUM(H7:H157)/2</f>
        <v>3280456694.4444447</v>
      </c>
      <c r="I159" s="67"/>
      <c r="J159" s="68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ht="14.25" customHeight="1" x14ac:dyDescent="0.2">
      <c r="A160" s="6"/>
      <c r="B160" s="73" t="s">
        <v>302</v>
      </c>
      <c r="C160" s="74"/>
      <c r="D160" s="68"/>
      <c r="E160" s="68"/>
      <c r="F160" s="68"/>
      <c r="G160" s="75"/>
      <c r="H160" s="75"/>
      <c r="I160" s="75"/>
      <c r="J160" s="68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44" ht="14.25" customHeight="1" x14ac:dyDescent="0.2">
      <c r="A161" s="6"/>
      <c r="B161" s="76" t="s">
        <v>303</v>
      </c>
      <c r="C161" s="69"/>
      <c r="D161" s="68"/>
      <c r="E161" s="68"/>
      <c r="F161" s="68"/>
      <c r="G161" s="68"/>
      <c r="H161" s="68"/>
      <c r="I161" s="68"/>
      <c r="J161" s="68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44" ht="14.25" customHeight="1" x14ac:dyDescent="0.2">
      <c r="A162" s="6"/>
      <c r="B162" s="76" t="s">
        <v>304</v>
      </c>
      <c r="C162" s="69"/>
      <c r="D162" s="68"/>
      <c r="E162" s="68"/>
      <c r="F162" s="68"/>
      <c r="G162" s="68"/>
      <c r="H162" s="68"/>
      <c r="I162" s="68"/>
      <c r="J162" s="68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44" ht="14.25" customHeight="1" x14ac:dyDescent="0.2">
      <c r="A163" s="6"/>
      <c r="B163" s="76"/>
      <c r="C163" s="69"/>
      <c r="D163" s="68"/>
      <c r="E163" s="68"/>
      <c r="F163" s="68"/>
      <c r="G163" s="68"/>
      <c r="H163" s="68"/>
      <c r="I163" s="68"/>
      <c r="J163" s="68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44" ht="14.25" customHeight="1" x14ac:dyDescent="0.2">
      <c r="A164" s="6"/>
      <c r="B164" s="284" t="s">
        <v>29</v>
      </c>
      <c r="C164" s="284" t="s">
        <v>30</v>
      </c>
      <c r="D164" s="284" t="s">
        <v>31</v>
      </c>
      <c r="E164" s="284" t="s">
        <v>32</v>
      </c>
      <c r="F164" s="284" t="s">
        <v>33</v>
      </c>
      <c r="G164" s="284" t="s">
        <v>34</v>
      </c>
      <c r="H164" s="285" t="s">
        <v>305</v>
      </c>
      <c r="I164" s="285" t="s">
        <v>36</v>
      </c>
      <c r="J164" s="285" t="s">
        <v>37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44" ht="14.25" customHeight="1" x14ac:dyDescent="0.2">
      <c r="A165" s="6"/>
      <c r="B165" s="284"/>
      <c r="C165" s="284"/>
      <c r="D165" s="284"/>
      <c r="E165" s="284"/>
      <c r="F165" s="284"/>
      <c r="G165" s="284"/>
      <c r="H165" s="284"/>
      <c r="I165" s="284"/>
      <c r="J165" s="284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44" ht="14.25" customHeight="1" x14ac:dyDescent="0.25">
      <c r="A166" s="6"/>
      <c r="B166" s="16" t="s">
        <v>38</v>
      </c>
      <c r="C166" s="16" t="s">
        <v>416</v>
      </c>
      <c r="D166" s="16"/>
      <c r="E166" s="16"/>
      <c r="F166" s="16"/>
      <c r="G166" s="17"/>
      <c r="H166" s="18"/>
      <c r="I166" s="75"/>
      <c r="J166" s="68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44" ht="14.25" customHeight="1" x14ac:dyDescent="0.2">
      <c r="A167" s="6"/>
      <c r="B167" s="23">
        <v>1</v>
      </c>
      <c r="C167" s="24" t="s">
        <v>39</v>
      </c>
      <c r="D167" s="25"/>
      <c r="E167" s="26">
        <v>1</v>
      </c>
      <c r="F167" s="27" t="s">
        <v>41</v>
      </c>
      <c r="G167" s="28">
        <v>1000000</v>
      </c>
      <c r="H167" s="28">
        <f>E167*G167</f>
        <v>1000000</v>
      </c>
      <c r="I167" s="30">
        <v>3908731694</v>
      </c>
      <c r="J167" s="31">
        <f t="shared" ref="J167:J172" si="125">H167/I167*100</f>
        <v>2.5583746296401588E-2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108">
        <v>9</v>
      </c>
      <c r="V167" s="108">
        <v>9</v>
      </c>
      <c r="W167" s="109">
        <f t="shared" ref="W167:W172" si="126">MAX(1,V167-U167+1)</f>
        <v>1</v>
      </c>
      <c r="X167" s="110">
        <f t="array" ref="X167">INDEX('KALENDER MINGGU'!$B$6:$B$21,U167)</f>
        <v>46282</v>
      </c>
      <c r="Y167" s="110">
        <f t="array" ref="Y167">INDEX('KALENDER MINGGU'!$C$6:$C$21,V167)</f>
        <v>46288</v>
      </c>
      <c r="AB167" s="109" t="str">
        <f>IF(AND($U167&lt;=1,$V167&gt;=1),"■","")</f>
        <v/>
      </c>
      <c r="AC167" s="109" t="str">
        <f>IF(AND($U167&lt;=2,$V167&gt;=2),"■","")</f>
        <v/>
      </c>
      <c r="AD167" s="109" t="str">
        <f>IF(AND($U167&lt;=3,$V167&gt;=3),"■","")</f>
        <v/>
      </c>
      <c r="AE167" s="109" t="str">
        <f>IF(AND($U167&lt;=4,$V167&gt;=4),"■","")</f>
        <v/>
      </c>
      <c r="AF167" s="109" t="str">
        <f>IF(AND($U167&lt;=5,$V167&gt;=5),"■","")</f>
        <v/>
      </c>
      <c r="AG167" s="109" t="str">
        <f>IF(AND($U167&lt;=6,$V167&gt;=6),"■","")</f>
        <v/>
      </c>
      <c r="AH167" s="109" t="str">
        <f>IF(AND($U167&lt;=7,$V167&gt;=7),"■","")</f>
        <v/>
      </c>
      <c r="AI167" s="109" t="str">
        <f>IF(AND($U167&lt;=8,$V167&gt;=8),"■","")</f>
        <v/>
      </c>
      <c r="AJ167" s="109" t="str">
        <f>IF(AND($U167&lt;=9,$V167&gt;=9),"■","")</f>
        <v>■</v>
      </c>
      <c r="AK167" s="109" t="str">
        <f>IF(AND($U167&lt;=10,$V167&gt;=10),"■","")</f>
        <v/>
      </c>
      <c r="AL167" s="109" t="str">
        <f>IF(AND($U167&lt;=11,$V167&gt;=11),"■","")</f>
        <v/>
      </c>
      <c r="AM167" s="109" t="str">
        <f>IF(AND($U167&lt;=12,$V167&gt;=12),"■","")</f>
        <v/>
      </c>
      <c r="AN167" s="109" t="str">
        <f>IF(AND($U167&lt;=13,$V167&gt;=13),"■","")</f>
        <v/>
      </c>
      <c r="AO167" s="109" t="str">
        <f>IF(AND($U167&lt;=14,$V167&gt;=14),"■","")</f>
        <v/>
      </c>
      <c r="AP167" s="109" t="str">
        <f>IF(AND($U167&lt;=15,$V167&gt;=15),"■","")</f>
        <v/>
      </c>
      <c r="AQ167" s="109" t="str">
        <f>IF(AND($U167&lt;=16,$V167&gt;=16),"■","")</f>
        <v/>
      </c>
      <c r="AR167" t="s">
        <v>510</v>
      </c>
    </row>
    <row r="168" spans="1:44" ht="14.25" customHeight="1" x14ac:dyDescent="0.2">
      <c r="A168" s="6"/>
      <c r="B168" s="23">
        <v>2</v>
      </c>
      <c r="C168" s="24" t="s">
        <v>43</v>
      </c>
      <c r="D168" s="36"/>
      <c r="E168" s="26">
        <v>504</v>
      </c>
      <c r="F168" s="27" t="s">
        <v>135</v>
      </c>
      <c r="G168" s="28">
        <v>10000</v>
      </c>
      <c r="H168" s="28">
        <f>E168*G168</f>
        <v>5040000</v>
      </c>
      <c r="I168" s="30">
        <v>3908731694</v>
      </c>
      <c r="J168" s="31">
        <f t="shared" si="125"/>
        <v>0.12894208133386401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108">
        <v>9</v>
      </c>
      <c r="V168" s="108">
        <v>9</v>
      </c>
      <c r="W168" s="109">
        <f t="shared" si="126"/>
        <v>1</v>
      </c>
      <c r="X168" s="110">
        <f t="array" ref="X168">INDEX('KALENDER MINGGU'!$B$6:$B$21,U168)</f>
        <v>46282</v>
      </c>
      <c r="Y168" s="110">
        <f t="array" ref="Y168">INDEX('KALENDER MINGGU'!$C$6:$C$21,V168)</f>
        <v>46288</v>
      </c>
      <c r="AB168" s="109" t="str">
        <f>IF(AND($U168&lt;=1,$V168&gt;=1),"■","")</f>
        <v/>
      </c>
      <c r="AC168" s="109" t="str">
        <f>IF(AND($U168&lt;=2,$V168&gt;=2),"■","")</f>
        <v/>
      </c>
      <c r="AD168" s="109" t="str">
        <f>IF(AND($U168&lt;=3,$V168&gt;=3),"■","")</f>
        <v/>
      </c>
      <c r="AE168" s="109" t="str">
        <f>IF(AND($U168&lt;=4,$V168&gt;=4),"■","")</f>
        <v/>
      </c>
      <c r="AF168" s="109" t="str">
        <f>IF(AND($U168&lt;=5,$V168&gt;=5),"■","")</f>
        <v/>
      </c>
      <c r="AG168" s="109" t="str">
        <f>IF(AND($U168&lt;=6,$V168&gt;=6),"■","")</f>
        <v/>
      </c>
      <c r="AH168" s="109" t="str">
        <f>IF(AND($U168&lt;=7,$V168&gt;=7),"■","")</f>
        <v/>
      </c>
      <c r="AI168" s="109" t="str">
        <f>IF(AND($U168&lt;=8,$V168&gt;=8),"■","")</f>
        <v/>
      </c>
      <c r="AJ168" s="109" t="str">
        <f>IF(AND($U168&lt;=9,$V168&gt;=9),"■","")</f>
        <v>■</v>
      </c>
      <c r="AK168" s="109" t="str">
        <f>IF(AND($U168&lt;=10,$V168&gt;=10),"■","")</f>
        <v/>
      </c>
      <c r="AL168" s="109" t="str">
        <f>IF(AND($U168&lt;=11,$V168&gt;=11),"■","")</f>
        <v/>
      </c>
      <c r="AM168" s="109" t="str">
        <f>IF(AND($U168&lt;=12,$V168&gt;=12),"■","")</f>
        <v/>
      </c>
      <c r="AN168" s="109" t="str">
        <f>IF(AND($U168&lt;=13,$V168&gt;=13),"■","")</f>
        <v/>
      </c>
      <c r="AO168" s="109" t="str">
        <f>IF(AND($U168&lt;=14,$V168&gt;=14),"■","")</f>
        <v/>
      </c>
      <c r="AP168" s="109" t="str">
        <f>IF(AND($U168&lt;=15,$V168&gt;=15),"■","")</f>
        <v/>
      </c>
      <c r="AQ168" s="109" t="str">
        <f>IF(AND($U168&lt;=16,$V168&gt;=16),"■","")</f>
        <v/>
      </c>
      <c r="AR168" t="s">
        <v>511</v>
      </c>
    </row>
    <row r="169" spans="1:44" ht="14.25" customHeight="1" x14ac:dyDescent="0.2">
      <c r="A169" s="6"/>
      <c r="B169" s="23">
        <v>3</v>
      </c>
      <c r="C169" s="24" t="s">
        <v>44</v>
      </c>
      <c r="D169" s="36"/>
      <c r="E169" s="36"/>
      <c r="F169" s="27"/>
      <c r="G169" s="28"/>
      <c r="H169" s="28">
        <f>E169*G169</f>
        <v>0</v>
      </c>
      <c r="I169" s="30">
        <v>3908731694</v>
      </c>
      <c r="J169" s="31">
        <f t="shared" si="125"/>
        <v>0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108">
        <v>9</v>
      </c>
      <c r="V169" s="108">
        <v>9</v>
      </c>
      <c r="W169" s="109">
        <f t="shared" si="126"/>
        <v>1</v>
      </c>
      <c r="X169" s="110">
        <f t="array" ref="X169">INDEX('KALENDER MINGGU'!$B$6:$B$21,U169)</f>
        <v>46282</v>
      </c>
      <c r="Y169" s="110">
        <f t="array" ref="Y169">INDEX('KALENDER MINGGU'!$C$6:$C$21,V169)</f>
        <v>46288</v>
      </c>
      <c r="AB169" s="109" t="str">
        <f>IF(AND($U169&lt;=1,$V169&gt;=1),"■","")</f>
        <v/>
      </c>
      <c r="AC169" s="109" t="str">
        <f>IF(AND($U169&lt;=2,$V169&gt;=2),"■","")</f>
        <v/>
      </c>
      <c r="AD169" s="109" t="str">
        <f>IF(AND($U169&lt;=3,$V169&gt;=3),"■","")</f>
        <v/>
      </c>
      <c r="AE169" s="109" t="str">
        <f>IF(AND($U169&lt;=4,$V169&gt;=4),"■","")</f>
        <v/>
      </c>
      <c r="AF169" s="109" t="str">
        <f>IF(AND($U169&lt;=5,$V169&gt;=5),"■","")</f>
        <v/>
      </c>
      <c r="AG169" s="109" t="str">
        <f>IF(AND($U169&lt;=6,$V169&gt;=6),"■","")</f>
        <v/>
      </c>
      <c r="AH169" s="109" t="str">
        <f>IF(AND($U169&lt;=7,$V169&gt;=7),"■","")</f>
        <v/>
      </c>
      <c r="AI169" s="109" t="str">
        <f>IF(AND($U169&lt;=8,$V169&gt;=8),"■","")</f>
        <v/>
      </c>
      <c r="AJ169" s="109" t="str">
        <f>IF(AND($U169&lt;=9,$V169&gt;=9),"■","")</f>
        <v>■</v>
      </c>
      <c r="AK169" s="109" t="str">
        <f>IF(AND($U169&lt;=10,$V169&gt;=10),"■","")</f>
        <v/>
      </c>
      <c r="AL169" s="109" t="str">
        <f>IF(AND($U169&lt;=11,$V169&gt;=11),"■","")</f>
        <v/>
      </c>
      <c r="AM169" s="109" t="str">
        <f>IF(AND($U169&lt;=12,$V169&gt;=12),"■","")</f>
        <v/>
      </c>
      <c r="AN169" s="109" t="str">
        <f>IF(AND($U169&lt;=13,$V169&gt;=13),"■","")</f>
        <v/>
      </c>
      <c r="AO169" s="109" t="str">
        <f>IF(AND($U169&lt;=14,$V169&gt;=14),"■","")</f>
        <v/>
      </c>
      <c r="AP169" s="109" t="str">
        <f>IF(AND($U169&lt;=15,$V169&gt;=15),"■","")</f>
        <v/>
      </c>
      <c r="AQ169" s="109" t="str">
        <f>IF(AND($U169&lt;=16,$V169&gt;=16),"■","")</f>
        <v/>
      </c>
      <c r="AR169" t="s">
        <v>512</v>
      </c>
    </row>
    <row r="170" spans="1:44" ht="14.25" customHeight="1" x14ac:dyDescent="0.2">
      <c r="A170" s="6"/>
      <c r="B170" s="23">
        <v>4</v>
      </c>
      <c r="C170" s="24" t="s">
        <v>46</v>
      </c>
      <c r="D170" s="36"/>
      <c r="E170" s="26">
        <v>1</v>
      </c>
      <c r="F170" s="27" t="s">
        <v>41</v>
      </c>
      <c r="G170" s="28">
        <v>1000000</v>
      </c>
      <c r="H170" s="28">
        <f>E170*G170</f>
        <v>1000000</v>
      </c>
      <c r="I170" s="30">
        <v>3908731694</v>
      </c>
      <c r="J170" s="31">
        <f t="shared" si="125"/>
        <v>2.5583746296401588E-2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108">
        <v>9</v>
      </c>
      <c r="V170" s="108">
        <v>9</v>
      </c>
      <c r="W170" s="109">
        <f t="shared" si="126"/>
        <v>1</v>
      </c>
      <c r="X170" s="110">
        <f t="array" ref="X170">INDEX('KALENDER MINGGU'!$B$6:$B$21,U170)</f>
        <v>46282</v>
      </c>
      <c r="Y170" s="110">
        <f t="array" ref="Y170">INDEX('KALENDER MINGGU'!$C$6:$C$21,V170)</f>
        <v>46288</v>
      </c>
      <c r="AB170" s="109" t="str">
        <f>IF(AND($U170&lt;=1,$V170&gt;=1),"■","")</f>
        <v/>
      </c>
      <c r="AC170" s="109" t="str">
        <f>IF(AND($U170&lt;=2,$V170&gt;=2),"■","")</f>
        <v/>
      </c>
      <c r="AD170" s="109" t="str">
        <f>IF(AND($U170&lt;=3,$V170&gt;=3),"■","")</f>
        <v/>
      </c>
      <c r="AE170" s="109" t="str">
        <f>IF(AND($U170&lt;=4,$V170&gt;=4),"■","")</f>
        <v/>
      </c>
      <c r="AF170" s="109" t="str">
        <f>IF(AND($U170&lt;=5,$V170&gt;=5),"■","")</f>
        <v/>
      </c>
      <c r="AG170" s="109" t="str">
        <f>IF(AND($U170&lt;=6,$V170&gt;=6),"■","")</f>
        <v/>
      </c>
      <c r="AH170" s="109" t="str">
        <f>IF(AND($U170&lt;=7,$V170&gt;=7),"■","")</f>
        <v/>
      </c>
      <c r="AI170" s="109" t="str">
        <f>IF(AND($U170&lt;=8,$V170&gt;=8),"■","")</f>
        <v/>
      </c>
      <c r="AJ170" s="109" t="str">
        <f>IF(AND($U170&lt;=9,$V170&gt;=9),"■","")</f>
        <v>■</v>
      </c>
      <c r="AK170" s="109" t="str">
        <f>IF(AND($U170&lt;=10,$V170&gt;=10),"■","")</f>
        <v/>
      </c>
      <c r="AL170" s="109" t="str">
        <f>IF(AND($U170&lt;=11,$V170&gt;=11),"■","")</f>
        <v/>
      </c>
      <c r="AM170" s="109" t="str">
        <f>IF(AND($U170&lt;=12,$V170&gt;=12),"■","")</f>
        <v/>
      </c>
      <c r="AN170" s="109" t="str">
        <f>IF(AND($U170&lt;=13,$V170&gt;=13),"■","")</f>
        <v/>
      </c>
      <c r="AO170" s="109" t="str">
        <f>IF(AND($U170&lt;=14,$V170&gt;=14),"■","")</f>
        <v/>
      </c>
      <c r="AP170" s="109" t="str">
        <f>IF(AND($U170&lt;=15,$V170&gt;=15),"■","")</f>
        <v/>
      </c>
      <c r="AQ170" s="109" t="str">
        <f>IF(AND($U170&lt;=16,$V170&gt;=16),"■","")</f>
        <v/>
      </c>
      <c r="AR170" t="s">
        <v>513</v>
      </c>
    </row>
    <row r="171" spans="1:44" ht="14.25" customHeight="1" x14ac:dyDescent="0.2">
      <c r="A171" s="6"/>
      <c r="B171" s="23">
        <v>5</v>
      </c>
      <c r="C171" s="24" t="s">
        <v>45</v>
      </c>
      <c r="D171" s="25"/>
      <c r="E171" s="26">
        <v>1</v>
      </c>
      <c r="F171" s="27" t="s">
        <v>41</v>
      </c>
      <c r="G171" s="28">
        <v>5000000</v>
      </c>
      <c r="H171" s="28">
        <f>E171*G171</f>
        <v>5000000</v>
      </c>
      <c r="I171" s="30">
        <v>3908731694</v>
      </c>
      <c r="J171" s="31">
        <f t="shared" si="125"/>
        <v>0.12791873148200794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108">
        <v>9</v>
      </c>
      <c r="V171" s="108">
        <v>9</v>
      </c>
      <c r="W171" s="109">
        <f t="shared" si="126"/>
        <v>1</v>
      </c>
      <c r="X171" s="110">
        <f t="array" ref="X171">INDEX('KALENDER MINGGU'!$B$6:$B$21,U171)</f>
        <v>46282</v>
      </c>
      <c r="Y171" s="110">
        <f t="array" ref="Y171">INDEX('KALENDER MINGGU'!$C$6:$C$21,V171)</f>
        <v>46288</v>
      </c>
      <c r="AB171" s="109" t="str">
        <f>IF(AND($U171&lt;=1,$V171&gt;=1),"■","")</f>
        <v/>
      </c>
      <c r="AC171" s="109" t="str">
        <f>IF(AND($U171&lt;=2,$V171&gt;=2),"■","")</f>
        <v/>
      </c>
      <c r="AD171" s="109" t="str">
        <f>IF(AND($U171&lt;=3,$V171&gt;=3),"■","")</f>
        <v/>
      </c>
      <c r="AE171" s="109" t="str">
        <f>IF(AND($U171&lt;=4,$V171&gt;=4),"■","")</f>
        <v/>
      </c>
      <c r="AF171" s="109" t="str">
        <f>IF(AND($U171&lt;=5,$V171&gt;=5),"■","")</f>
        <v/>
      </c>
      <c r="AG171" s="109" t="str">
        <f>IF(AND($U171&lt;=6,$V171&gt;=6),"■","")</f>
        <v/>
      </c>
      <c r="AH171" s="109" t="str">
        <f>IF(AND($U171&lt;=7,$V171&gt;=7),"■","")</f>
        <v/>
      </c>
      <c r="AI171" s="109" t="str">
        <f>IF(AND($U171&lt;=8,$V171&gt;=8),"■","")</f>
        <v/>
      </c>
      <c r="AJ171" s="109" t="str">
        <f>IF(AND($U171&lt;=9,$V171&gt;=9),"■","")</f>
        <v>■</v>
      </c>
      <c r="AK171" s="109" t="str">
        <f>IF(AND($U171&lt;=10,$V171&gt;=10),"■","")</f>
        <v/>
      </c>
      <c r="AL171" s="109" t="str">
        <f>IF(AND($U171&lt;=11,$V171&gt;=11),"■","")</f>
        <v/>
      </c>
      <c r="AM171" s="109" t="str">
        <f>IF(AND($U171&lt;=12,$V171&gt;=12),"■","")</f>
        <v/>
      </c>
      <c r="AN171" s="109" t="str">
        <f>IF(AND($U171&lt;=13,$V171&gt;=13),"■","")</f>
        <v/>
      </c>
      <c r="AO171" s="109" t="str">
        <f>IF(AND($U171&lt;=14,$V171&gt;=14),"■","")</f>
        <v/>
      </c>
      <c r="AP171" s="109" t="str">
        <f>IF(AND($U171&lt;=15,$V171&gt;=15),"■","")</f>
        <v/>
      </c>
      <c r="AQ171" s="109" t="str">
        <f>IF(AND($U171&lt;=16,$V171&gt;=16),"■","")</f>
        <v/>
      </c>
      <c r="AR171" t="s">
        <v>514</v>
      </c>
    </row>
    <row r="172" spans="1:44" ht="14.25" customHeight="1" x14ac:dyDescent="0.25">
      <c r="A172" s="6"/>
      <c r="B172" s="77"/>
      <c r="C172" s="16"/>
      <c r="D172" s="39"/>
      <c r="E172" s="78"/>
      <c r="F172" s="40"/>
      <c r="G172" s="41"/>
      <c r="H172" s="79">
        <f>SUM(H167:H171)</f>
        <v>12040000</v>
      </c>
      <c r="I172" s="30">
        <v>3908731694</v>
      </c>
      <c r="J172" s="43">
        <f t="shared" si="125"/>
        <v>0.3080283054086751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109">
        <f>MIN(U167:U171)</f>
        <v>9</v>
      </c>
      <c r="V172" s="109">
        <f>MAX(V167:V171)</f>
        <v>9</v>
      </c>
      <c r="W172" s="109">
        <f t="shared" si="126"/>
        <v>1</v>
      </c>
      <c r="X172" s="110">
        <f t="array" ref="X172">INDEX('KALENDER MINGGU'!$B$6:$B$21,U172)</f>
        <v>46282</v>
      </c>
      <c r="Y172" s="110">
        <f t="array" ref="Y172">INDEX('KALENDER MINGGU'!$C$6:$C$21,V172)</f>
        <v>46288</v>
      </c>
      <c r="Z172" s="111">
        <f>SUM(TS!M45:AB45)/TS!L44*100</f>
        <v>97.242524916943523</v>
      </c>
      <c r="AA172" s="109" t="str">
        <f ca="1">IF(Z172&gt;=99.9,"COMPLETED",IF(U172&gt;'RENCANA MINGGUAN'!$J$7,"NOT STARTED",IF(V172&lt;'RENCANA MINGGUAN'!$J$7,"CRITICAL",IF(Z172+1&lt;W172,"DELAYED","ON SCHEDULE"))))</f>
        <v>CRITICAL</v>
      </c>
      <c r="AB172" s="109" t="str">
        <f>IF(AND(U172&lt;=1,V172&gt;=1),"■","")</f>
        <v/>
      </c>
      <c r="AC172" s="109" t="str">
        <f>IF(AND(U172&lt;=2,V172&gt;=2),"■","")</f>
        <v/>
      </c>
      <c r="AD172" s="109" t="str">
        <f>IF(AND(U172&lt;=3,V172&gt;=3),"■","")</f>
        <v/>
      </c>
      <c r="AE172" s="109" t="str">
        <f>IF(AND(U172&lt;=4,V172&gt;=4),"■","")</f>
        <v/>
      </c>
      <c r="AF172" s="109" t="str">
        <f>IF(AND(U172&lt;=5,V172&gt;=5),"■","")</f>
        <v/>
      </c>
      <c r="AG172" s="109" t="str">
        <f>IF(AND(U172&lt;=6,V172&gt;=6),"■","")</f>
        <v/>
      </c>
      <c r="AH172" s="109" t="str">
        <f>IF(AND(U172&lt;=7,V172&gt;=7),"■","")</f>
        <v/>
      </c>
      <c r="AI172" s="109" t="str">
        <f>IF(AND(U172&lt;=8,V172&gt;=8),"■","")</f>
        <v/>
      </c>
      <c r="AJ172" s="109" t="str">
        <f>IF(AND(U172&lt;=9,V172&gt;=9),"■","")</f>
        <v>■</v>
      </c>
      <c r="AK172" s="109" t="str">
        <f>IF(AND(U172&lt;=10,V172&gt;=10),"■","")</f>
        <v/>
      </c>
      <c r="AL172" s="109" t="str">
        <f>IF(AND(U172&lt;=11,V172&gt;=11),"■","")</f>
        <v/>
      </c>
      <c r="AM172" s="109" t="str">
        <f>IF(AND(U172&lt;=12,V172&gt;=12),"■","")</f>
        <v/>
      </c>
      <c r="AN172" s="109" t="str">
        <f>IF(AND(U172&lt;=13,V172&gt;=13),"■","")</f>
        <v/>
      </c>
      <c r="AO172" s="109" t="str">
        <f>IF(AND(U172&lt;=14,V172&gt;=14),"■","")</f>
        <v/>
      </c>
      <c r="AP172" s="109" t="str">
        <f>IF(AND(U172&lt;=15,V172&gt;=15),"■","")</f>
        <v/>
      </c>
      <c r="AQ172" s="109" t="str">
        <f>IF(AND(U172&lt;=16,V172&gt;=16),"■","")</f>
        <v/>
      </c>
    </row>
    <row r="173" spans="1:44" ht="14.25" customHeight="1" x14ac:dyDescent="0.25">
      <c r="A173" s="6"/>
      <c r="B173" s="16"/>
      <c r="C173" s="16"/>
      <c r="D173" s="25"/>
      <c r="E173" s="25"/>
      <c r="F173" s="27"/>
      <c r="G173" s="28"/>
      <c r="H173" s="28"/>
      <c r="I173" s="75"/>
      <c r="J173" s="68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44" ht="14.25" customHeight="1" x14ac:dyDescent="0.2">
      <c r="A174" s="6"/>
      <c r="B174" s="77" t="s">
        <v>49</v>
      </c>
      <c r="C174" s="80" t="s">
        <v>515</v>
      </c>
      <c r="D174" s="25"/>
      <c r="E174" s="47"/>
      <c r="F174" s="27"/>
      <c r="G174" s="28"/>
      <c r="H174" s="28"/>
      <c r="I174" s="75"/>
      <c r="J174" s="68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44" ht="14.25" customHeight="1" x14ac:dyDescent="0.2">
      <c r="A175" s="6"/>
      <c r="B175" s="23">
        <v>1</v>
      </c>
      <c r="C175" s="46" t="s">
        <v>307</v>
      </c>
      <c r="D175" s="25" t="s">
        <v>308</v>
      </c>
      <c r="E175" s="48">
        <v>108</v>
      </c>
      <c r="F175" s="27" t="s">
        <v>135</v>
      </c>
      <c r="G175" s="28">
        <v>50000</v>
      </c>
      <c r="H175" s="28">
        <f>E175*G175</f>
        <v>5400000</v>
      </c>
      <c r="I175" s="30">
        <v>3908731694</v>
      </c>
      <c r="J175" s="31">
        <f t="shared" ref="J175:J180" si="127">H175/I175*100</f>
        <v>0.13815223000056856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108">
        <v>9</v>
      </c>
      <c r="V175" s="108">
        <v>12</v>
      </c>
      <c r="W175" s="109">
        <f t="shared" ref="W175:W180" si="128">MAX(1,V175-U175+1)</f>
        <v>4</v>
      </c>
      <c r="X175" s="110">
        <f t="array" ref="X175">INDEX('KALENDER MINGGU'!$B$6:$B$21,U175)</f>
        <v>46282</v>
      </c>
      <c r="Y175" s="110">
        <f t="array" ref="Y175">INDEX('KALENDER MINGGU'!$C$6:$C$21,V175)</f>
        <v>46309</v>
      </c>
      <c r="AB175" s="109" t="str">
        <f>IF(AND($U175&lt;=1,$V175&gt;=1),"■","")</f>
        <v/>
      </c>
      <c r="AC175" s="109" t="str">
        <f>IF(AND($U175&lt;=2,$V175&gt;=2),"■","")</f>
        <v/>
      </c>
      <c r="AD175" s="109" t="str">
        <f>IF(AND($U175&lt;=3,$V175&gt;=3),"■","")</f>
        <v/>
      </c>
      <c r="AE175" s="109" t="str">
        <f>IF(AND($U175&lt;=4,$V175&gt;=4),"■","")</f>
        <v/>
      </c>
      <c r="AF175" s="109" t="str">
        <f>IF(AND($U175&lt;=5,$V175&gt;=5),"■","")</f>
        <v/>
      </c>
      <c r="AG175" s="109" t="str">
        <f>IF(AND($U175&lt;=6,$V175&gt;=6),"■","")</f>
        <v/>
      </c>
      <c r="AH175" s="109" t="str">
        <f>IF(AND($U175&lt;=7,$V175&gt;=7),"■","")</f>
        <v/>
      </c>
      <c r="AI175" s="109" t="str">
        <f>IF(AND($U175&lt;=8,$V175&gt;=8),"■","")</f>
        <v/>
      </c>
      <c r="AJ175" s="109" t="str">
        <f>IF(AND($U175&lt;=9,$V175&gt;=9),"■","")</f>
        <v>■</v>
      </c>
      <c r="AK175" s="109" t="str">
        <f>IF(AND($U175&lt;=10,$V175&gt;=10),"■","")</f>
        <v>■</v>
      </c>
      <c r="AL175" s="109" t="str">
        <f>IF(AND($U175&lt;=11,$V175&gt;=11),"■","")</f>
        <v>■</v>
      </c>
      <c r="AM175" s="109" t="str">
        <f>IF(AND($U175&lt;=12,$V175&gt;=12),"■","")</f>
        <v>■</v>
      </c>
      <c r="AN175" s="109" t="str">
        <f>IF(AND($U175&lt;=13,$V175&gt;=13),"■","")</f>
        <v/>
      </c>
      <c r="AO175" s="109" t="str">
        <f>IF(AND($U175&lt;=14,$V175&gt;=14),"■","")</f>
        <v/>
      </c>
      <c r="AP175" s="109" t="str">
        <f>IF(AND($U175&lt;=15,$V175&gt;=15),"■","")</f>
        <v/>
      </c>
      <c r="AQ175" s="109" t="str">
        <f>IF(AND($U175&lt;=16,$V175&gt;=16),"■","")</f>
        <v/>
      </c>
      <c r="AR175" t="s">
        <v>516</v>
      </c>
    </row>
    <row r="176" spans="1:44" ht="14.25" customHeight="1" x14ac:dyDescent="0.2">
      <c r="A176" s="6"/>
      <c r="B176" s="23">
        <v>2</v>
      </c>
      <c r="C176" s="46" t="s">
        <v>309</v>
      </c>
      <c r="D176" s="25" t="s">
        <v>310</v>
      </c>
      <c r="E176" s="48">
        <v>0</v>
      </c>
      <c r="F176" s="27" t="s">
        <v>135</v>
      </c>
      <c r="G176" s="28">
        <v>220000</v>
      </c>
      <c r="H176" s="28">
        <f>E176*G176</f>
        <v>0</v>
      </c>
      <c r="I176" s="30">
        <v>3908731694</v>
      </c>
      <c r="J176" s="31">
        <f t="shared" si="127"/>
        <v>0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108">
        <v>9</v>
      </c>
      <c r="V176" s="108">
        <v>12</v>
      </c>
      <c r="W176" s="109">
        <f t="shared" si="128"/>
        <v>4</v>
      </c>
      <c r="X176" s="110">
        <f t="array" ref="X176">INDEX('KALENDER MINGGU'!$B$6:$B$21,U176)</f>
        <v>46282</v>
      </c>
      <c r="Y176" s="110">
        <f t="array" ref="Y176">INDEX('KALENDER MINGGU'!$C$6:$C$21,V176)</f>
        <v>46309</v>
      </c>
      <c r="AB176" s="109" t="str">
        <f>IF(AND($U176&lt;=1,$V176&gt;=1),"■","")</f>
        <v/>
      </c>
      <c r="AC176" s="109" t="str">
        <f>IF(AND($U176&lt;=2,$V176&gt;=2),"■","")</f>
        <v/>
      </c>
      <c r="AD176" s="109" t="str">
        <f>IF(AND($U176&lt;=3,$V176&gt;=3),"■","")</f>
        <v/>
      </c>
      <c r="AE176" s="109" t="str">
        <f>IF(AND($U176&lt;=4,$V176&gt;=4),"■","")</f>
        <v/>
      </c>
      <c r="AF176" s="109" t="str">
        <f>IF(AND($U176&lt;=5,$V176&gt;=5),"■","")</f>
        <v/>
      </c>
      <c r="AG176" s="109" t="str">
        <f>IF(AND($U176&lt;=6,$V176&gt;=6),"■","")</f>
        <v/>
      </c>
      <c r="AH176" s="109" t="str">
        <f>IF(AND($U176&lt;=7,$V176&gt;=7),"■","")</f>
        <v/>
      </c>
      <c r="AI176" s="109" t="str">
        <f>IF(AND($U176&lt;=8,$V176&gt;=8),"■","")</f>
        <v/>
      </c>
      <c r="AJ176" s="109" t="str">
        <f>IF(AND($U176&lt;=9,$V176&gt;=9),"■","")</f>
        <v>■</v>
      </c>
      <c r="AK176" s="109" t="str">
        <f>IF(AND($U176&lt;=10,$V176&gt;=10),"■","")</f>
        <v>■</v>
      </c>
      <c r="AL176" s="109" t="str">
        <f>IF(AND($U176&lt;=11,$V176&gt;=11),"■","")</f>
        <v>■</v>
      </c>
      <c r="AM176" s="109" t="str">
        <f>IF(AND($U176&lt;=12,$V176&gt;=12),"■","")</f>
        <v>■</v>
      </c>
      <c r="AN176" s="109" t="str">
        <f>IF(AND($U176&lt;=13,$V176&gt;=13),"■","")</f>
        <v/>
      </c>
      <c r="AO176" s="109" t="str">
        <f>IF(AND($U176&lt;=14,$V176&gt;=14),"■","")</f>
        <v/>
      </c>
      <c r="AP176" s="109" t="str">
        <f>IF(AND($U176&lt;=15,$V176&gt;=15),"■","")</f>
        <v/>
      </c>
      <c r="AQ176" s="109" t="str">
        <f>IF(AND($U176&lt;=16,$V176&gt;=16),"■","")</f>
        <v/>
      </c>
      <c r="AR176" t="s">
        <v>517</v>
      </c>
    </row>
    <row r="177" spans="1:44" ht="14.25" customHeight="1" x14ac:dyDescent="0.2">
      <c r="A177" s="6"/>
      <c r="B177" s="23">
        <v>3</v>
      </c>
      <c r="C177" s="46" t="s">
        <v>311</v>
      </c>
      <c r="D177" s="25" t="s">
        <v>312</v>
      </c>
      <c r="E177" s="48">
        <f>E175</f>
        <v>108</v>
      </c>
      <c r="F177" s="27" t="s">
        <v>135</v>
      </c>
      <c r="G177" s="28">
        <v>390000</v>
      </c>
      <c r="H177" s="28">
        <f>E177*G177</f>
        <v>42120000</v>
      </c>
      <c r="I177" s="30">
        <v>3908731694</v>
      </c>
      <c r="J177" s="31">
        <f t="shared" si="127"/>
        <v>1.0775873940044347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108">
        <v>9</v>
      </c>
      <c r="V177" s="108">
        <v>12</v>
      </c>
      <c r="W177" s="109">
        <f t="shared" si="128"/>
        <v>4</v>
      </c>
      <c r="X177" s="110">
        <f t="array" ref="X177">INDEX('KALENDER MINGGU'!$B$6:$B$21,U177)</f>
        <v>46282</v>
      </c>
      <c r="Y177" s="110">
        <f t="array" ref="Y177">INDEX('KALENDER MINGGU'!$C$6:$C$21,V177)</f>
        <v>46309</v>
      </c>
      <c r="AB177" s="109" t="str">
        <f>IF(AND($U177&lt;=1,$V177&gt;=1),"■","")</f>
        <v/>
      </c>
      <c r="AC177" s="109" t="str">
        <f>IF(AND($U177&lt;=2,$V177&gt;=2),"■","")</f>
        <v/>
      </c>
      <c r="AD177" s="109" t="str">
        <f>IF(AND($U177&lt;=3,$V177&gt;=3),"■","")</f>
        <v/>
      </c>
      <c r="AE177" s="109" t="str">
        <f>IF(AND($U177&lt;=4,$V177&gt;=4),"■","")</f>
        <v/>
      </c>
      <c r="AF177" s="109" t="str">
        <f>IF(AND($U177&lt;=5,$V177&gt;=5),"■","")</f>
        <v/>
      </c>
      <c r="AG177" s="109" t="str">
        <f>IF(AND($U177&lt;=6,$V177&gt;=6),"■","")</f>
        <v/>
      </c>
      <c r="AH177" s="109" t="str">
        <f>IF(AND($U177&lt;=7,$V177&gt;=7),"■","")</f>
        <v/>
      </c>
      <c r="AI177" s="109" t="str">
        <f>IF(AND($U177&lt;=8,$V177&gt;=8),"■","")</f>
        <v/>
      </c>
      <c r="AJ177" s="109" t="str">
        <f>IF(AND($U177&lt;=9,$V177&gt;=9),"■","")</f>
        <v>■</v>
      </c>
      <c r="AK177" s="109" t="str">
        <f>IF(AND($U177&lt;=10,$V177&gt;=10),"■","")</f>
        <v>■</v>
      </c>
      <c r="AL177" s="109" t="str">
        <f>IF(AND($U177&lt;=11,$V177&gt;=11),"■","")</f>
        <v>■</v>
      </c>
      <c r="AM177" s="109" t="str">
        <f>IF(AND($U177&lt;=12,$V177&gt;=12),"■","")</f>
        <v>■</v>
      </c>
      <c r="AN177" s="109" t="str">
        <f>IF(AND($U177&lt;=13,$V177&gt;=13),"■","")</f>
        <v/>
      </c>
      <c r="AO177" s="109" t="str">
        <f>IF(AND($U177&lt;=14,$V177&gt;=14),"■","")</f>
        <v/>
      </c>
      <c r="AP177" s="109" t="str">
        <f>IF(AND($U177&lt;=15,$V177&gt;=15),"■","")</f>
        <v/>
      </c>
      <c r="AQ177" s="109" t="str">
        <f>IF(AND($U177&lt;=16,$V177&gt;=16),"■","")</f>
        <v/>
      </c>
      <c r="AR177" t="s">
        <v>518</v>
      </c>
    </row>
    <row r="178" spans="1:44" ht="14.25" customHeight="1" x14ac:dyDescent="0.2">
      <c r="A178" s="6"/>
      <c r="B178" s="23">
        <v>4</v>
      </c>
      <c r="C178" s="46" t="s">
        <v>313</v>
      </c>
      <c r="D178" s="25" t="s">
        <v>314</v>
      </c>
      <c r="E178" s="48">
        <f>E175</f>
        <v>108</v>
      </c>
      <c r="F178" s="27" t="s">
        <v>135</v>
      </c>
      <c r="G178" s="28">
        <v>65000</v>
      </c>
      <c r="H178" s="28">
        <f>E178*G178</f>
        <v>7020000</v>
      </c>
      <c r="I178" s="30">
        <v>3908731694</v>
      </c>
      <c r="J178" s="31">
        <f t="shared" si="127"/>
        <v>0.17959789900073914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108">
        <v>9</v>
      </c>
      <c r="V178" s="108">
        <v>12</v>
      </c>
      <c r="W178" s="109">
        <f t="shared" si="128"/>
        <v>4</v>
      </c>
      <c r="X178" s="110">
        <f t="array" ref="X178">INDEX('KALENDER MINGGU'!$B$6:$B$21,U178)</f>
        <v>46282</v>
      </c>
      <c r="Y178" s="110">
        <f t="array" ref="Y178">INDEX('KALENDER MINGGU'!$C$6:$C$21,V178)</f>
        <v>46309</v>
      </c>
      <c r="AB178" s="109" t="str">
        <f>IF(AND($U178&lt;=1,$V178&gt;=1),"■","")</f>
        <v/>
      </c>
      <c r="AC178" s="109" t="str">
        <f>IF(AND($U178&lt;=2,$V178&gt;=2),"■","")</f>
        <v/>
      </c>
      <c r="AD178" s="109" t="str">
        <f>IF(AND($U178&lt;=3,$V178&gt;=3),"■","")</f>
        <v/>
      </c>
      <c r="AE178" s="109" t="str">
        <f>IF(AND($U178&lt;=4,$V178&gt;=4),"■","")</f>
        <v/>
      </c>
      <c r="AF178" s="109" t="str">
        <f>IF(AND($U178&lt;=5,$V178&gt;=5),"■","")</f>
        <v/>
      </c>
      <c r="AG178" s="109" t="str">
        <f>IF(AND($U178&lt;=6,$V178&gt;=6),"■","")</f>
        <v/>
      </c>
      <c r="AH178" s="109" t="str">
        <f>IF(AND($U178&lt;=7,$V178&gt;=7),"■","")</f>
        <v/>
      </c>
      <c r="AI178" s="109" t="str">
        <f>IF(AND($U178&lt;=8,$V178&gt;=8),"■","")</f>
        <v/>
      </c>
      <c r="AJ178" s="109" t="str">
        <f>IF(AND($U178&lt;=9,$V178&gt;=9),"■","")</f>
        <v>■</v>
      </c>
      <c r="AK178" s="109" t="str">
        <f>IF(AND($U178&lt;=10,$V178&gt;=10),"■","")</f>
        <v>■</v>
      </c>
      <c r="AL178" s="109" t="str">
        <f>IF(AND($U178&lt;=11,$V178&gt;=11),"■","")</f>
        <v>■</v>
      </c>
      <c r="AM178" s="109" t="str">
        <f>IF(AND($U178&lt;=12,$V178&gt;=12),"■","")</f>
        <v>■</v>
      </c>
      <c r="AN178" s="109" t="str">
        <f>IF(AND($U178&lt;=13,$V178&gt;=13),"■","")</f>
        <v/>
      </c>
      <c r="AO178" s="109" t="str">
        <f>IF(AND($U178&lt;=14,$V178&gt;=14),"■","")</f>
        <v/>
      </c>
      <c r="AP178" s="109" t="str">
        <f>IF(AND($U178&lt;=15,$V178&gt;=15),"■","")</f>
        <v/>
      </c>
      <c r="AQ178" s="109" t="str">
        <f>IF(AND($U178&lt;=16,$V178&gt;=16),"■","")</f>
        <v/>
      </c>
      <c r="AR178" t="s">
        <v>519</v>
      </c>
    </row>
    <row r="179" spans="1:44" ht="14.25" customHeight="1" x14ac:dyDescent="0.2">
      <c r="A179" s="6"/>
      <c r="B179" s="23">
        <v>5</v>
      </c>
      <c r="C179" s="46" t="s">
        <v>315</v>
      </c>
      <c r="D179" s="25" t="s">
        <v>316</v>
      </c>
      <c r="E179" s="52">
        <v>0.5</v>
      </c>
      <c r="F179" s="27" t="s">
        <v>73</v>
      </c>
      <c r="G179" s="28">
        <v>1500000</v>
      </c>
      <c r="H179" s="28">
        <f>E179*G179</f>
        <v>750000</v>
      </c>
      <c r="I179" s="30">
        <v>3908731694</v>
      </c>
      <c r="J179" s="31">
        <f t="shared" si="127"/>
        <v>1.9187809722301191E-2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108">
        <v>9</v>
      </c>
      <c r="V179" s="108">
        <v>12</v>
      </c>
      <c r="W179" s="109">
        <f t="shared" si="128"/>
        <v>4</v>
      </c>
      <c r="X179" s="110">
        <f t="array" ref="X179">INDEX('KALENDER MINGGU'!$B$6:$B$21,U179)</f>
        <v>46282</v>
      </c>
      <c r="Y179" s="110">
        <f t="array" ref="Y179">INDEX('KALENDER MINGGU'!$C$6:$C$21,V179)</f>
        <v>46309</v>
      </c>
      <c r="AB179" s="109" t="str">
        <f>IF(AND($U179&lt;=1,$V179&gt;=1),"■","")</f>
        <v/>
      </c>
      <c r="AC179" s="109" t="str">
        <f>IF(AND($U179&lt;=2,$V179&gt;=2),"■","")</f>
        <v/>
      </c>
      <c r="AD179" s="109" t="str">
        <f>IF(AND($U179&lt;=3,$V179&gt;=3),"■","")</f>
        <v/>
      </c>
      <c r="AE179" s="109" t="str">
        <f>IF(AND($U179&lt;=4,$V179&gt;=4),"■","")</f>
        <v/>
      </c>
      <c r="AF179" s="109" t="str">
        <f>IF(AND($U179&lt;=5,$V179&gt;=5),"■","")</f>
        <v/>
      </c>
      <c r="AG179" s="109" t="str">
        <f>IF(AND($U179&lt;=6,$V179&gt;=6),"■","")</f>
        <v/>
      </c>
      <c r="AH179" s="109" t="str">
        <f>IF(AND($U179&lt;=7,$V179&gt;=7),"■","")</f>
        <v/>
      </c>
      <c r="AI179" s="109" t="str">
        <f>IF(AND($U179&lt;=8,$V179&gt;=8),"■","")</f>
        <v/>
      </c>
      <c r="AJ179" s="109" t="str">
        <f>IF(AND($U179&lt;=9,$V179&gt;=9),"■","")</f>
        <v>■</v>
      </c>
      <c r="AK179" s="109" t="str">
        <f>IF(AND($U179&lt;=10,$V179&gt;=10),"■","")</f>
        <v>■</v>
      </c>
      <c r="AL179" s="109" t="str">
        <f>IF(AND($U179&lt;=11,$V179&gt;=11),"■","")</f>
        <v>■</v>
      </c>
      <c r="AM179" s="109" t="str">
        <f>IF(AND($U179&lt;=12,$V179&gt;=12),"■","")</f>
        <v>■</v>
      </c>
      <c r="AN179" s="109" t="str">
        <f>IF(AND($U179&lt;=13,$V179&gt;=13),"■","")</f>
        <v/>
      </c>
      <c r="AO179" s="109" t="str">
        <f>IF(AND($U179&lt;=14,$V179&gt;=14),"■","")</f>
        <v/>
      </c>
      <c r="AP179" s="109" t="str">
        <f>IF(AND($U179&lt;=15,$V179&gt;=15),"■","")</f>
        <v/>
      </c>
      <c r="AQ179" s="109" t="str">
        <f>IF(AND($U179&lt;=16,$V179&gt;=16),"■","")</f>
        <v/>
      </c>
      <c r="AR179" t="s">
        <v>520</v>
      </c>
    </row>
    <row r="180" spans="1:44" ht="14.25" customHeight="1" x14ac:dyDescent="0.2">
      <c r="A180" s="6"/>
      <c r="B180" s="77"/>
      <c r="C180" s="80"/>
      <c r="D180" s="25"/>
      <c r="E180" s="47"/>
      <c r="F180" s="27"/>
      <c r="G180" s="28"/>
      <c r="H180" s="79">
        <f>SUM(H175:H179)</f>
        <v>55290000</v>
      </c>
      <c r="I180" s="30">
        <v>3908731694</v>
      </c>
      <c r="J180" s="43">
        <f t="shared" si="127"/>
        <v>1.4145253327280438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109">
        <f>MIN(U175:U179)</f>
        <v>9</v>
      </c>
      <c r="V180" s="109">
        <f>MAX(V175:V179)</f>
        <v>12</v>
      </c>
      <c r="W180" s="109">
        <f t="shared" si="128"/>
        <v>4</v>
      </c>
      <c r="X180" s="110">
        <f t="array" ref="X180">INDEX('KALENDER MINGGU'!$B$6:$B$21,U180)</f>
        <v>46282</v>
      </c>
      <c r="Y180" s="110">
        <f t="array" ref="Y180">INDEX('KALENDER MINGGU'!$C$6:$C$21,V180)</f>
        <v>46309</v>
      </c>
      <c r="Z180" s="111">
        <f>SUM(TS!M47:AB47)/TS!L46*100</f>
        <v>31.633206728160605</v>
      </c>
      <c r="AA180" s="109" t="str">
        <f ca="1">IF(Z180&gt;=99.9,"COMPLETED",IF(U180&gt;'RENCANA MINGGUAN'!$J$7,"NOT STARTED",IF(V180&lt;'RENCANA MINGGUAN'!$J$7,"CRITICAL",IF(Z180+1&lt;W180,"DELAYED","ON SCHEDULE"))))</f>
        <v>ON SCHEDULE</v>
      </c>
      <c r="AB180" s="109" t="str">
        <f>IF(AND(U180&lt;=1,V180&gt;=1),"■","")</f>
        <v/>
      </c>
      <c r="AC180" s="109" t="str">
        <f>IF(AND(U180&lt;=2,V180&gt;=2),"■","")</f>
        <v/>
      </c>
      <c r="AD180" s="109" t="str">
        <f>IF(AND(U180&lt;=3,V180&gt;=3),"■","")</f>
        <v/>
      </c>
      <c r="AE180" s="109" t="str">
        <f>IF(AND(U180&lt;=4,V180&gt;=4),"■","")</f>
        <v/>
      </c>
      <c r="AF180" s="109" t="str">
        <f>IF(AND(U180&lt;=5,V180&gt;=5),"■","")</f>
        <v/>
      </c>
      <c r="AG180" s="109" t="str">
        <f>IF(AND(U180&lt;=6,V180&gt;=6),"■","")</f>
        <v/>
      </c>
      <c r="AH180" s="109" t="str">
        <f>IF(AND(U180&lt;=7,V180&gt;=7),"■","")</f>
        <v/>
      </c>
      <c r="AI180" s="109" t="str">
        <f>IF(AND(U180&lt;=8,V180&gt;=8),"■","")</f>
        <v/>
      </c>
      <c r="AJ180" s="109" t="str">
        <f>IF(AND(U180&lt;=9,V180&gt;=9),"■","")</f>
        <v>■</v>
      </c>
      <c r="AK180" s="109" t="str">
        <f>IF(AND(U180&lt;=10,V180&gt;=10),"■","")</f>
        <v>■</v>
      </c>
      <c r="AL180" s="109" t="str">
        <f>IF(AND(U180&lt;=11,V180&gt;=11),"■","")</f>
        <v>■</v>
      </c>
      <c r="AM180" s="109" t="str">
        <f>IF(AND(U180&lt;=12,V180&gt;=12),"■","")</f>
        <v>■</v>
      </c>
      <c r="AN180" s="109" t="str">
        <f>IF(AND(U180&lt;=13,V180&gt;=13),"■","")</f>
        <v/>
      </c>
      <c r="AO180" s="109" t="str">
        <f>IF(AND(U180&lt;=14,V180&gt;=14),"■","")</f>
        <v/>
      </c>
      <c r="AP180" s="109" t="str">
        <f>IF(AND(U180&lt;=15,V180&gt;=15),"■","")</f>
        <v/>
      </c>
      <c r="AQ180" s="109" t="str">
        <f>IF(AND(U180&lt;=16,V180&gt;=16),"■","")</f>
        <v/>
      </c>
    </row>
    <row r="181" spans="1:44" ht="14.25" customHeight="1" x14ac:dyDescent="0.2">
      <c r="A181" s="6"/>
      <c r="B181" s="77"/>
      <c r="C181" s="80"/>
      <c r="D181" s="25"/>
      <c r="E181" s="47"/>
      <c r="F181" s="27"/>
      <c r="G181" s="28"/>
      <c r="H181" s="28"/>
      <c r="I181" s="30"/>
      <c r="J181" s="31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44" ht="14.25" customHeight="1" x14ac:dyDescent="0.2">
      <c r="A182" s="6"/>
      <c r="B182" s="77" t="s">
        <v>80</v>
      </c>
      <c r="C182" s="80" t="s">
        <v>521</v>
      </c>
      <c r="D182" s="25"/>
      <c r="E182" s="47"/>
      <c r="F182" s="27"/>
      <c r="G182" s="28"/>
      <c r="H182" s="28"/>
      <c r="I182" s="30"/>
      <c r="J182" s="31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44" ht="14.25" customHeight="1" x14ac:dyDescent="0.2">
      <c r="A183" s="6"/>
      <c r="B183" s="23">
        <v>1</v>
      </c>
      <c r="C183" s="46" t="s">
        <v>307</v>
      </c>
      <c r="D183" s="25" t="s">
        <v>308</v>
      </c>
      <c r="E183" s="48">
        <f>148*1.05</f>
        <v>155.4</v>
      </c>
      <c r="F183" s="27" t="s">
        <v>135</v>
      </c>
      <c r="G183" s="28">
        <v>50000</v>
      </c>
      <c r="H183" s="28"/>
      <c r="I183" s="30"/>
      <c r="J183" s="31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112">
        <v>1</v>
      </c>
      <c r="V183" s="112">
        <v>16</v>
      </c>
      <c r="W183" s="109">
        <f t="shared" ref="W183:W189" si="129">MAX(1,V183-U183+1)</f>
        <v>16</v>
      </c>
      <c r="X183" s="110">
        <f t="array" ref="X183">INDEX('KALENDER MINGGU'!$B$6:$B$21,U183)</f>
        <v>46226</v>
      </c>
      <c r="Y183" s="110">
        <f t="array" ref="Y183">INDEX('KALENDER MINGGU'!$C$6:$C$21,V183)</f>
        <v>46337</v>
      </c>
      <c r="AB183" s="109" t="str">
        <f t="shared" ref="AB183:AB189" si="130">IF(AND($U183&lt;=1,$V183&gt;=1),"■","")</f>
        <v>■</v>
      </c>
      <c r="AC183" s="109" t="str">
        <f t="shared" ref="AC183:AC189" si="131">IF(AND($U183&lt;=2,$V183&gt;=2),"■","")</f>
        <v>■</v>
      </c>
      <c r="AD183" s="109" t="str">
        <f t="shared" ref="AD183:AD189" si="132">IF(AND($U183&lt;=3,$V183&gt;=3),"■","")</f>
        <v>■</v>
      </c>
      <c r="AE183" s="109" t="str">
        <f t="shared" ref="AE183:AE189" si="133">IF(AND($U183&lt;=4,$V183&gt;=4),"■","")</f>
        <v>■</v>
      </c>
      <c r="AF183" s="109" t="str">
        <f t="shared" ref="AF183:AF189" si="134">IF(AND($U183&lt;=5,$V183&gt;=5),"■","")</f>
        <v>■</v>
      </c>
      <c r="AG183" s="109" t="str">
        <f t="shared" ref="AG183:AG189" si="135">IF(AND($U183&lt;=6,$V183&gt;=6),"■","")</f>
        <v>■</v>
      </c>
      <c r="AH183" s="109" t="str">
        <f t="shared" ref="AH183:AH189" si="136">IF(AND($U183&lt;=7,$V183&gt;=7),"■","")</f>
        <v>■</v>
      </c>
      <c r="AI183" s="109" t="str">
        <f t="shared" ref="AI183:AI189" si="137">IF(AND($U183&lt;=8,$V183&gt;=8),"■","")</f>
        <v>■</v>
      </c>
      <c r="AJ183" s="109" t="str">
        <f t="shared" ref="AJ183:AJ189" si="138">IF(AND($U183&lt;=9,$V183&gt;=9),"■","")</f>
        <v>■</v>
      </c>
      <c r="AK183" s="109" t="str">
        <f t="shared" ref="AK183:AK189" si="139">IF(AND($U183&lt;=10,$V183&gt;=10),"■","")</f>
        <v>■</v>
      </c>
      <c r="AL183" s="109" t="str">
        <f t="shared" ref="AL183:AL189" si="140">IF(AND($U183&lt;=11,$V183&gt;=11),"■","")</f>
        <v>■</v>
      </c>
      <c r="AM183" s="109" t="str">
        <f t="shared" ref="AM183:AM189" si="141">IF(AND($U183&lt;=12,$V183&gt;=12),"■","")</f>
        <v>■</v>
      </c>
      <c r="AN183" s="109" t="str">
        <f t="shared" ref="AN183:AN189" si="142">IF(AND($U183&lt;=13,$V183&gt;=13),"■","")</f>
        <v>■</v>
      </c>
      <c r="AO183" s="109" t="str">
        <f t="shared" ref="AO183:AO189" si="143">IF(AND($U183&lt;=14,$V183&gt;=14),"■","")</f>
        <v>■</v>
      </c>
      <c r="AP183" s="109" t="str">
        <f t="shared" ref="AP183:AP189" si="144">IF(AND($U183&lt;=15,$V183&gt;=15),"■","")</f>
        <v>■</v>
      </c>
      <c r="AQ183" s="109" t="str">
        <f t="shared" ref="AQ183:AQ189" si="145">IF(AND($U183&lt;=16,$V183&gt;=16),"■","")</f>
        <v>■</v>
      </c>
    </row>
    <row r="184" spans="1:44" ht="14.25" customHeight="1" x14ac:dyDescent="0.2">
      <c r="A184" s="6"/>
      <c r="B184" s="23">
        <v>2</v>
      </c>
      <c r="C184" s="46" t="s">
        <v>309</v>
      </c>
      <c r="D184" s="25" t="s">
        <v>310</v>
      </c>
      <c r="E184" s="48">
        <f>E183</f>
        <v>155.4</v>
      </c>
      <c r="F184" s="27" t="s">
        <v>135</v>
      </c>
      <c r="G184" s="28">
        <v>215000</v>
      </c>
      <c r="H184" s="28"/>
      <c r="I184" s="30"/>
      <c r="J184" s="31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112">
        <v>1</v>
      </c>
      <c r="V184" s="112">
        <v>16</v>
      </c>
      <c r="W184" s="109">
        <f t="shared" si="129"/>
        <v>16</v>
      </c>
      <c r="X184" s="110">
        <f t="array" ref="X184">INDEX('KALENDER MINGGU'!$B$6:$B$21,U184)</f>
        <v>46226</v>
      </c>
      <c r="Y184" s="110">
        <f t="array" ref="Y184">INDEX('KALENDER MINGGU'!$C$6:$C$21,V184)</f>
        <v>46337</v>
      </c>
      <c r="AB184" s="109" t="str">
        <f t="shared" si="130"/>
        <v>■</v>
      </c>
      <c r="AC184" s="109" t="str">
        <f t="shared" si="131"/>
        <v>■</v>
      </c>
      <c r="AD184" s="109" t="str">
        <f t="shared" si="132"/>
        <v>■</v>
      </c>
      <c r="AE184" s="109" t="str">
        <f t="shared" si="133"/>
        <v>■</v>
      </c>
      <c r="AF184" s="109" t="str">
        <f t="shared" si="134"/>
        <v>■</v>
      </c>
      <c r="AG184" s="109" t="str">
        <f t="shared" si="135"/>
        <v>■</v>
      </c>
      <c r="AH184" s="109" t="str">
        <f t="shared" si="136"/>
        <v>■</v>
      </c>
      <c r="AI184" s="109" t="str">
        <f t="shared" si="137"/>
        <v>■</v>
      </c>
      <c r="AJ184" s="109" t="str">
        <f t="shared" si="138"/>
        <v>■</v>
      </c>
      <c r="AK184" s="109" t="str">
        <f t="shared" si="139"/>
        <v>■</v>
      </c>
      <c r="AL184" s="109" t="str">
        <f t="shared" si="140"/>
        <v>■</v>
      </c>
      <c r="AM184" s="109" t="str">
        <f t="shared" si="141"/>
        <v>■</v>
      </c>
      <c r="AN184" s="109" t="str">
        <f t="shared" si="142"/>
        <v>■</v>
      </c>
      <c r="AO184" s="109" t="str">
        <f t="shared" si="143"/>
        <v>■</v>
      </c>
      <c r="AP184" s="109" t="str">
        <f t="shared" si="144"/>
        <v>■</v>
      </c>
      <c r="AQ184" s="109" t="str">
        <f t="shared" si="145"/>
        <v>■</v>
      </c>
    </row>
    <row r="185" spans="1:44" ht="14.25" customHeight="1" x14ac:dyDescent="0.2">
      <c r="A185" s="6"/>
      <c r="B185" s="23">
        <v>3</v>
      </c>
      <c r="C185" s="46" t="s">
        <v>318</v>
      </c>
      <c r="D185" s="25" t="s">
        <v>319</v>
      </c>
      <c r="E185" s="48">
        <f>18.5*3.7</f>
        <v>68.45</v>
      </c>
      <c r="F185" s="27" t="s">
        <v>135</v>
      </c>
      <c r="G185" s="28">
        <v>330000</v>
      </c>
      <c r="H185" s="28"/>
      <c r="I185" s="30"/>
      <c r="J185" s="31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112">
        <v>1</v>
      </c>
      <c r="V185" s="112">
        <v>16</v>
      </c>
      <c r="W185" s="109">
        <f t="shared" si="129"/>
        <v>16</v>
      </c>
      <c r="X185" s="110">
        <f t="array" ref="X185">INDEX('KALENDER MINGGU'!$B$6:$B$21,U185)</f>
        <v>46226</v>
      </c>
      <c r="Y185" s="110">
        <f t="array" ref="Y185">INDEX('KALENDER MINGGU'!$C$6:$C$21,V185)</f>
        <v>46337</v>
      </c>
      <c r="AB185" s="109" t="str">
        <f t="shared" si="130"/>
        <v>■</v>
      </c>
      <c r="AC185" s="109" t="str">
        <f t="shared" si="131"/>
        <v>■</v>
      </c>
      <c r="AD185" s="109" t="str">
        <f t="shared" si="132"/>
        <v>■</v>
      </c>
      <c r="AE185" s="109" t="str">
        <f t="shared" si="133"/>
        <v>■</v>
      </c>
      <c r="AF185" s="109" t="str">
        <f t="shared" si="134"/>
        <v>■</v>
      </c>
      <c r="AG185" s="109" t="str">
        <f t="shared" si="135"/>
        <v>■</v>
      </c>
      <c r="AH185" s="109" t="str">
        <f t="shared" si="136"/>
        <v>■</v>
      </c>
      <c r="AI185" s="109" t="str">
        <f t="shared" si="137"/>
        <v>■</v>
      </c>
      <c r="AJ185" s="109" t="str">
        <f t="shared" si="138"/>
        <v>■</v>
      </c>
      <c r="AK185" s="109" t="str">
        <f t="shared" si="139"/>
        <v>■</v>
      </c>
      <c r="AL185" s="109" t="str">
        <f t="shared" si="140"/>
        <v>■</v>
      </c>
      <c r="AM185" s="109" t="str">
        <f t="shared" si="141"/>
        <v>■</v>
      </c>
      <c r="AN185" s="109" t="str">
        <f t="shared" si="142"/>
        <v>■</v>
      </c>
      <c r="AO185" s="109" t="str">
        <f t="shared" si="143"/>
        <v>■</v>
      </c>
      <c r="AP185" s="109" t="str">
        <f t="shared" si="144"/>
        <v>■</v>
      </c>
      <c r="AQ185" s="109" t="str">
        <f t="shared" si="145"/>
        <v>■</v>
      </c>
    </row>
    <row r="186" spans="1:44" ht="14.25" customHeight="1" x14ac:dyDescent="0.2">
      <c r="A186" s="6"/>
      <c r="B186" s="23">
        <v>4</v>
      </c>
      <c r="C186" s="81" t="s">
        <v>320</v>
      </c>
      <c r="D186" s="82" t="s">
        <v>321</v>
      </c>
      <c r="E186" s="48">
        <v>0</v>
      </c>
      <c r="F186" s="27" t="s">
        <v>73</v>
      </c>
      <c r="G186" s="28">
        <v>5200000</v>
      </c>
      <c r="H186" s="28"/>
      <c r="I186" s="30"/>
      <c r="J186" s="31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112">
        <v>1</v>
      </c>
      <c r="V186" s="112">
        <v>16</v>
      </c>
      <c r="W186" s="109">
        <f t="shared" si="129"/>
        <v>16</v>
      </c>
      <c r="X186" s="110">
        <f t="array" ref="X186">INDEX('KALENDER MINGGU'!$B$6:$B$21,U186)</f>
        <v>46226</v>
      </c>
      <c r="Y186" s="110">
        <f t="array" ref="Y186">INDEX('KALENDER MINGGU'!$C$6:$C$21,V186)</f>
        <v>46337</v>
      </c>
      <c r="AB186" s="109" t="str">
        <f t="shared" si="130"/>
        <v>■</v>
      </c>
      <c r="AC186" s="109" t="str">
        <f t="shared" si="131"/>
        <v>■</v>
      </c>
      <c r="AD186" s="109" t="str">
        <f t="shared" si="132"/>
        <v>■</v>
      </c>
      <c r="AE186" s="109" t="str">
        <f t="shared" si="133"/>
        <v>■</v>
      </c>
      <c r="AF186" s="109" t="str">
        <f t="shared" si="134"/>
        <v>■</v>
      </c>
      <c r="AG186" s="109" t="str">
        <f t="shared" si="135"/>
        <v>■</v>
      </c>
      <c r="AH186" s="109" t="str">
        <f t="shared" si="136"/>
        <v>■</v>
      </c>
      <c r="AI186" s="109" t="str">
        <f t="shared" si="137"/>
        <v>■</v>
      </c>
      <c r="AJ186" s="109" t="str">
        <f t="shared" si="138"/>
        <v>■</v>
      </c>
      <c r="AK186" s="109" t="str">
        <f t="shared" si="139"/>
        <v>■</v>
      </c>
      <c r="AL186" s="109" t="str">
        <f t="shared" si="140"/>
        <v>■</v>
      </c>
      <c r="AM186" s="109" t="str">
        <f t="shared" si="141"/>
        <v>■</v>
      </c>
      <c r="AN186" s="109" t="str">
        <f t="shared" si="142"/>
        <v>■</v>
      </c>
      <c r="AO186" s="109" t="str">
        <f t="shared" si="143"/>
        <v>■</v>
      </c>
      <c r="AP186" s="109" t="str">
        <f t="shared" si="144"/>
        <v>■</v>
      </c>
      <c r="AQ186" s="109" t="str">
        <f t="shared" si="145"/>
        <v>■</v>
      </c>
    </row>
    <row r="187" spans="1:44" ht="14.25" customHeight="1" x14ac:dyDescent="0.2">
      <c r="A187" s="6"/>
      <c r="B187" s="23">
        <v>5</v>
      </c>
      <c r="C187" s="46" t="s">
        <v>322</v>
      </c>
      <c r="D187" s="25" t="s">
        <v>323</v>
      </c>
      <c r="E187" s="48">
        <f>E183</f>
        <v>155.4</v>
      </c>
      <c r="F187" s="27" t="s">
        <v>135</v>
      </c>
      <c r="G187" s="28">
        <v>180000</v>
      </c>
      <c r="H187" s="28"/>
      <c r="I187" s="30"/>
      <c r="J187" s="31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112">
        <v>1</v>
      </c>
      <c r="V187" s="112">
        <v>16</v>
      </c>
      <c r="W187" s="109">
        <f t="shared" si="129"/>
        <v>16</v>
      </c>
      <c r="X187" s="110">
        <f t="array" ref="X187">INDEX('KALENDER MINGGU'!$B$6:$B$21,U187)</f>
        <v>46226</v>
      </c>
      <c r="Y187" s="110">
        <f t="array" ref="Y187">INDEX('KALENDER MINGGU'!$C$6:$C$21,V187)</f>
        <v>46337</v>
      </c>
      <c r="AB187" s="109" t="str">
        <f t="shared" si="130"/>
        <v>■</v>
      </c>
      <c r="AC187" s="109" t="str">
        <f t="shared" si="131"/>
        <v>■</v>
      </c>
      <c r="AD187" s="109" t="str">
        <f t="shared" si="132"/>
        <v>■</v>
      </c>
      <c r="AE187" s="109" t="str">
        <f t="shared" si="133"/>
        <v>■</v>
      </c>
      <c r="AF187" s="109" t="str">
        <f t="shared" si="134"/>
        <v>■</v>
      </c>
      <c r="AG187" s="109" t="str">
        <f t="shared" si="135"/>
        <v>■</v>
      </c>
      <c r="AH187" s="109" t="str">
        <f t="shared" si="136"/>
        <v>■</v>
      </c>
      <c r="AI187" s="109" t="str">
        <f t="shared" si="137"/>
        <v>■</v>
      </c>
      <c r="AJ187" s="109" t="str">
        <f t="shared" si="138"/>
        <v>■</v>
      </c>
      <c r="AK187" s="109" t="str">
        <f t="shared" si="139"/>
        <v>■</v>
      </c>
      <c r="AL187" s="109" t="str">
        <f t="shared" si="140"/>
        <v>■</v>
      </c>
      <c r="AM187" s="109" t="str">
        <f t="shared" si="141"/>
        <v>■</v>
      </c>
      <c r="AN187" s="109" t="str">
        <f t="shared" si="142"/>
        <v>■</v>
      </c>
      <c r="AO187" s="109" t="str">
        <f t="shared" si="143"/>
        <v>■</v>
      </c>
      <c r="AP187" s="109" t="str">
        <f t="shared" si="144"/>
        <v>■</v>
      </c>
      <c r="AQ187" s="109" t="str">
        <f t="shared" si="145"/>
        <v>■</v>
      </c>
    </row>
    <row r="188" spans="1:44" ht="14.25" customHeight="1" x14ac:dyDescent="0.2">
      <c r="A188" s="6"/>
      <c r="B188" s="23">
        <v>6</v>
      </c>
      <c r="C188" s="46" t="s">
        <v>324</v>
      </c>
      <c r="D188" s="25" t="s">
        <v>325</v>
      </c>
      <c r="E188" s="48">
        <v>4</v>
      </c>
      <c r="F188" s="27" t="s">
        <v>73</v>
      </c>
      <c r="G188" s="28">
        <v>11050000</v>
      </c>
      <c r="H188" s="28"/>
      <c r="I188" s="30"/>
      <c r="J188" s="31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112">
        <v>1</v>
      </c>
      <c r="V188" s="112">
        <v>16</v>
      </c>
      <c r="W188" s="109">
        <f t="shared" si="129"/>
        <v>16</v>
      </c>
      <c r="X188" s="110">
        <f t="array" ref="X188">INDEX('KALENDER MINGGU'!$B$6:$B$21,U188)</f>
        <v>46226</v>
      </c>
      <c r="Y188" s="110">
        <f t="array" ref="Y188">INDEX('KALENDER MINGGU'!$C$6:$C$21,V188)</f>
        <v>46337</v>
      </c>
      <c r="AB188" s="109" t="str">
        <f t="shared" si="130"/>
        <v>■</v>
      </c>
      <c r="AC188" s="109" t="str">
        <f t="shared" si="131"/>
        <v>■</v>
      </c>
      <c r="AD188" s="109" t="str">
        <f t="shared" si="132"/>
        <v>■</v>
      </c>
      <c r="AE188" s="109" t="str">
        <f t="shared" si="133"/>
        <v>■</v>
      </c>
      <c r="AF188" s="109" t="str">
        <f t="shared" si="134"/>
        <v>■</v>
      </c>
      <c r="AG188" s="109" t="str">
        <f t="shared" si="135"/>
        <v>■</v>
      </c>
      <c r="AH188" s="109" t="str">
        <f t="shared" si="136"/>
        <v>■</v>
      </c>
      <c r="AI188" s="109" t="str">
        <f t="shared" si="137"/>
        <v>■</v>
      </c>
      <c r="AJ188" s="109" t="str">
        <f t="shared" si="138"/>
        <v>■</v>
      </c>
      <c r="AK188" s="109" t="str">
        <f t="shared" si="139"/>
        <v>■</v>
      </c>
      <c r="AL188" s="109" t="str">
        <f t="shared" si="140"/>
        <v>■</v>
      </c>
      <c r="AM188" s="109" t="str">
        <f t="shared" si="141"/>
        <v>■</v>
      </c>
      <c r="AN188" s="109" t="str">
        <f t="shared" si="142"/>
        <v>■</v>
      </c>
      <c r="AO188" s="109" t="str">
        <f t="shared" si="143"/>
        <v>■</v>
      </c>
      <c r="AP188" s="109" t="str">
        <f t="shared" si="144"/>
        <v>■</v>
      </c>
      <c r="AQ188" s="109" t="str">
        <f t="shared" si="145"/>
        <v>■</v>
      </c>
    </row>
    <row r="189" spans="1:44" ht="14.25" customHeight="1" x14ac:dyDescent="0.2">
      <c r="A189" s="6"/>
      <c r="B189" s="23">
        <v>7</v>
      </c>
      <c r="C189" s="46" t="s">
        <v>326</v>
      </c>
      <c r="D189" s="25" t="s">
        <v>327</v>
      </c>
      <c r="E189" s="48">
        <v>15</v>
      </c>
      <c r="F189" s="27" t="s">
        <v>267</v>
      </c>
      <c r="G189" s="28">
        <v>200000</v>
      </c>
      <c r="H189" s="28"/>
      <c r="I189" s="30"/>
      <c r="J189" s="31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112">
        <v>1</v>
      </c>
      <c r="V189" s="112">
        <v>16</v>
      </c>
      <c r="W189" s="109">
        <f t="shared" si="129"/>
        <v>16</v>
      </c>
      <c r="X189" s="110">
        <f t="array" ref="X189">INDEX('KALENDER MINGGU'!$B$6:$B$21,U189)</f>
        <v>46226</v>
      </c>
      <c r="Y189" s="110">
        <f t="array" ref="Y189">INDEX('KALENDER MINGGU'!$C$6:$C$21,V189)</f>
        <v>46337</v>
      </c>
      <c r="AB189" s="109" t="str">
        <f t="shared" si="130"/>
        <v>■</v>
      </c>
      <c r="AC189" s="109" t="str">
        <f t="shared" si="131"/>
        <v>■</v>
      </c>
      <c r="AD189" s="109" t="str">
        <f t="shared" si="132"/>
        <v>■</v>
      </c>
      <c r="AE189" s="109" t="str">
        <f t="shared" si="133"/>
        <v>■</v>
      </c>
      <c r="AF189" s="109" t="str">
        <f t="shared" si="134"/>
        <v>■</v>
      </c>
      <c r="AG189" s="109" t="str">
        <f t="shared" si="135"/>
        <v>■</v>
      </c>
      <c r="AH189" s="109" t="str">
        <f t="shared" si="136"/>
        <v>■</v>
      </c>
      <c r="AI189" s="109" t="str">
        <f t="shared" si="137"/>
        <v>■</v>
      </c>
      <c r="AJ189" s="109" t="str">
        <f t="shared" si="138"/>
        <v>■</v>
      </c>
      <c r="AK189" s="109" t="str">
        <f t="shared" si="139"/>
        <v>■</v>
      </c>
      <c r="AL189" s="109" t="str">
        <f t="shared" si="140"/>
        <v>■</v>
      </c>
      <c r="AM189" s="109" t="str">
        <f t="shared" si="141"/>
        <v>■</v>
      </c>
      <c r="AN189" s="109" t="str">
        <f t="shared" si="142"/>
        <v>■</v>
      </c>
      <c r="AO189" s="109" t="str">
        <f t="shared" si="143"/>
        <v>■</v>
      </c>
      <c r="AP189" s="109" t="str">
        <f t="shared" si="144"/>
        <v>■</v>
      </c>
      <c r="AQ189" s="109" t="str">
        <f t="shared" si="145"/>
        <v>■</v>
      </c>
    </row>
    <row r="190" spans="1:44" ht="14.25" customHeight="1" x14ac:dyDescent="0.2">
      <c r="A190" s="6"/>
      <c r="B190" s="23"/>
      <c r="C190" s="46"/>
      <c r="D190" s="25"/>
      <c r="E190" s="48"/>
      <c r="F190" s="27"/>
      <c r="G190" s="28"/>
      <c r="H190" s="79">
        <f>SUM(H183:H189)</f>
        <v>0</v>
      </c>
      <c r="I190" s="30"/>
      <c r="J190" s="31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44" ht="14.25" customHeight="1" x14ac:dyDescent="0.2">
      <c r="A191" s="6"/>
      <c r="B191" s="77"/>
      <c r="C191" s="80"/>
      <c r="D191" s="25"/>
      <c r="E191" s="48"/>
      <c r="F191" s="27"/>
      <c r="G191" s="28"/>
      <c r="H191" s="28"/>
      <c r="I191" s="30"/>
      <c r="J191" s="31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44" ht="14.25" customHeight="1" x14ac:dyDescent="0.2">
      <c r="A192" s="6"/>
      <c r="B192" s="77" t="s">
        <v>80</v>
      </c>
      <c r="C192" s="80" t="s">
        <v>522</v>
      </c>
      <c r="D192" s="25"/>
      <c r="E192" s="48"/>
      <c r="F192" s="27"/>
      <c r="G192" s="28"/>
      <c r="H192" s="28"/>
      <c r="I192" s="30"/>
      <c r="J192" s="31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44" ht="14.25" customHeight="1" x14ac:dyDescent="0.2">
      <c r="A193" s="6"/>
      <c r="B193" s="23">
        <v>1</v>
      </c>
      <c r="C193" s="46" t="s">
        <v>329</v>
      </c>
      <c r="D193" s="25" t="s">
        <v>319</v>
      </c>
      <c r="E193" s="48">
        <v>39</v>
      </c>
      <c r="F193" s="27" t="s">
        <v>135</v>
      </c>
      <c r="G193" s="28">
        <v>350000</v>
      </c>
      <c r="H193" s="28">
        <f>E193*G193</f>
        <v>13650000</v>
      </c>
      <c r="I193" s="30">
        <v>3908731694</v>
      </c>
      <c r="J193" s="31">
        <f>H193/I193*100</f>
        <v>0.34921813694588166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108">
        <v>9</v>
      </c>
      <c r="V193" s="108">
        <v>14</v>
      </c>
      <c r="W193" s="109">
        <f t="shared" ref="W193:W199" si="146">MAX(1,V193-U193+1)</f>
        <v>6</v>
      </c>
      <c r="X193" s="110">
        <f t="array" ref="X193">INDEX('KALENDER MINGGU'!$B$6:$B$21,U193)</f>
        <v>46282</v>
      </c>
      <c r="Y193" s="110">
        <f t="array" ref="Y193">INDEX('KALENDER MINGGU'!$C$6:$C$21,V193)</f>
        <v>46323</v>
      </c>
      <c r="AB193" s="109" t="str">
        <f t="shared" ref="AB193:AB199" si="147">IF(AND($U193&lt;=1,$V193&gt;=1),"■","")</f>
        <v/>
      </c>
      <c r="AC193" s="109" t="str">
        <f t="shared" ref="AC193:AC199" si="148">IF(AND($U193&lt;=2,$V193&gt;=2),"■","")</f>
        <v/>
      </c>
      <c r="AD193" s="109" t="str">
        <f t="shared" ref="AD193:AD199" si="149">IF(AND($U193&lt;=3,$V193&gt;=3),"■","")</f>
        <v/>
      </c>
      <c r="AE193" s="109" t="str">
        <f t="shared" ref="AE193:AE199" si="150">IF(AND($U193&lt;=4,$V193&gt;=4),"■","")</f>
        <v/>
      </c>
      <c r="AF193" s="109" t="str">
        <f t="shared" ref="AF193:AF199" si="151">IF(AND($U193&lt;=5,$V193&gt;=5),"■","")</f>
        <v/>
      </c>
      <c r="AG193" s="109" t="str">
        <f t="shared" ref="AG193:AG199" si="152">IF(AND($U193&lt;=6,$V193&gt;=6),"■","")</f>
        <v/>
      </c>
      <c r="AH193" s="109" t="str">
        <f t="shared" ref="AH193:AH199" si="153">IF(AND($U193&lt;=7,$V193&gt;=7),"■","")</f>
        <v/>
      </c>
      <c r="AI193" s="109" t="str">
        <f t="shared" ref="AI193:AI199" si="154">IF(AND($U193&lt;=8,$V193&gt;=8),"■","")</f>
        <v/>
      </c>
      <c r="AJ193" s="109" t="str">
        <f t="shared" ref="AJ193:AJ199" si="155">IF(AND($U193&lt;=9,$V193&gt;=9),"■","")</f>
        <v>■</v>
      </c>
      <c r="AK193" s="109" t="str">
        <f t="shared" ref="AK193:AK199" si="156">IF(AND($U193&lt;=10,$V193&gt;=10),"■","")</f>
        <v>■</v>
      </c>
      <c r="AL193" s="109" t="str">
        <f t="shared" ref="AL193:AL199" si="157">IF(AND($U193&lt;=11,$V193&gt;=11),"■","")</f>
        <v>■</v>
      </c>
      <c r="AM193" s="109" t="str">
        <f t="shared" ref="AM193:AM199" si="158">IF(AND($U193&lt;=12,$V193&gt;=12),"■","")</f>
        <v>■</v>
      </c>
      <c r="AN193" s="109" t="str">
        <f t="shared" ref="AN193:AN199" si="159">IF(AND($U193&lt;=13,$V193&gt;=13),"■","")</f>
        <v>■</v>
      </c>
      <c r="AO193" s="109" t="str">
        <f t="shared" ref="AO193:AO199" si="160">IF(AND($U193&lt;=14,$V193&gt;=14),"■","")</f>
        <v>■</v>
      </c>
      <c r="AP193" s="109" t="str">
        <f t="shared" ref="AP193:AP199" si="161">IF(AND($U193&lt;=15,$V193&gt;=15),"■","")</f>
        <v/>
      </c>
      <c r="AQ193" s="109" t="str">
        <f t="shared" ref="AQ193:AQ199" si="162">IF(AND($U193&lt;=16,$V193&gt;=16),"■","")</f>
        <v/>
      </c>
      <c r="AR193" t="s">
        <v>523</v>
      </c>
    </row>
    <row r="194" spans="1:44" ht="14.25" customHeight="1" x14ac:dyDescent="0.2">
      <c r="A194" s="6"/>
      <c r="B194" s="23">
        <v>2</v>
      </c>
      <c r="C194" s="46" t="s">
        <v>330</v>
      </c>
      <c r="D194" s="25" t="s">
        <v>331</v>
      </c>
      <c r="E194" s="48">
        <v>1</v>
      </c>
      <c r="F194" s="27" t="s">
        <v>73</v>
      </c>
      <c r="G194" s="28">
        <v>3000000</v>
      </c>
      <c r="H194" s="28">
        <f>E194*G194</f>
        <v>3000000</v>
      </c>
      <c r="I194" s="30">
        <v>3908731694</v>
      </c>
      <c r="J194" s="31">
        <f>H194/I194*100</f>
        <v>7.6751238889204765E-2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108">
        <v>9</v>
      </c>
      <c r="V194" s="108">
        <v>14</v>
      </c>
      <c r="W194" s="109">
        <f t="shared" si="146"/>
        <v>6</v>
      </c>
      <c r="X194" s="110">
        <f t="array" ref="X194">INDEX('KALENDER MINGGU'!$B$6:$B$21,U194)</f>
        <v>46282</v>
      </c>
      <c r="Y194" s="110">
        <f t="array" ref="Y194">INDEX('KALENDER MINGGU'!$C$6:$C$21,V194)</f>
        <v>46323</v>
      </c>
      <c r="AB194" s="109" t="str">
        <f t="shared" si="147"/>
        <v/>
      </c>
      <c r="AC194" s="109" t="str">
        <f t="shared" si="148"/>
        <v/>
      </c>
      <c r="AD194" s="109" t="str">
        <f t="shared" si="149"/>
        <v/>
      </c>
      <c r="AE194" s="109" t="str">
        <f t="shared" si="150"/>
        <v/>
      </c>
      <c r="AF194" s="109" t="str">
        <f t="shared" si="151"/>
        <v/>
      </c>
      <c r="AG194" s="109" t="str">
        <f t="shared" si="152"/>
        <v/>
      </c>
      <c r="AH194" s="109" t="str">
        <f t="shared" si="153"/>
        <v/>
      </c>
      <c r="AI194" s="109" t="str">
        <f t="shared" si="154"/>
        <v/>
      </c>
      <c r="AJ194" s="109" t="str">
        <f t="shared" si="155"/>
        <v>■</v>
      </c>
      <c r="AK194" s="109" t="str">
        <f t="shared" si="156"/>
        <v>■</v>
      </c>
      <c r="AL194" s="109" t="str">
        <f t="shared" si="157"/>
        <v>■</v>
      </c>
      <c r="AM194" s="109" t="str">
        <f t="shared" si="158"/>
        <v>■</v>
      </c>
      <c r="AN194" s="109" t="str">
        <f t="shared" si="159"/>
        <v>■</v>
      </c>
      <c r="AO194" s="109" t="str">
        <f t="shared" si="160"/>
        <v>■</v>
      </c>
      <c r="AP194" s="109" t="str">
        <f t="shared" si="161"/>
        <v/>
      </c>
      <c r="AQ194" s="109" t="str">
        <f t="shared" si="162"/>
        <v/>
      </c>
      <c r="AR194" t="s">
        <v>524</v>
      </c>
    </row>
    <row r="195" spans="1:44" ht="14.25" customHeight="1" x14ac:dyDescent="0.2">
      <c r="A195" s="6"/>
      <c r="B195" s="23">
        <v>3</v>
      </c>
      <c r="C195" s="46" t="s">
        <v>332</v>
      </c>
      <c r="D195" s="25" t="s">
        <v>333</v>
      </c>
      <c r="E195" s="48">
        <v>110</v>
      </c>
      <c r="F195" s="27" t="s">
        <v>135</v>
      </c>
      <c r="G195" s="28">
        <v>185000</v>
      </c>
      <c r="H195" s="28">
        <f>E195*G195</f>
        <v>20350000</v>
      </c>
      <c r="I195" s="30">
        <v>3908731694</v>
      </c>
      <c r="J195" s="31">
        <f>H195/I195*100</f>
        <v>0.52062923713177223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108">
        <v>6</v>
      </c>
      <c r="V195" s="108">
        <v>8</v>
      </c>
      <c r="W195" s="109">
        <f t="shared" si="146"/>
        <v>3</v>
      </c>
      <c r="X195" s="110">
        <f t="array" ref="X195">INDEX('KALENDER MINGGU'!$B$6:$B$21,U195)</f>
        <v>46261</v>
      </c>
      <c r="Y195" s="110">
        <f t="array" ref="Y195">INDEX('KALENDER MINGGU'!$C$6:$C$21,V195)</f>
        <v>46281</v>
      </c>
      <c r="AB195" s="109" t="str">
        <f t="shared" si="147"/>
        <v/>
      </c>
      <c r="AC195" s="109" t="str">
        <f t="shared" si="148"/>
        <v/>
      </c>
      <c r="AD195" s="109" t="str">
        <f t="shared" si="149"/>
        <v/>
      </c>
      <c r="AE195" s="109" t="str">
        <f t="shared" si="150"/>
        <v/>
      </c>
      <c r="AF195" s="109" t="str">
        <f t="shared" si="151"/>
        <v/>
      </c>
      <c r="AG195" s="109" t="str">
        <f t="shared" si="152"/>
        <v>■</v>
      </c>
      <c r="AH195" s="109" t="str">
        <f t="shared" si="153"/>
        <v>■</v>
      </c>
      <c r="AI195" s="109" t="str">
        <f t="shared" si="154"/>
        <v>■</v>
      </c>
      <c r="AJ195" s="109" t="str">
        <f t="shared" si="155"/>
        <v/>
      </c>
      <c r="AK195" s="109" t="str">
        <f t="shared" si="156"/>
        <v/>
      </c>
      <c r="AL195" s="109" t="str">
        <f t="shared" si="157"/>
        <v/>
      </c>
      <c r="AM195" s="109" t="str">
        <f t="shared" si="158"/>
        <v/>
      </c>
      <c r="AN195" s="109" t="str">
        <f t="shared" si="159"/>
        <v/>
      </c>
      <c r="AO195" s="109" t="str">
        <f t="shared" si="160"/>
        <v/>
      </c>
      <c r="AP195" s="109" t="str">
        <f t="shared" si="161"/>
        <v/>
      </c>
      <c r="AQ195" s="109" t="str">
        <f t="shared" si="162"/>
        <v/>
      </c>
      <c r="AR195" t="s">
        <v>525</v>
      </c>
    </row>
    <row r="196" spans="1:44" ht="14.25" customHeight="1" x14ac:dyDescent="0.2">
      <c r="A196" s="6"/>
      <c r="B196" s="23">
        <v>4</v>
      </c>
      <c r="C196" s="46" t="s">
        <v>332</v>
      </c>
      <c r="D196" s="25" t="s">
        <v>333</v>
      </c>
      <c r="E196" s="48">
        <v>160</v>
      </c>
      <c r="F196" s="27" t="s">
        <v>135</v>
      </c>
      <c r="G196" s="28">
        <v>185000</v>
      </c>
      <c r="H196" s="28"/>
      <c r="I196" s="30"/>
      <c r="J196" s="31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108">
        <v>9</v>
      </c>
      <c r="V196" s="108">
        <v>14</v>
      </c>
      <c r="W196" s="109">
        <f t="shared" si="146"/>
        <v>6</v>
      </c>
      <c r="X196" s="110">
        <f t="array" ref="X196">INDEX('KALENDER MINGGU'!$B$6:$B$21,U196)</f>
        <v>46282</v>
      </c>
      <c r="Y196" s="110">
        <f t="array" ref="Y196">INDEX('KALENDER MINGGU'!$C$6:$C$21,V196)</f>
        <v>46323</v>
      </c>
      <c r="AB196" s="109" t="str">
        <f t="shared" si="147"/>
        <v/>
      </c>
      <c r="AC196" s="109" t="str">
        <f t="shared" si="148"/>
        <v/>
      </c>
      <c r="AD196" s="109" t="str">
        <f t="shared" si="149"/>
        <v/>
      </c>
      <c r="AE196" s="109" t="str">
        <f t="shared" si="150"/>
        <v/>
      </c>
      <c r="AF196" s="109" t="str">
        <f t="shared" si="151"/>
        <v/>
      </c>
      <c r="AG196" s="109" t="str">
        <f t="shared" si="152"/>
        <v/>
      </c>
      <c r="AH196" s="109" t="str">
        <f t="shared" si="153"/>
        <v/>
      </c>
      <c r="AI196" s="109" t="str">
        <f t="shared" si="154"/>
        <v/>
      </c>
      <c r="AJ196" s="109" t="str">
        <f t="shared" si="155"/>
        <v>■</v>
      </c>
      <c r="AK196" s="109" t="str">
        <f t="shared" si="156"/>
        <v>■</v>
      </c>
      <c r="AL196" s="109" t="str">
        <f t="shared" si="157"/>
        <v>■</v>
      </c>
      <c r="AM196" s="109" t="str">
        <f t="shared" si="158"/>
        <v>■</v>
      </c>
      <c r="AN196" s="109" t="str">
        <f t="shared" si="159"/>
        <v>■</v>
      </c>
      <c r="AO196" s="109" t="str">
        <f t="shared" si="160"/>
        <v>■</v>
      </c>
      <c r="AP196" s="109" t="str">
        <f t="shared" si="161"/>
        <v/>
      </c>
      <c r="AQ196" s="109" t="str">
        <f t="shared" si="162"/>
        <v/>
      </c>
    </row>
    <row r="197" spans="1:44" ht="14.25" customHeight="1" x14ac:dyDescent="0.2">
      <c r="A197" s="6"/>
      <c r="B197" s="23">
        <v>5</v>
      </c>
      <c r="C197" s="46" t="s">
        <v>334</v>
      </c>
      <c r="D197" s="25" t="s">
        <v>335</v>
      </c>
      <c r="E197" s="48">
        <v>0</v>
      </c>
      <c r="F197" s="27" t="s">
        <v>135</v>
      </c>
      <c r="G197" s="28">
        <v>280000</v>
      </c>
      <c r="H197" s="28"/>
      <c r="I197" s="30"/>
      <c r="J197" s="31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108">
        <v>9</v>
      </c>
      <c r="V197" s="108">
        <v>14</v>
      </c>
      <c r="W197" s="109">
        <f t="shared" si="146"/>
        <v>6</v>
      </c>
      <c r="X197" s="110">
        <f t="array" ref="X197">INDEX('KALENDER MINGGU'!$B$6:$B$21,U197)</f>
        <v>46282</v>
      </c>
      <c r="Y197" s="110">
        <f t="array" ref="Y197">INDEX('KALENDER MINGGU'!$C$6:$C$21,V197)</f>
        <v>46323</v>
      </c>
      <c r="AB197" s="109" t="str">
        <f t="shared" si="147"/>
        <v/>
      </c>
      <c r="AC197" s="109" t="str">
        <f t="shared" si="148"/>
        <v/>
      </c>
      <c r="AD197" s="109" t="str">
        <f t="shared" si="149"/>
        <v/>
      </c>
      <c r="AE197" s="109" t="str">
        <f t="shared" si="150"/>
        <v/>
      </c>
      <c r="AF197" s="109" t="str">
        <f t="shared" si="151"/>
        <v/>
      </c>
      <c r="AG197" s="109" t="str">
        <f t="shared" si="152"/>
        <v/>
      </c>
      <c r="AH197" s="109" t="str">
        <f t="shared" si="153"/>
        <v/>
      </c>
      <c r="AI197" s="109" t="str">
        <f t="shared" si="154"/>
        <v/>
      </c>
      <c r="AJ197" s="109" t="str">
        <f t="shared" si="155"/>
        <v>■</v>
      </c>
      <c r="AK197" s="109" t="str">
        <f t="shared" si="156"/>
        <v>■</v>
      </c>
      <c r="AL197" s="109" t="str">
        <f t="shared" si="157"/>
        <v>■</v>
      </c>
      <c r="AM197" s="109" t="str">
        <f t="shared" si="158"/>
        <v>■</v>
      </c>
      <c r="AN197" s="109" t="str">
        <f t="shared" si="159"/>
        <v>■</v>
      </c>
      <c r="AO197" s="109" t="str">
        <f t="shared" si="160"/>
        <v>■</v>
      </c>
      <c r="AP197" s="109" t="str">
        <f t="shared" si="161"/>
        <v/>
      </c>
      <c r="AQ197" s="109" t="str">
        <f t="shared" si="162"/>
        <v/>
      </c>
    </row>
    <row r="198" spans="1:44" ht="14.25" customHeight="1" x14ac:dyDescent="0.2">
      <c r="A198" s="6"/>
      <c r="B198" s="23">
        <v>6</v>
      </c>
      <c r="C198" s="46" t="s">
        <v>336</v>
      </c>
      <c r="D198" s="25" t="s">
        <v>337</v>
      </c>
      <c r="E198" s="48">
        <v>6</v>
      </c>
      <c r="F198" s="27" t="s">
        <v>267</v>
      </c>
      <c r="G198" s="28">
        <v>295000</v>
      </c>
      <c r="H198" s="28">
        <f t="shared" ref="H198:H203" si="163">E198*G198</f>
        <v>1770000</v>
      </c>
      <c r="I198" s="30">
        <v>3908731694</v>
      </c>
      <c r="J198" s="31">
        <f t="shared" ref="J198:J204" si="164">H198/I198*100</f>
        <v>4.5283230944630805E-2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108">
        <v>9</v>
      </c>
      <c r="V198" s="108">
        <v>14</v>
      </c>
      <c r="W198" s="109">
        <f t="shared" si="146"/>
        <v>6</v>
      </c>
      <c r="X198" s="110">
        <f t="array" ref="X198">INDEX('KALENDER MINGGU'!$B$6:$B$21,U198)</f>
        <v>46282</v>
      </c>
      <c r="Y198" s="110">
        <f t="array" ref="Y198">INDEX('KALENDER MINGGU'!$C$6:$C$21,V198)</f>
        <v>46323</v>
      </c>
      <c r="AB198" s="109" t="str">
        <f t="shared" si="147"/>
        <v/>
      </c>
      <c r="AC198" s="109" t="str">
        <f t="shared" si="148"/>
        <v/>
      </c>
      <c r="AD198" s="109" t="str">
        <f t="shared" si="149"/>
        <v/>
      </c>
      <c r="AE198" s="109" t="str">
        <f t="shared" si="150"/>
        <v/>
      </c>
      <c r="AF198" s="109" t="str">
        <f t="shared" si="151"/>
        <v/>
      </c>
      <c r="AG198" s="109" t="str">
        <f t="shared" si="152"/>
        <v/>
      </c>
      <c r="AH198" s="109" t="str">
        <f t="shared" si="153"/>
        <v/>
      </c>
      <c r="AI198" s="109" t="str">
        <f t="shared" si="154"/>
        <v/>
      </c>
      <c r="AJ198" s="109" t="str">
        <f t="shared" si="155"/>
        <v>■</v>
      </c>
      <c r="AK198" s="109" t="str">
        <f t="shared" si="156"/>
        <v>■</v>
      </c>
      <c r="AL198" s="109" t="str">
        <f t="shared" si="157"/>
        <v>■</v>
      </c>
      <c r="AM198" s="109" t="str">
        <f t="shared" si="158"/>
        <v>■</v>
      </c>
      <c r="AN198" s="109" t="str">
        <f t="shared" si="159"/>
        <v>■</v>
      </c>
      <c r="AO198" s="109" t="str">
        <f t="shared" si="160"/>
        <v>■</v>
      </c>
      <c r="AP198" s="109" t="str">
        <f t="shared" si="161"/>
        <v/>
      </c>
      <c r="AQ198" s="109" t="str">
        <f t="shared" si="162"/>
        <v/>
      </c>
      <c r="AR198" t="s">
        <v>526</v>
      </c>
    </row>
    <row r="199" spans="1:44" ht="14.25" customHeight="1" x14ac:dyDescent="0.2">
      <c r="A199" s="6"/>
      <c r="B199" s="23">
        <v>7</v>
      </c>
      <c r="C199" s="46" t="s">
        <v>336</v>
      </c>
      <c r="D199" s="25" t="s">
        <v>338</v>
      </c>
      <c r="E199" s="48">
        <v>8</v>
      </c>
      <c r="F199" s="27" t="s">
        <v>267</v>
      </c>
      <c r="G199" s="28">
        <v>800000</v>
      </c>
      <c r="H199" s="28">
        <f t="shared" si="163"/>
        <v>6400000</v>
      </c>
      <c r="I199" s="30">
        <v>3908731694</v>
      </c>
      <c r="J199" s="31">
        <f t="shared" si="164"/>
        <v>0.16373597629697018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108">
        <v>9</v>
      </c>
      <c r="V199" s="108">
        <v>14</v>
      </c>
      <c r="W199" s="109">
        <f t="shared" si="146"/>
        <v>6</v>
      </c>
      <c r="X199" s="110">
        <f t="array" ref="X199">INDEX('KALENDER MINGGU'!$B$6:$B$21,U199)</f>
        <v>46282</v>
      </c>
      <c r="Y199" s="110">
        <f t="array" ref="Y199">INDEX('KALENDER MINGGU'!$C$6:$C$21,V199)</f>
        <v>46323</v>
      </c>
      <c r="AB199" s="109" t="str">
        <f t="shared" si="147"/>
        <v/>
      </c>
      <c r="AC199" s="109" t="str">
        <f t="shared" si="148"/>
        <v/>
      </c>
      <c r="AD199" s="109" t="str">
        <f t="shared" si="149"/>
        <v/>
      </c>
      <c r="AE199" s="109" t="str">
        <f t="shared" si="150"/>
        <v/>
      </c>
      <c r="AF199" s="109" t="str">
        <f t="shared" si="151"/>
        <v/>
      </c>
      <c r="AG199" s="109" t="str">
        <f t="shared" si="152"/>
        <v/>
      </c>
      <c r="AH199" s="109" t="str">
        <f t="shared" si="153"/>
        <v/>
      </c>
      <c r="AI199" s="109" t="str">
        <f t="shared" si="154"/>
        <v/>
      </c>
      <c r="AJ199" s="109" t="str">
        <f t="shared" si="155"/>
        <v>■</v>
      </c>
      <c r="AK199" s="109" t="str">
        <f t="shared" si="156"/>
        <v>■</v>
      </c>
      <c r="AL199" s="109" t="str">
        <f t="shared" si="157"/>
        <v>■</v>
      </c>
      <c r="AM199" s="109" t="str">
        <f t="shared" si="158"/>
        <v>■</v>
      </c>
      <c r="AN199" s="109" t="str">
        <f t="shared" si="159"/>
        <v>■</v>
      </c>
      <c r="AO199" s="109" t="str">
        <f t="shared" si="160"/>
        <v>■</v>
      </c>
      <c r="AP199" s="109" t="str">
        <f t="shared" si="161"/>
        <v/>
      </c>
      <c r="AQ199" s="109" t="str">
        <f t="shared" si="162"/>
        <v/>
      </c>
      <c r="AR199" t="s">
        <v>527</v>
      </c>
    </row>
    <row r="200" spans="1:44" ht="14.25" customHeight="1" x14ac:dyDescent="0.2">
      <c r="A200" s="6"/>
      <c r="B200" s="23"/>
      <c r="C200" s="46"/>
      <c r="D200" s="25" t="s">
        <v>339</v>
      </c>
      <c r="E200" s="51">
        <v>50</v>
      </c>
      <c r="F200" s="27" t="s">
        <v>70</v>
      </c>
      <c r="G200" s="28">
        <v>100000</v>
      </c>
      <c r="H200" s="28">
        <f t="shared" si="163"/>
        <v>5000000</v>
      </c>
      <c r="I200" s="30">
        <v>3908731694</v>
      </c>
      <c r="J200" s="31">
        <f t="shared" si="164"/>
        <v>0.12791873148200794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>
        <v>9</v>
      </c>
      <c r="V200">
        <v>14</v>
      </c>
    </row>
    <row r="201" spans="1:44" ht="14.25" customHeight="1" x14ac:dyDescent="0.2">
      <c r="A201" s="6"/>
      <c r="B201" s="23">
        <v>8</v>
      </c>
      <c r="C201" s="83" t="s">
        <v>340</v>
      </c>
      <c r="D201" s="25" t="s">
        <v>341</v>
      </c>
      <c r="E201" s="51">
        <v>6</v>
      </c>
      <c r="F201" s="27" t="s">
        <v>267</v>
      </c>
      <c r="G201" s="28">
        <v>2500000</v>
      </c>
      <c r="H201" s="28">
        <f t="shared" si="163"/>
        <v>15000000</v>
      </c>
      <c r="I201" s="30">
        <v>3908731694</v>
      </c>
      <c r="J201" s="31">
        <f t="shared" si="164"/>
        <v>0.38375619444602382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108">
        <v>9</v>
      </c>
      <c r="V201" s="108">
        <v>14</v>
      </c>
      <c r="W201" s="109">
        <f>MAX(1,V201-U201+1)</f>
        <v>6</v>
      </c>
      <c r="X201" s="110">
        <f t="array" ref="X201">INDEX('KALENDER MINGGU'!$B$6:$B$21,U201)</f>
        <v>46282</v>
      </c>
      <c r="Y201" s="110">
        <f t="array" ref="Y201">INDEX('KALENDER MINGGU'!$C$6:$C$21,V201)</f>
        <v>46323</v>
      </c>
      <c r="AB201" s="109" t="str">
        <f>IF(AND($U201&lt;=1,$V201&gt;=1),"■","")</f>
        <v/>
      </c>
      <c r="AC201" s="109" t="str">
        <f>IF(AND($U201&lt;=2,$V201&gt;=2),"■","")</f>
        <v/>
      </c>
      <c r="AD201" s="109" t="str">
        <f>IF(AND($U201&lt;=3,$V201&gt;=3),"■","")</f>
        <v/>
      </c>
      <c r="AE201" s="109" t="str">
        <f>IF(AND($U201&lt;=4,$V201&gt;=4),"■","")</f>
        <v/>
      </c>
      <c r="AF201" s="109" t="str">
        <f>IF(AND($U201&lt;=5,$V201&gt;=5),"■","")</f>
        <v/>
      </c>
      <c r="AG201" s="109" t="str">
        <f>IF(AND($U201&lt;=6,$V201&gt;=6),"■","")</f>
        <v/>
      </c>
      <c r="AH201" s="109" t="str">
        <f>IF(AND($U201&lt;=7,$V201&gt;=7),"■","")</f>
        <v/>
      </c>
      <c r="AI201" s="109" t="str">
        <f>IF(AND($U201&lt;=8,$V201&gt;=8),"■","")</f>
        <v/>
      </c>
      <c r="AJ201" s="109" t="str">
        <f>IF(AND($U201&lt;=9,$V201&gt;=9),"■","")</f>
        <v>■</v>
      </c>
      <c r="AK201" s="109" t="str">
        <f>IF(AND($U201&lt;=10,$V201&gt;=10),"■","")</f>
        <v>■</v>
      </c>
      <c r="AL201" s="109" t="str">
        <f>IF(AND($U201&lt;=11,$V201&gt;=11),"■","")</f>
        <v>■</v>
      </c>
      <c r="AM201" s="109" t="str">
        <f>IF(AND($U201&lt;=12,$V201&gt;=12),"■","")</f>
        <v>■</v>
      </c>
      <c r="AN201" s="109" t="str">
        <f>IF(AND($U201&lt;=13,$V201&gt;=13),"■","")</f>
        <v>■</v>
      </c>
      <c r="AO201" s="109" t="str">
        <f>IF(AND($U201&lt;=14,$V201&gt;=14),"■","")</f>
        <v>■</v>
      </c>
      <c r="AP201" s="109" t="str">
        <f>IF(AND($U201&lt;=15,$V201&gt;=15),"■","")</f>
        <v/>
      </c>
      <c r="AQ201" s="109" t="str">
        <f>IF(AND($U201&lt;=16,$V201&gt;=16),"■","")</f>
        <v/>
      </c>
      <c r="AR201" t="s">
        <v>528</v>
      </c>
    </row>
    <row r="202" spans="1:44" ht="14.25" customHeight="1" x14ac:dyDescent="0.2">
      <c r="A202" s="6"/>
      <c r="B202" s="23">
        <v>9</v>
      </c>
      <c r="C202" s="46" t="s">
        <v>55</v>
      </c>
      <c r="D202" s="25" t="s">
        <v>56</v>
      </c>
      <c r="E202" s="47">
        <v>1560</v>
      </c>
      <c r="F202" s="27" t="s">
        <v>135</v>
      </c>
      <c r="G202" s="28">
        <v>120000</v>
      </c>
      <c r="H202" s="28">
        <f t="shared" si="163"/>
        <v>187200000</v>
      </c>
      <c r="I202" s="30">
        <v>3908731694</v>
      </c>
      <c r="J202" s="31">
        <f t="shared" si="164"/>
        <v>4.789277306686377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108">
        <v>9</v>
      </c>
      <c r="V202" s="108">
        <v>14</v>
      </c>
      <c r="W202" s="109">
        <f>MAX(1,V202-U202+1)</f>
        <v>6</v>
      </c>
      <c r="X202" s="110">
        <f t="array" ref="X202">INDEX('KALENDER MINGGU'!$B$6:$B$21,U202)</f>
        <v>46282</v>
      </c>
      <c r="Y202" s="110">
        <f t="array" ref="Y202">INDEX('KALENDER MINGGU'!$C$6:$C$21,V202)</f>
        <v>46323</v>
      </c>
      <c r="AB202" s="109" t="str">
        <f>IF(AND($U202&lt;=1,$V202&gt;=1),"■","")</f>
        <v/>
      </c>
      <c r="AC202" s="109" t="str">
        <f>IF(AND($U202&lt;=2,$V202&gt;=2),"■","")</f>
        <v/>
      </c>
      <c r="AD202" s="109" t="str">
        <f>IF(AND($U202&lt;=3,$V202&gt;=3),"■","")</f>
        <v/>
      </c>
      <c r="AE202" s="109" t="str">
        <f>IF(AND($U202&lt;=4,$V202&gt;=4),"■","")</f>
        <v/>
      </c>
      <c r="AF202" s="109" t="str">
        <f>IF(AND($U202&lt;=5,$V202&gt;=5),"■","")</f>
        <v/>
      </c>
      <c r="AG202" s="109" t="str">
        <f>IF(AND($U202&lt;=6,$V202&gt;=6),"■","")</f>
        <v/>
      </c>
      <c r="AH202" s="109" t="str">
        <f>IF(AND($U202&lt;=7,$V202&gt;=7),"■","")</f>
        <v/>
      </c>
      <c r="AI202" s="109" t="str">
        <f>IF(AND($U202&lt;=8,$V202&gt;=8),"■","")</f>
        <v/>
      </c>
      <c r="AJ202" s="109" t="str">
        <f>IF(AND($U202&lt;=9,$V202&gt;=9),"■","")</f>
        <v>■</v>
      </c>
      <c r="AK202" s="109" t="str">
        <f>IF(AND($U202&lt;=10,$V202&gt;=10),"■","")</f>
        <v>■</v>
      </c>
      <c r="AL202" s="109" t="str">
        <f>IF(AND($U202&lt;=11,$V202&gt;=11),"■","")</f>
        <v>■</v>
      </c>
      <c r="AM202" s="109" t="str">
        <f>IF(AND($U202&lt;=12,$V202&gt;=12),"■","")</f>
        <v>■</v>
      </c>
      <c r="AN202" s="109" t="str">
        <f>IF(AND($U202&lt;=13,$V202&gt;=13),"■","")</f>
        <v>■</v>
      </c>
      <c r="AO202" s="109" t="str">
        <f>IF(AND($U202&lt;=14,$V202&gt;=14),"■","")</f>
        <v>■</v>
      </c>
      <c r="AP202" s="109" t="str">
        <f>IF(AND($U202&lt;=15,$V202&gt;=15),"■","")</f>
        <v/>
      </c>
      <c r="AQ202" s="109" t="str">
        <f>IF(AND($U202&lt;=16,$V202&gt;=16),"■","")</f>
        <v/>
      </c>
      <c r="AR202" t="s">
        <v>529</v>
      </c>
    </row>
    <row r="203" spans="1:44" ht="14.25" customHeight="1" x14ac:dyDescent="0.2">
      <c r="A203" s="6"/>
      <c r="B203" s="23">
        <v>10</v>
      </c>
      <c r="C203" s="46" t="s">
        <v>342</v>
      </c>
      <c r="D203" s="25" t="s">
        <v>343</v>
      </c>
      <c r="E203" s="47">
        <v>720</v>
      </c>
      <c r="F203" s="27" t="s">
        <v>57</v>
      </c>
      <c r="G203" s="28">
        <v>55000</v>
      </c>
      <c r="H203" s="28">
        <f t="shared" si="163"/>
        <v>39600000</v>
      </c>
      <c r="I203" s="30">
        <v>3908731694</v>
      </c>
      <c r="J203" s="31">
        <f t="shared" si="164"/>
        <v>1.0131163533375029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108">
        <v>9</v>
      </c>
      <c r="V203" s="108">
        <v>14</v>
      </c>
      <c r="W203" s="109">
        <f>MAX(1,V203-U203+1)</f>
        <v>6</v>
      </c>
      <c r="X203" s="110">
        <f t="array" ref="X203">INDEX('KALENDER MINGGU'!$B$6:$B$21,U203)</f>
        <v>46282</v>
      </c>
      <c r="Y203" s="110">
        <f t="array" ref="Y203">INDEX('KALENDER MINGGU'!$C$6:$C$21,V203)</f>
        <v>46323</v>
      </c>
      <c r="AB203" s="109" t="str">
        <f>IF(AND($U203&lt;=1,$V203&gt;=1),"■","")</f>
        <v/>
      </c>
      <c r="AC203" s="109" t="str">
        <f>IF(AND($U203&lt;=2,$V203&gt;=2),"■","")</f>
        <v/>
      </c>
      <c r="AD203" s="109" t="str">
        <f>IF(AND($U203&lt;=3,$V203&gt;=3),"■","")</f>
        <v/>
      </c>
      <c r="AE203" s="109" t="str">
        <f>IF(AND($U203&lt;=4,$V203&gt;=4),"■","")</f>
        <v/>
      </c>
      <c r="AF203" s="109" t="str">
        <f>IF(AND($U203&lt;=5,$V203&gt;=5),"■","")</f>
        <v/>
      </c>
      <c r="AG203" s="109" t="str">
        <f>IF(AND($U203&lt;=6,$V203&gt;=6),"■","")</f>
        <v/>
      </c>
      <c r="AH203" s="109" t="str">
        <f>IF(AND($U203&lt;=7,$V203&gt;=7),"■","")</f>
        <v/>
      </c>
      <c r="AI203" s="109" t="str">
        <f>IF(AND($U203&lt;=8,$V203&gt;=8),"■","")</f>
        <v/>
      </c>
      <c r="AJ203" s="109" t="str">
        <f>IF(AND($U203&lt;=9,$V203&gt;=9),"■","")</f>
        <v>■</v>
      </c>
      <c r="AK203" s="109" t="str">
        <f>IF(AND($U203&lt;=10,$V203&gt;=10),"■","")</f>
        <v>■</v>
      </c>
      <c r="AL203" s="109" t="str">
        <f>IF(AND($U203&lt;=11,$V203&gt;=11),"■","")</f>
        <v>■</v>
      </c>
      <c r="AM203" s="109" t="str">
        <f>IF(AND($U203&lt;=12,$V203&gt;=12),"■","")</f>
        <v>■</v>
      </c>
      <c r="AN203" s="109" t="str">
        <f>IF(AND($U203&lt;=13,$V203&gt;=13),"■","")</f>
        <v>■</v>
      </c>
      <c r="AO203" s="109" t="str">
        <f>IF(AND($U203&lt;=14,$V203&gt;=14),"■","")</f>
        <v>■</v>
      </c>
      <c r="AP203" s="109" t="str">
        <f>IF(AND($U203&lt;=15,$V203&gt;=15),"■","")</f>
        <v/>
      </c>
      <c r="AQ203" s="109" t="str">
        <f>IF(AND($U203&lt;=16,$V203&gt;=16),"■","")</f>
        <v/>
      </c>
      <c r="AR203" t="s">
        <v>530</v>
      </c>
    </row>
    <row r="204" spans="1:44" ht="14.25" customHeight="1" x14ac:dyDescent="0.2">
      <c r="A204" s="6"/>
      <c r="B204" s="23"/>
      <c r="C204" s="46"/>
      <c r="D204" s="25"/>
      <c r="E204" s="48"/>
      <c r="F204" s="27"/>
      <c r="G204" s="28"/>
      <c r="H204" s="79">
        <f>SUM(H193:H203)</f>
        <v>291970000</v>
      </c>
      <c r="I204" s="30">
        <v>3908731694</v>
      </c>
      <c r="J204" s="43">
        <f t="shared" si="164"/>
        <v>7.4696864061603714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109">
        <f>MIN(U193:U203)</f>
        <v>6</v>
      </c>
      <c r="V204" s="109">
        <f>MAX(V193:V203)</f>
        <v>14</v>
      </c>
      <c r="W204" s="109">
        <f>MAX(1,V204-U204+1)</f>
        <v>9</v>
      </c>
      <c r="X204" s="110">
        <f t="array" ref="X204">INDEX('KALENDER MINGGU'!$B$6:$B$21,U204)</f>
        <v>46261</v>
      </c>
      <c r="Y204" s="110">
        <f t="array" ref="Y204">INDEX('KALENDER MINGGU'!$C$6:$C$21,V204)</f>
        <v>46323</v>
      </c>
      <c r="Z204" s="111">
        <f>SUM(TS!M49:AB49)/TS!L48*100</f>
        <v>73.819228002876997</v>
      </c>
      <c r="AA204" s="109" t="str">
        <f ca="1">IF(Z204&gt;=99.9,"COMPLETED",IF(U204&gt;'RENCANA MINGGUAN'!$J$7,"NOT STARTED",IF(V204&lt;'RENCANA MINGGUAN'!$J$7,"CRITICAL",IF(Z204+1&lt;W204,"DELAYED","ON SCHEDULE"))))</f>
        <v>ON SCHEDULE</v>
      </c>
      <c r="AB204" s="109" t="str">
        <f>IF(AND(U204&lt;=1,V204&gt;=1),"■","")</f>
        <v/>
      </c>
      <c r="AC204" s="109" t="str">
        <f>IF(AND(U204&lt;=2,V204&gt;=2),"■","")</f>
        <v/>
      </c>
      <c r="AD204" s="109" t="str">
        <f>IF(AND(U204&lt;=3,V204&gt;=3),"■","")</f>
        <v/>
      </c>
      <c r="AE204" s="109" t="str">
        <f>IF(AND(U204&lt;=4,V204&gt;=4),"■","")</f>
        <v/>
      </c>
      <c r="AF204" s="109" t="str">
        <f>IF(AND(U204&lt;=5,V204&gt;=5),"■","")</f>
        <v/>
      </c>
      <c r="AG204" s="109" t="str">
        <f>IF(AND(U204&lt;=6,V204&gt;=6),"■","")</f>
        <v>■</v>
      </c>
      <c r="AH204" s="109" t="str">
        <f>IF(AND(U204&lt;=7,V204&gt;=7),"■","")</f>
        <v>■</v>
      </c>
      <c r="AI204" s="109" t="str">
        <f>IF(AND(U204&lt;=8,V204&gt;=8),"■","")</f>
        <v>■</v>
      </c>
      <c r="AJ204" s="109" t="str">
        <f>IF(AND(U204&lt;=9,V204&gt;=9),"■","")</f>
        <v>■</v>
      </c>
      <c r="AK204" s="109" t="str">
        <f>IF(AND(U204&lt;=10,V204&gt;=10),"■","")</f>
        <v>■</v>
      </c>
      <c r="AL204" s="109" t="str">
        <f>IF(AND(U204&lt;=11,V204&gt;=11),"■","")</f>
        <v>■</v>
      </c>
      <c r="AM204" s="109" t="str">
        <f>IF(AND(U204&lt;=12,V204&gt;=12),"■","")</f>
        <v>■</v>
      </c>
      <c r="AN204" s="109" t="str">
        <f>IF(AND(U204&lt;=13,V204&gt;=13),"■","")</f>
        <v>■</v>
      </c>
      <c r="AO204" s="109" t="str">
        <f>IF(AND(U204&lt;=14,V204&gt;=14),"■","")</f>
        <v>■</v>
      </c>
      <c r="AP204" s="109" t="str">
        <f>IF(AND(U204&lt;=15,V204&gt;=15),"■","")</f>
        <v/>
      </c>
      <c r="AQ204" s="109" t="str">
        <f>IF(AND(U204&lt;=16,V204&gt;=16),"■","")</f>
        <v/>
      </c>
    </row>
    <row r="205" spans="1:44" ht="14.25" customHeight="1" x14ac:dyDescent="0.2">
      <c r="A205" s="6"/>
      <c r="B205" s="68"/>
      <c r="C205" s="69"/>
      <c r="D205" s="70"/>
      <c r="E205" s="70"/>
      <c r="F205" s="68"/>
      <c r="G205" s="71" t="s">
        <v>301</v>
      </c>
      <c r="H205" s="72">
        <f>SUM(H166:H204)/2</f>
        <v>359300000</v>
      </c>
      <c r="I205" s="75"/>
      <c r="J205" s="68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44" ht="14.25" customHeight="1" x14ac:dyDescent="0.2">
      <c r="A206" s="6"/>
      <c r="B206" s="68"/>
      <c r="C206" s="68"/>
      <c r="D206" s="68"/>
      <c r="E206" s="68"/>
      <c r="F206" s="68"/>
      <c r="G206" s="84"/>
      <c r="H206" s="68"/>
      <c r="I206" s="68"/>
      <c r="J206" s="68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44" ht="14.25" customHeight="1" x14ac:dyDescent="0.2">
      <c r="A207" s="6"/>
      <c r="B207" s="73" t="s">
        <v>344</v>
      </c>
      <c r="C207" s="74"/>
      <c r="D207" s="74"/>
      <c r="E207" s="68"/>
      <c r="F207" s="68"/>
      <c r="G207" s="68"/>
      <c r="H207" s="75"/>
      <c r="I207" s="75"/>
      <c r="J207" s="68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44" ht="14.25" customHeight="1" x14ac:dyDescent="0.2">
      <c r="A208" s="6"/>
      <c r="B208" s="76"/>
      <c r="C208" s="69"/>
      <c r="D208" s="69"/>
      <c r="E208" s="68"/>
      <c r="F208" s="68"/>
      <c r="G208" s="68"/>
      <c r="H208" s="68"/>
      <c r="I208" s="68"/>
      <c r="J208" s="68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44" ht="14.25" customHeight="1" x14ac:dyDescent="0.2">
      <c r="A209" s="6"/>
      <c r="B209" s="284" t="s">
        <v>29</v>
      </c>
      <c r="C209" s="284" t="s">
        <v>345</v>
      </c>
      <c r="D209" s="2" t="s">
        <v>346</v>
      </c>
      <c r="E209" s="2" t="s">
        <v>32</v>
      </c>
      <c r="F209" s="2" t="s">
        <v>33</v>
      </c>
      <c r="G209" s="2" t="s">
        <v>34</v>
      </c>
      <c r="H209" s="284" t="s">
        <v>35</v>
      </c>
      <c r="I209" s="285" t="s">
        <v>36</v>
      </c>
      <c r="J209" s="285" t="s">
        <v>37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44" ht="14.25" customHeight="1" x14ac:dyDescent="0.2">
      <c r="A210" s="6"/>
      <c r="B210" s="284"/>
      <c r="C210" s="284"/>
      <c r="D210" s="85"/>
      <c r="E210" s="85"/>
      <c r="F210" s="85"/>
      <c r="G210" s="85"/>
      <c r="H210" s="284"/>
      <c r="I210" s="284"/>
      <c r="J210" s="284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44" ht="14.25" customHeight="1" x14ac:dyDescent="0.25">
      <c r="A211" s="6"/>
      <c r="B211" s="38" t="s">
        <v>38</v>
      </c>
      <c r="C211" s="86" t="s">
        <v>39</v>
      </c>
      <c r="D211" s="16"/>
      <c r="E211" s="36"/>
      <c r="F211" s="16"/>
      <c r="G211" s="17"/>
      <c r="H211" s="18"/>
      <c r="I211" s="75"/>
      <c r="J211" s="68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44" ht="14.25" customHeight="1" x14ac:dyDescent="0.2">
      <c r="A212" s="6"/>
      <c r="B212" s="50">
        <v>1</v>
      </c>
      <c r="C212" s="24" t="s">
        <v>39</v>
      </c>
      <c r="D212" s="36"/>
      <c r="E212" s="36">
        <v>1</v>
      </c>
      <c r="F212" s="27" t="s">
        <v>41</v>
      </c>
      <c r="G212" s="28">
        <v>1690000</v>
      </c>
      <c r="H212" s="29">
        <f>E212*G212</f>
        <v>1690000</v>
      </c>
      <c r="I212" s="30">
        <v>3908731694</v>
      </c>
      <c r="J212" s="31">
        <f>H212/I212*100</f>
        <v>4.3236531240918682E-2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108">
        <v>5</v>
      </c>
      <c r="V212" s="108">
        <v>6</v>
      </c>
      <c r="W212" s="109">
        <f>MAX(1,V212-U212+1)</f>
        <v>2</v>
      </c>
      <c r="X212" s="110">
        <f t="array" ref="X212">INDEX('KALENDER MINGGU'!$B$6:$B$21,U212)</f>
        <v>46254</v>
      </c>
      <c r="Y212" s="110">
        <f t="array" ref="Y212">INDEX('KALENDER MINGGU'!$C$6:$C$21,V212)</f>
        <v>46267</v>
      </c>
      <c r="AB212" s="109" t="str">
        <f>IF(AND($U212&lt;=1,$V212&gt;=1),"■","")</f>
        <v/>
      </c>
      <c r="AC212" s="109" t="str">
        <f>IF(AND($U212&lt;=2,$V212&gt;=2),"■","")</f>
        <v/>
      </c>
      <c r="AD212" s="109" t="str">
        <f>IF(AND($U212&lt;=3,$V212&gt;=3),"■","")</f>
        <v/>
      </c>
      <c r="AE212" s="109" t="str">
        <f>IF(AND($U212&lt;=4,$V212&gt;=4),"■","")</f>
        <v/>
      </c>
      <c r="AF212" s="109" t="str">
        <f>IF(AND($U212&lt;=5,$V212&gt;=5),"■","")</f>
        <v>■</v>
      </c>
      <c r="AG212" s="109" t="str">
        <f>IF(AND($U212&lt;=6,$V212&gt;=6),"■","")</f>
        <v>■</v>
      </c>
      <c r="AH212" s="109" t="str">
        <f>IF(AND($U212&lt;=7,$V212&gt;=7),"■","")</f>
        <v/>
      </c>
      <c r="AI212" s="109" t="str">
        <f>IF(AND($U212&lt;=8,$V212&gt;=8),"■","")</f>
        <v/>
      </c>
      <c r="AJ212" s="109" t="str">
        <f>IF(AND($U212&lt;=9,$V212&gt;=9),"■","")</f>
        <v/>
      </c>
      <c r="AK212" s="109" t="str">
        <f>IF(AND($U212&lt;=10,$V212&gt;=10),"■","")</f>
        <v/>
      </c>
      <c r="AL212" s="109" t="str">
        <f>IF(AND($U212&lt;=11,$V212&gt;=11),"■","")</f>
        <v/>
      </c>
      <c r="AM212" s="109" t="str">
        <f>IF(AND($U212&lt;=12,$V212&gt;=12),"■","")</f>
        <v/>
      </c>
      <c r="AN212" s="109" t="str">
        <f>IF(AND($U212&lt;=13,$V212&gt;=13),"■","")</f>
        <v/>
      </c>
      <c r="AO212" s="109" t="str">
        <f>IF(AND($U212&lt;=14,$V212&gt;=14),"■","")</f>
        <v/>
      </c>
      <c r="AP212" s="109" t="str">
        <f>IF(AND($U212&lt;=15,$V212&gt;=15),"■","")</f>
        <v/>
      </c>
      <c r="AQ212" s="109" t="str">
        <f>IF(AND($U212&lt;=16,$V212&gt;=16),"■","")</f>
        <v/>
      </c>
      <c r="AR212" t="s">
        <v>531</v>
      </c>
    </row>
    <row r="213" spans="1:44" ht="14.25" customHeight="1" x14ac:dyDescent="0.2">
      <c r="A213" s="6"/>
      <c r="B213" s="50">
        <v>2</v>
      </c>
      <c r="C213" s="46" t="s">
        <v>347</v>
      </c>
      <c r="D213" s="87" t="s">
        <v>348</v>
      </c>
      <c r="E213" s="36">
        <v>1</v>
      </c>
      <c r="F213" s="27" t="s">
        <v>41</v>
      </c>
      <c r="G213" s="28">
        <v>6500000</v>
      </c>
      <c r="H213" s="29">
        <f>E213*G213</f>
        <v>6500000</v>
      </c>
      <c r="I213" s="30">
        <v>3908731694</v>
      </c>
      <c r="J213" s="31">
        <f>H213/I213*100</f>
        <v>0.1662943509266103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108">
        <v>5</v>
      </c>
      <c r="V213" s="108">
        <v>6</v>
      </c>
      <c r="W213" s="109">
        <f>MAX(1,V213-U213+1)</f>
        <v>2</v>
      </c>
      <c r="X213" s="110">
        <f t="array" ref="X213">INDEX('KALENDER MINGGU'!$B$6:$B$21,U213)</f>
        <v>46254</v>
      </c>
      <c r="Y213" s="110">
        <f t="array" ref="Y213">INDEX('KALENDER MINGGU'!$C$6:$C$21,V213)</f>
        <v>46267</v>
      </c>
      <c r="AB213" s="109" t="str">
        <f>IF(AND($U213&lt;=1,$V213&gt;=1),"■","")</f>
        <v/>
      </c>
      <c r="AC213" s="109" t="str">
        <f>IF(AND($U213&lt;=2,$V213&gt;=2),"■","")</f>
        <v/>
      </c>
      <c r="AD213" s="109" t="str">
        <f>IF(AND($U213&lt;=3,$V213&gt;=3),"■","")</f>
        <v/>
      </c>
      <c r="AE213" s="109" t="str">
        <f>IF(AND($U213&lt;=4,$V213&gt;=4),"■","")</f>
        <v/>
      </c>
      <c r="AF213" s="109" t="str">
        <f>IF(AND($U213&lt;=5,$V213&gt;=5),"■","")</f>
        <v>■</v>
      </c>
      <c r="AG213" s="109" t="str">
        <f>IF(AND($U213&lt;=6,$V213&gt;=6),"■","")</f>
        <v>■</v>
      </c>
      <c r="AH213" s="109" t="str">
        <f>IF(AND($U213&lt;=7,$V213&gt;=7),"■","")</f>
        <v/>
      </c>
      <c r="AI213" s="109" t="str">
        <f>IF(AND($U213&lt;=8,$V213&gt;=8),"■","")</f>
        <v/>
      </c>
      <c r="AJ213" s="109" t="str">
        <f>IF(AND($U213&lt;=9,$V213&gt;=9),"■","")</f>
        <v/>
      </c>
      <c r="AK213" s="109" t="str">
        <f>IF(AND($U213&lt;=10,$V213&gt;=10),"■","")</f>
        <v/>
      </c>
      <c r="AL213" s="109" t="str">
        <f>IF(AND($U213&lt;=11,$V213&gt;=11),"■","")</f>
        <v/>
      </c>
      <c r="AM213" s="109" t="str">
        <f>IF(AND($U213&lt;=12,$V213&gt;=12),"■","")</f>
        <v/>
      </c>
      <c r="AN213" s="109" t="str">
        <f>IF(AND($U213&lt;=13,$V213&gt;=13),"■","")</f>
        <v/>
      </c>
      <c r="AO213" s="109" t="str">
        <f>IF(AND($U213&lt;=14,$V213&gt;=14),"■","")</f>
        <v/>
      </c>
      <c r="AP213" s="109" t="str">
        <f>IF(AND($U213&lt;=15,$V213&gt;=15),"■","")</f>
        <v/>
      </c>
      <c r="AQ213" s="109" t="str">
        <f>IF(AND($U213&lt;=16,$V213&gt;=16),"■","")</f>
        <v/>
      </c>
      <c r="AR213" t="s">
        <v>532</v>
      </c>
    </row>
    <row r="214" spans="1:44" ht="14.25" customHeight="1" x14ac:dyDescent="0.2">
      <c r="A214" s="6"/>
      <c r="B214" s="50">
        <v>3</v>
      </c>
      <c r="C214" s="46" t="s">
        <v>349</v>
      </c>
      <c r="D214" s="87" t="s">
        <v>350</v>
      </c>
      <c r="E214" s="36">
        <v>1</v>
      </c>
      <c r="F214" s="27" t="s">
        <v>41</v>
      </c>
      <c r="G214" s="28">
        <v>2600000</v>
      </c>
      <c r="H214" s="29">
        <f>E214*G214</f>
        <v>2600000</v>
      </c>
      <c r="I214" s="30">
        <v>3908731694</v>
      </c>
      <c r="J214" s="31">
        <f>H214/I214*100</f>
        <v>6.6517740370644132E-2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108">
        <v>5</v>
      </c>
      <c r="V214" s="108">
        <v>7</v>
      </c>
      <c r="W214" s="109">
        <f>MAX(1,V214-U214+1)</f>
        <v>3</v>
      </c>
      <c r="X214" s="110">
        <f t="array" ref="X214">INDEX('KALENDER MINGGU'!$B$6:$B$21,U214)</f>
        <v>46254</v>
      </c>
      <c r="Y214" s="110">
        <f t="array" ref="Y214">INDEX('KALENDER MINGGU'!$C$6:$C$21,V214)</f>
        <v>46274</v>
      </c>
      <c r="AB214" s="109" t="str">
        <f>IF(AND($U214&lt;=1,$V214&gt;=1),"■","")</f>
        <v/>
      </c>
      <c r="AC214" s="109" t="str">
        <f>IF(AND($U214&lt;=2,$V214&gt;=2),"■","")</f>
        <v/>
      </c>
      <c r="AD214" s="109" t="str">
        <f>IF(AND($U214&lt;=3,$V214&gt;=3),"■","")</f>
        <v/>
      </c>
      <c r="AE214" s="109" t="str">
        <f>IF(AND($U214&lt;=4,$V214&gt;=4),"■","")</f>
        <v/>
      </c>
      <c r="AF214" s="109" t="str">
        <f>IF(AND($U214&lt;=5,$V214&gt;=5),"■","")</f>
        <v>■</v>
      </c>
      <c r="AG214" s="109" t="str">
        <f>IF(AND($U214&lt;=6,$V214&gt;=6),"■","")</f>
        <v>■</v>
      </c>
      <c r="AH214" s="109" t="str">
        <f>IF(AND($U214&lt;=7,$V214&gt;=7),"■","")</f>
        <v>■</v>
      </c>
      <c r="AI214" s="109" t="str">
        <f>IF(AND($U214&lt;=8,$V214&gt;=8),"■","")</f>
        <v/>
      </c>
      <c r="AJ214" s="109" t="str">
        <f>IF(AND($U214&lt;=9,$V214&gt;=9),"■","")</f>
        <v/>
      </c>
      <c r="AK214" s="109" t="str">
        <f>IF(AND($U214&lt;=10,$V214&gt;=10),"■","")</f>
        <v/>
      </c>
      <c r="AL214" s="109" t="str">
        <f>IF(AND($U214&lt;=11,$V214&gt;=11),"■","")</f>
        <v/>
      </c>
      <c r="AM214" s="109" t="str">
        <f>IF(AND($U214&lt;=12,$V214&gt;=12),"■","")</f>
        <v/>
      </c>
      <c r="AN214" s="109" t="str">
        <f>IF(AND($U214&lt;=13,$V214&gt;=13),"■","")</f>
        <v/>
      </c>
      <c r="AO214" s="109" t="str">
        <f>IF(AND($U214&lt;=14,$V214&gt;=14),"■","")</f>
        <v/>
      </c>
      <c r="AP214" s="109" t="str">
        <f>IF(AND($U214&lt;=15,$V214&gt;=15),"■","")</f>
        <v/>
      </c>
      <c r="AQ214" s="109" t="str">
        <f>IF(AND($U214&lt;=16,$V214&gt;=16),"■","")</f>
        <v/>
      </c>
      <c r="AR214" t="s">
        <v>533</v>
      </c>
    </row>
    <row r="215" spans="1:44" ht="14.25" customHeight="1" x14ac:dyDescent="0.2">
      <c r="A215" s="6"/>
      <c r="B215" s="50">
        <v>4</v>
      </c>
      <c r="C215" s="46" t="s">
        <v>351</v>
      </c>
      <c r="D215" s="88"/>
      <c r="E215" s="36">
        <v>1</v>
      </c>
      <c r="F215" s="27" t="s">
        <v>41</v>
      </c>
      <c r="G215" s="28">
        <v>1430000</v>
      </c>
      <c r="H215" s="29">
        <f>E215*G215</f>
        <v>1430000</v>
      </c>
      <c r="I215" s="30">
        <v>3908731694</v>
      </c>
      <c r="J215" s="31">
        <f>H215/I215*100</f>
        <v>3.6584757203854269E-2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108">
        <v>5</v>
      </c>
      <c r="V215" s="108">
        <v>6</v>
      </c>
      <c r="W215" s="109">
        <f>MAX(1,V215-U215+1)</f>
        <v>2</v>
      </c>
      <c r="X215" s="110">
        <f t="array" ref="X215">INDEX('KALENDER MINGGU'!$B$6:$B$21,U215)</f>
        <v>46254</v>
      </c>
      <c r="Y215" s="110">
        <f t="array" ref="Y215">INDEX('KALENDER MINGGU'!$C$6:$C$21,V215)</f>
        <v>46267</v>
      </c>
      <c r="AB215" s="109" t="str">
        <f>IF(AND($U215&lt;=1,$V215&gt;=1),"■","")</f>
        <v/>
      </c>
      <c r="AC215" s="109" t="str">
        <f>IF(AND($U215&lt;=2,$V215&gt;=2),"■","")</f>
        <v/>
      </c>
      <c r="AD215" s="109" t="str">
        <f>IF(AND($U215&lt;=3,$V215&gt;=3),"■","")</f>
        <v/>
      </c>
      <c r="AE215" s="109" t="str">
        <f>IF(AND($U215&lt;=4,$V215&gt;=4),"■","")</f>
        <v/>
      </c>
      <c r="AF215" s="109" t="str">
        <f>IF(AND($U215&lt;=5,$V215&gt;=5),"■","")</f>
        <v>■</v>
      </c>
      <c r="AG215" s="109" t="str">
        <f>IF(AND($U215&lt;=6,$V215&gt;=6),"■","")</f>
        <v>■</v>
      </c>
      <c r="AH215" s="109" t="str">
        <f>IF(AND($U215&lt;=7,$V215&gt;=7),"■","")</f>
        <v/>
      </c>
      <c r="AI215" s="109" t="str">
        <f>IF(AND($U215&lt;=8,$V215&gt;=8),"■","")</f>
        <v/>
      </c>
      <c r="AJ215" s="109" t="str">
        <f>IF(AND($U215&lt;=9,$V215&gt;=9),"■","")</f>
        <v/>
      </c>
      <c r="AK215" s="109" t="str">
        <f>IF(AND($U215&lt;=10,$V215&gt;=10),"■","")</f>
        <v/>
      </c>
      <c r="AL215" s="109" t="str">
        <f>IF(AND($U215&lt;=11,$V215&gt;=11),"■","")</f>
        <v/>
      </c>
      <c r="AM215" s="109" t="str">
        <f>IF(AND($U215&lt;=12,$V215&gt;=12),"■","")</f>
        <v/>
      </c>
      <c r="AN215" s="109" t="str">
        <f>IF(AND($U215&lt;=13,$V215&gt;=13),"■","")</f>
        <v/>
      </c>
      <c r="AO215" s="109" t="str">
        <f>IF(AND($U215&lt;=14,$V215&gt;=14),"■","")</f>
        <v/>
      </c>
      <c r="AP215" s="109" t="str">
        <f>IF(AND($U215&lt;=15,$V215&gt;=15),"■","")</f>
        <v/>
      </c>
      <c r="AQ215" s="109" t="str">
        <f>IF(AND($U215&lt;=16,$V215&gt;=16),"■","")</f>
        <v/>
      </c>
      <c r="AR215" t="s">
        <v>534</v>
      </c>
    </row>
    <row r="216" spans="1:44" ht="14.25" customHeight="1" x14ac:dyDescent="0.2">
      <c r="A216" s="6"/>
      <c r="B216" s="50"/>
      <c r="C216" s="24"/>
      <c r="D216" s="36"/>
      <c r="E216" s="36"/>
      <c r="F216" s="27"/>
      <c r="G216" s="28"/>
      <c r="H216" s="49">
        <f>SUM(H212:H215)</f>
        <v>12220000</v>
      </c>
      <c r="I216" s="30">
        <v>3908731694</v>
      </c>
      <c r="J216" s="43">
        <f>H216/I216*100</f>
        <v>0.31263337974202737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109">
        <f>MIN(U212:U215)</f>
        <v>5</v>
      </c>
      <c r="V216" s="109">
        <f>MAX(V212:V215)</f>
        <v>7</v>
      </c>
      <c r="W216" s="109">
        <f>MAX(1,V216-U216+1)</f>
        <v>3</v>
      </c>
      <c r="X216" s="110">
        <f t="array" ref="X216">INDEX('KALENDER MINGGU'!$B$6:$B$21,U216)</f>
        <v>46254</v>
      </c>
      <c r="Y216" s="110">
        <f t="array" ref="Y216">INDEX('KALENDER MINGGU'!$C$6:$C$21,V216)</f>
        <v>46274</v>
      </c>
      <c r="Z216" s="111">
        <f>SUM(TS!M52:AB52)/TS!L51*100</f>
        <v>100</v>
      </c>
      <c r="AA216" s="109" t="str">
        <f>IF(Z216&gt;=99.9,"COMPLETED",IF(U216&gt;'RENCANA MINGGUAN'!$J$7,"NOT STARTED",IF(V216&lt;'RENCANA MINGGUAN'!$J$7,"CRITICAL",IF(Z216+1&lt;W216,"DELAYED","ON SCHEDULE"))))</f>
        <v>COMPLETED</v>
      </c>
      <c r="AB216" s="109" t="str">
        <f>IF(AND(U216&lt;=1,V216&gt;=1),"■","")</f>
        <v/>
      </c>
      <c r="AC216" s="109" t="str">
        <f>IF(AND(U216&lt;=2,V216&gt;=2),"■","")</f>
        <v/>
      </c>
      <c r="AD216" s="109" t="str">
        <f>IF(AND(U216&lt;=3,V216&gt;=3),"■","")</f>
        <v/>
      </c>
      <c r="AE216" s="109" t="str">
        <f>IF(AND(U216&lt;=4,V216&gt;=4),"■","")</f>
        <v/>
      </c>
      <c r="AF216" s="109" t="str">
        <f>IF(AND(U216&lt;=5,V216&gt;=5),"■","")</f>
        <v>■</v>
      </c>
      <c r="AG216" s="109" t="str">
        <f>IF(AND(U216&lt;=6,V216&gt;=6),"■","")</f>
        <v>■</v>
      </c>
      <c r="AH216" s="109" t="str">
        <f>IF(AND(U216&lt;=7,V216&gt;=7),"■","")</f>
        <v>■</v>
      </c>
      <c r="AI216" s="109" t="str">
        <f>IF(AND(U216&lt;=8,V216&gt;=8),"■","")</f>
        <v/>
      </c>
      <c r="AJ216" s="109" t="str">
        <f>IF(AND(U216&lt;=9,V216&gt;=9),"■","")</f>
        <v/>
      </c>
      <c r="AK216" s="109" t="str">
        <f>IF(AND(U216&lt;=10,V216&gt;=10),"■","")</f>
        <v/>
      </c>
      <c r="AL216" s="109" t="str">
        <f>IF(AND(U216&lt;=11,V216&gt;=11),"■","")</f>
        <v/>
      </c>
      <c r="AM216" s="109" t="str">
        <f>IF(AND(U216&lt;=12,V216&gt;=12),"■","")</f>
        <v/>
      </c>
      <c r="AN216" s="109" t="str">
        <f>IF(AND(U216&lt;=13,V216&gt;=13),"■","")</f>
        <v/>
      </c>
      <c r="AO216" s="109" t="str">
        <f>IF(AND(U216&lt;=14,V216&gt;=14),"■","")</f>
        <v/>
      </c>
      <c r="AP216" s="109" t="str">
        <f>IF(AND(U216&lt;=15,V216&gt;=15),"■","")</f>
        <v/>
      </c>
      <c r="AQ216" s="109" t="str">
        <f>IF(AND(U216&lt;=16,V216&gt;=16),"■","")</f>
        <v/>
      </c>
    </row>
    <row r="217" spans="1:44" ht="14.25" customHeight="1" x14ac:dyDescent="0.25">
      <c r="A217" s="6"/>
      <c r="B217" s="38" t="s">
        <v>49</v>
      </c>
      <c r="C217" s="86" t="s">
        <v>50</v>
      </c>
      <c r="D217" s="39"/>
      <c r="E217" s="39"/>
      <c r="F217" s="40"/>
      <c r="G217" s="41"/>
      <c r="H217" s="89"/>
      <c r="I217" s="75"/>
      <c r="J217" s="68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44" ht="14.25" customHeight="1" x14ac:dyDescent="0.2">
      <c r="A218" s="6"/>
      <c r="B218" s="50">
        <v>1</v>
      </c>
      <c r="C218" s="24" t="s">
        <v>213</v>
      </c>
      <c r="D218" s="36"/>
      <c r="E218" s="36">
        <v>3.9</v>
      </c>
      <c r="F218" s="27" t="s">
        <v>353</v>
      </c>
      <c r="G218" s="28">
        <v>130000</v>
      </c>
      <c r="H218" s="29">
        <f>E218*G218</f>
        <v>507000</v>
      </c>
      <c r="I218" s="30">
        <v>3908731694</v>
      </c>
      <c r="J218" s="31">
        <f t="shared" ref="J218:J223" si="165">H218/I218*100</f>
        <v>1.2970959372275603E-2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108">
        <v>5</v>
      </c>
      <c r="V218" s="108">
        <v>6</v>
      </c>
      <c r="W218" s="109">
        <f t="shared" ref="W218:W223" si="166">MAX(1,V218-U218+1)</f>
        <v>2</v>
      </c>
      <c r="X218" s="110">
        <f t="array" ref="X218">INDEX('KALENDER MINGGU'!$B$6:$B$21,U218)</f>
        <v>46254</v>
      </c>
      <c r="Y218" s="110">
        <f t="array" ref="Y218">INDEX('KALENDER MINGGU'!$C$6:$C$21,V218)</f>
        <v>46267</v>
      </c>
      <c r="AB218" s="109" t="str">
        <f>IF(AND($U218&lt;=1,$V218&gt;=1),"■","")</f>
        <v/>
      </c>
      <c r="AC218" s="109" t="str">
        <f>IF(AND($U218&lt;=2,$V218&gt;=2),"■","")</f>
        <v/>
      </c>
      <c r="AD218" s="109" t="str">
        <f>IF(AND($U218&lt;=3,$V218&gt;=3),"■","")</f>
        <v/>
      </c>
      <c r="AE218" s="109" t="str">
        <f>IF(AND($U218&lt;=4,$V218&gt;=4),"■","")</f>
        <v/>
      </c>
      <c r="AF218" s="109" t="str">
        <f>IF(AND($U218&lt;=5,$V218&gt;=5),"■","")</f>
        <v>■</v>
      </c>
      <c r="AG218" s="109" t="str">
        <f>IF(AND($U218&lt;=6,$V218&gt;=6),"■","")</f>
        <v>■</v>
      </c>
      <c r="AH218" s="109" t="str">
        <f>IF(AND($U218&lt;=7,$V218&gt;=7),"■","")</f>
        <v/>
      </c>
      <c r="AI218" s="109" t="str">
        <f>IF(AND($U218&lt;=8,$V218&gt;=8),"■","")</f>
        <v/>
      </c>
      <c r="AJ218" s="109" t="str">
        <f>IF(AND($U218&lt;=9,$V218&gt;=9),"■","")</f>
        <v/>
      </c>
      <c r="AK218" s="109" t="str">
        <f>IF(AND($U218&lt;=10,$V218&gt;=10),"■","")</f>
        <v/>
      </c>
      <c r="AL218" s="109" t="str">
        <f>IF(AND($U218&lt;=11,$V218&gt;=11),"■","")</f>
        <v/>
      </c>
      <c r="AM218" s="109" t="str">
        <f>IF(AND($U218&lt;=12,$V218&gt;=12),"■","")</f>
        <v/>
      </c>
      <c r="AN218" s="109" t="str">
        <f>IF(AND($U218&lt;=13,$V218&gt;=13),"■","")</f>
        <v/>
      </c>
      <c r="AO218" s="109" t="str">
        <f>IF(AND($U218&lt;=14,$V218&gt;=14),"■","")</f>
        <v/>
      </c>
      <c r="AP218" s="109" t="str">
        <f>IF(AND($U218&lt;=15,$V218&gt;=15),"■","")</f>
        <v/>
      </c>
      <c r="AQ218" s="109" t="str">
        <f>IF(AND($U218&lt;=16,$V218&gt;=16),"■","")</f>
        <v/>
      </c>
      <c r="AR218" t="s">
        <v>535</v>
      </c>
    </row>
    <row r="219" spans="1:44" ht="14.25" customHeight="1" x14ac:dyDescent="0.2">
      <c r="A219" s="6"/>
      <c r="B219" s="50">
        <v>2</v>
      </c>
      <c r="C219" s="46" t="s">
        <v>217</v>
      </c>
      <c r="D219" s="36"/>
      <c r="E219" s="36">
        <v>1</v>
      </c>
      <c r="F219" s="27" t="s">
        <v>73</v>
      </c>
      <c r="G219" s="28">
        <v>780000</v>
      </c>
      <c r="H219" s="29">
        <f>E219*G219</f>
        <v>780000</v>
      </c>
      <c r="I219" s="30">
        <v>3908731694</v>
      </c>
      <c r="J219" s="31">
        <f t="shared" si="165"/>
        <v>1.995532211119324E-2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108">
        <v>5</v>
      </c>
      <c r="V219" s="108">
        <v>6</v>
      </c>
      <c r="W219" s="109">
        <f t="shared" si="166"/>
        <v>2</v>
      </c>
      <c r="X219" s="110">
        <f t="array" ref="X219">INDEX('KALENDER MINGGU'!$B$6:$B$21,U219)</f>
        <v>46254</v>
      </c>
      <c r="Y219" s="110">
        <f t="array" ref="Y219">INDEX('KALENDER MINGGU'!$C$6:$C$21,V219)</f>
        <v>46267</v>
      </c>
      <c r="AB219" s="109" t="str">
        <f>IF(AND($U219&lt;=1,$V219&gt;=1),"■","")</f>
        <v/>
      </c>
      <c r="AC219" s="109" t="str">
        <f>IF(AND($U219&lt;=2,$V219&gt;=2),"■","")</f>
        <v/>
      </c>
      <c r="AD219" s="109" t="str">
        <f>IF(AND($U219&lt;=3,$V219&gt;=3),"■","")</f>
        <v/>
      </c>
      <c r="AE219" s="109" t="str">
        <f>IF(AND($U219&lt;=4,$V219&gt;=4),"■","")</f>
        <v/>
      </c>
      <c r="AF219" s="109" t="str">
        <f>IF(AND($U219&lt;=5,$V219&gt;=5),"■","")</f>
        <v>■</v>
      </c>
      <c r="AG219" s="109" t="str">
        <f>IF(AND($U219&lt;=6,$V219&gt;=6),"■","")</f>
        <v>■</v>
      </c>
      <c r="AH219" s="109" t="str">
        <f>IF(AND($U219&lt;=7,$V219&gt;=7),"■","")</f>
        <v/>
      </c>
      <c r="AI219" s="109" t="str">
        <f>IF(AND($U219&lt;=8,$V219&gt;=8),"■","")</f>
        <v/>
      </c>
      <c r="AJ219" s="109" t="str">
        <f>IF(AND($U219&lt;=9,$V219&gt;=9),"■","")</f>
        <v/>
      </c>
      <c r="AK219" s="109" t="str">
        <f>IF(AND($U219&lt;=10,$V219&gt;=10),"■","")</f>
        <v/>
      </c>
      <c r="AL219" s="109" t="str">
        <f>IF(AND($U219&lt;=11,$V219&gt;=11),"■","")</f>
        <v/>
      </c>
      <c r="AM219" s="109" t="str">
        <f>IF(AND($U219&lt;=12,$V219&gt;=12),"■","")</f>
        <v/>
      </c>
      <c r="AN219" s="109" t="str">
        <f>IF(AND($U219&lt;=13,$V219&gt;=13),"■","")</f>
        <v/>
      </c>
      <c r="AO219" s="109" t="str">
        <f>IF(AND($U219&lt;=14,$V219&gt;=14),"■","")</f>
        <v/>
      </c>
      <c r="AP219" s="109" t="str">
        <f>IF(AND($U219&lt;=15,$V219&gt;=15),"■","")</f>
        <v/>
      </c>
      <c r="AQ219" s="109" t="str">
        <f>IF(AND($U219&lt;=16,$V219&gt;=16),"■","")</f>
        <v/>
      </c>
      <c r="AR219" t="s">
        <v>536</v>
      </c>
    </row>
    <row r="220" spans="1:44" ht="14.25" customHeight="1" x14ac:dyDescent="0.2">
      <c r="A220" s="6"/>
      <c r="B220" s="50">
        <v>3</v>
      </c>
      <c r="C220" s="24" t="s">
        <v>354</v>
      </c>
      <c r="D220" s="25" t="s">
        <v>355</v>
      </c>
      <c r="E220" s="36">
        <v>48</v>
      </c>
      <c r="F220" s="27" t="s">
        <v>135</v>
      </c>
      <c r="G220" s="28">
        <v>400000</v>
      </c>
      <c r="H220" s="29">
        <f>E220*G220</f>
        <v>19200000</v>
      </c>
      <c r="I220" s="30">
        <v>3908731694</v>
      </c>
      <c r="J220" s="31">
        <f t="shared" si="165"/>
        <v>0.49120792889091047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108">
        <v>6</v>
      </c>
      <c r="V220" s="108">
        <v>8</v>
      </c>
      <c r="W220" s="109">
        <f t="shared" si="166"/>
        <v>3</v>
      </c>
      <c r="X220" s="110">
        <f t="array" ref="X220">INDEX('KALENDER MINGGU'!$B$6:$B$21,U220)</f>
        <v>46261</v>
      </c>
      <c r="Y220" s="110">
        <f t="array" ref="Y220">INDEX('KALENDER MINGGU'!$C$6:$C$21,V220)</f>
        <v>46281</v>
      </c>
      <c r="AB220" s="109" t="str">
        <f>IF(AND($U220&lt;=1,$V220&gt;=1),"■","")</f>
        <v/>
      </c>
      <c r="AC220" s="109" t="str">
        <f>IF(AND($U220&lt;=2,$V220&gt;=2),"■","")</f>
        <v/>
      </c>
      <c r="AD220" s="109" t="str">
        <f>IF(AND($U220&lt;=3,$V220&gt;=3),"■","")</f>
        <v/>
      </c>
      <c r="AE220" s="109" t="str">
        <f>IF(AND($U220&lt;=4,$V220&gt;=4),"■","")</f>
        <v/>
      </c>
      <c r="AF220" s="109" t="str">
        <f>IF(AND($U220&lt;=5,$V220&gt;=5),"■","")</f>
        <v/>
      </c>
      <c r="AG220" s="109" t="str">
        <f>IF(AND($U220&lt;=6,$V220&gt;=6),"■","")</f>
        <v>■</v>
      </c>
      <c r="AH220" s="109" t="str">
        <f>IF(AND($U220&lt;=7,$V220&gt;=7),"■","")</f>
        <v>■</v>
      </c>
      <c r="AI220" s="109" t="str">
        <f>IF(AND($U220&lt;=8,$V220&gt;=8),"■","")</f>
        <v>■</v>
      </c>
      <c r="AJ220" s="109" t="str">
        <f>IF(AND($U220&lt;=9,$V220&gt;=9),"■","")</f>
        <v/>
      </c>
      <c r="AK220" s="109" t="str">
        <f>IF(AND($U220&lt;=10,$V220&gt;=10),"■","")</f>
        <v/>
      </c>
      <c r="AL220" s="109" t="str">
        <f>IF(AND($U220&lt;=11,$V220&gt;=11),"■","")</f>
        <v/>
      </c>
      <c r="AM220" s="109" t="str">
        <f>IF(AND($U220&lt;=12,$V220&gt;=12),"■","")</f>
        <v/>
      </c>
      <c r="AN220" s="109" t="str">
        <f>IF(AND($U220&lt;=13,$V220&gt;=13),"■","")</f>
        <v/>
      </c>
      <c r="AO220" s="109" t="str">
        <f>IF(AND($U220&lt;=14,$V220&gt;=14),"■","")</f>
        <v/>
      </c>
      <c r="AP220" s="109" t="str">
        <f>IF(AND($U220&lt;=15,$V220&gt;=15),"■","")</f>
        <v/>
      </c>
      <c r="AQ220" s="109" t="str">
        <f>IF(AND($U220&lt;=16,$V220&gt;=16),"■","")</f>
        <v/>
      </c>
      <c r="AR220" t="s">
        <v>537</v>
      </c>
    </row>
    <row r="221" spans="1:44" ht="14.25" customHeight="1" x14ac:dyDescent="0.2">
      <c r="A221" s="6"/>
      <c r="B221" s="50">
        <v>4</v>
      </c>
      <c r="C221" s="24" t="s">
        <v>228</v>
      </c>
      <c r="D221" s="36"/>
      <c r="E221" s="36">
        <v>1</v>
      </c>
      <c r="F221" s="27" t="s">
        <v>54</v>
      </c>
      <c r="G221" s="28">
        <v>1300000</v>
      </c>
      <c r="H221" s="29">
        <f>E221*G221</f>
        <v>1300000</v>
      </c>
      <c r="I221" s="30">
        <v>3908731694</v>
      </c>
      <c r="J221" s="31">
        <f t="shared" si="165"/>
        <v>3.3258870185322066E-2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108">
        <v>5</v>
      </c>
      <c r="V221" s="108">
        <v>8</v>
      </c>
      <c r="W221" s="109">
        <f t="shared" si="166"/>
        <v>4</v>
      </c>
      <c r="X221" s="110">
        <f t="array" ref="X221">INDEX('KALENDER MINGGU'!$B$6:$B$21,U221)</f>
        <v>46254</v>
      </c>
      <c r="Y221" s="110">
        <f t="array" ref="Y221">INDEX('KALENDER MINGGU'!$C$6:$C$21,V221)</f>
        <v>46281</v>
      </c>
      <c r="AB221" s="109" t="str">
        <f>IF(AND($U221&lt;=1,$V221&gt;=1),"■","")</f>
        <v/>
      </c>
      <c r="AC221" s="109" t="str">
        <f>IF(AND($U221&lt;=2,$V221&gt;=2),"■","")</f>
        <v/>
      </c>
      <c r="AD221" s="109" t="str">
        <f>IF(AND($U221&lt;=3,$V221&gt;=3),"■","")</f>
        <v/>
      </c>
      <c r="AE221" s="109" t="str">
        <f>IF(AND($U221&lt;=4,$V221&gt;=4),"■","")</f>
        <v/>
      </c>
      <c r="AF221" s="109" t="str">
        <f>IF(AND($U221&lt;=5,$V221&gt;=5),"■","")</f>
        <v>■</v>
      </c>
      <c r="AG221" s="109" t="str">
        <f>IF(AND($U221&lt;=6,$V221&gt;=6),"■","")</f>
        <v>■</v>
      </c>
      <c r="AH221" s="109" t="str">
        <f>IF(AND($U221&lt;=7,$V221&gt;=7),"■","")</f>
        <v>■</v>
      </c>
      <c r="AI221" s="109" t="str">
        <f>IF(AND($U221&lt;=8,$V221&gt;=8),"■","")</f>
        <v>■</v>
      </c>
      <c r="AJ221" s="109" t="str">
        <f>IF(AND($U221&lt;=9,$V221&gt;=9),"■","")</f>
        <v/>
      </c>
      <c r="AK221" s="109" t="str">
        <f>IF(AND($U221&lt;=10,$V221&gt;=10),"■","")</f>
        <v/>
      </c>
      <c r="AL221" s="109" t="str">
        <f>IF(AND($U221&lt;=11,$V221&gt;=11),"■","")</f>
        <v/>
      </c>
      <c r="AM221" s="109" t="str">
        <f>IF(AND($U221&lt;=12,$V221&gt;=12),"■","")</f>
        <v/>
      </c>
      <c r="AN221" s="109" t="str">
        <f>IF(AND($U221&lt;=13,$V221&gt;=13),"■","")</f>
        <v/>
      </c>
      <c r="AO221" s="109" t="str">
        <f>IF(AND($U221&lt;=14,$V221&gt;=14),"■","")</f>
        <v/>
      </c>
      <c r="AP221" s="109" t="str">
        <f>IF(AND($U221&lt;=15,$V221&gt;=15),"■","")</f>
        <v/>
      </c>
      <c r="AQ221" s="109" t="str">
        <f>IF(AND($U221&lt;=16,$V221&gt;=16),"■","")</f>
        <v/>
      </c>
      <c r="AR221" t="s">
        <v>538</v>
      </c>
    </row>
    <row r="222" spans="1:44" ht="14.25" customHeight="1" x14ac:dyDescent="0.2">
      <c r="A222" s="6"/>
      <c r="B222" s="50">
        <v>5</v>
      </c>
      <c r="C222" s="46" t="s">
        <v>356</v>
      </c>
      <c r="D222" s="36"/>
      <c r="E222" s="36">
        <v>2.2999999999999998</v>
      </c>
      <c r="F222" s="27" t="s">
        <v>353</v>
      </c>
      <c r="G222" s="28">
        <v>260000</v>
      </c>
      <c r="H222" s="29">
        <f>E222*G222</f>
        <v>598000</v>
      </c>
      <c r="I222" s="30">
        <v>3908731694</v>
      </c>
      <c r="J222" s="31">
        <f t="shared" si="165"/>
        <v>1.5299080285248149E-2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108">
        <v>5</v>
      </c>
      <c r="V222" s="108">
        <v>8</v>
      </c>
      <c r="W222" s="109">
        <f t="shared" si="166"/>
        <v>4</v>
      </c>
      <c r="X222" s="110">
        <f t="array" ref="X222">INDEX('KALENDER MINGGU'!$B$6:$B$21,U222)</f>
        <v>46254</v>
      </c>
      <c r="Y222" s="110">
        <f t="array" ref="Y222">INDEX('KALENDER MINGGU'!$C$6:$C$21,V222)</f>
        <v>46281</v>
      </c>
      <c r="AB222" s="109" t="str">
        <f>IF(AND($U222&lt;=1,$V222&gt;=1),"■","")</f>
        <v/>
      </c>
      <c r="AC222" s="109" t="str">
        <f>IF(AND($U222&lt;=2,$V222&gt;=2),"■","")</f>
        <v/>
      </c>
      <c r="AD222" s="109" t="str">
        <f>IF(AND($U222&lt;=3,$V222&gt;=3),"■","")</f>
        <v/>
      </c>
      <c r="AE222" s="109" t="str">
        <f>IF(AND($U222&lt;=4,$V222&gt;=4),"■","")</f>
        <v/>
      </c>
      <c r="AF222" s="109" t="str">
        <f>IF(AND($U222&lt;=5,$V222&gt;=5),"■","")</f>
        <v>■</v>
      </c>
      <c r="AG222" s="109" t="str">
        <f>IF(AND($U222&lt;=6,$V222&gt;=6),"■","")</f>
        <v>■</v>
      </c>
      <c r="AH222" s="109" t="str">
        <f>IF(AND($U222&lt;=7,$V222&gt;=7),"■","")</f>
        <v>■</v>
      </c>
      <c r="AI222" s="109" t="str">
        <f>IF(AND($U222&lt;=8,$V222&gt;=8),"■","")</f>
        <v>■</v>
      </c>
      <c r="AJ222" s="109" t="str">
        <f>IF(AND($U222&lt;=9,$V222&gt;=9),"■","")</f>
        <v/>
      </c>
      <c r="AK222" s="109" t="str">
        <f>IF(AND($U222&lt;=10,$V222&gt;=10),"■","")</f>
        <v/>
      </c>
      <c r="AL222" s="109" t="str">
        <f>IF(AND($U222&lt;=11,$V222&gt;=11),"■","")</f>
        <v/>
      </c>
      <c r="AM222" s="109" t="str">
        <f>IF(AND($U222&lt;=12,$V222&gt;=12),"■","")</f>
        <v/>
      </c>
      <c r="AN222" s="109" t="str">
        <f>IF(AND($U222&lt;=13,$V222&gt;=13),"■","")</f>
        <v/>
      </c>
      <c r="AO222" s="109" t="str">
        <f>IF(AND($U222&lt;=14,$V222&gt;=14),"■","")</f>
        <v/>
      </c>
      <c r="AP222" s="109" t="str">
        <f>IF(AND($U222&lt;=15,$V222&gt;=15),"■","")</f>
        <v/>
      </c>
      <c r="AQ222" s="109" t="str">
        <f>IF(AND($U222&lt;=16,$V222&gt;=16),"■","")</f>
        <v/>
      </c>
      <c r="AR222" t="s">
        <v>539</v>
      </c>
    </row>
    <row r="223" spans="1:44" ht="14.25" customHeight="1" x14ac:dyDescent="0.2">
      <c r="A223" s="6"/>
      <c r="B223" s="50"/>
      <c r="C223" s="24"/>
      <c r="D223" s="36"/>
      <c r="E223" s="36"/>
      <c r="F223" s="27"/>
      <c r="G223" s="28"/>
      <c r="H223" s="49">
        <f>SUM(H218:H222)</f>
        <v>22385000</v>
      </c>
      <c r="I223" s="30">
        <v>3908731694</v>
      </c>
      <c r="J223" s="43">
        <f t="shared" si="165"/>
        <v>0.57269216084494956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109">
        <f>MIN(U218:U222)</f>
        <v>5</v>
      </c>
      <c r="V223" s="109">
        <f>MAX(V218:V222)</f>
        <v>8</v>
      </c>
      <c r="W223" s="109">
        <f t="shared" si="166"/>
        <v>4</v>
      </c>
      <c r="X223" s="110">
        <f t="array" ref="X223">INDEX('KALENDER MINGGU'!$B$6:$B$21,U223)</f>
        <v>46254</v>
      </c>
      <c r="Y223" s="110">
        <f t="array" ref="Y223">INDEX('KALENDER MINGGU'!$C$6:$C$21,V223)</f>
        <v>46281</v>
      </c>
      <c r="Z223" s="111">
        <f>SUM(TS!M54:AB54)/TS!L53*100</f>
        <v>100</v>
      </c>
      <c r="AA223" s="109" t="str">
        <f>IF(Z223&gt;=99.9,"COMPLETED",IF(U223&gt;'RENCANA MINGGUAN'!$J$7,"NOT STARTED",IF(V223&lt;'RENCANA MINGGUAN'!$J$7,"CRITICAL",IF(Z223+1&lt;W223,"DELAYED","ON SCHEDULE"))))</f>
        <v>COMPLETED</v>
      </c>
      <c r="AB223" s="109" t="str">
        <f>IF(AND(U223&lt;=1,V223&gt;=1),"■","")</f>
        <v/>
      </c>
      <c r="AC223" s="109" t="str">
        <f>IF(AND(U223&lt;=2,V223&gt;=2),"■","")</f>
        <v/>
      </c>
      <c r="AD223" s="109" t="str">
        <f>IF(AND(U223&lt;=3,V223&gt;=3),"■","")</f>
        <v/>
      </c>
      <c r="AE223" s="109" t="str">
        <f>IF(AND(U223&lt;=4,V223&gt;=4),"■","")</f>
        <v/>
      </c>
      <c r="AF223" s="109" t="str">
        <f>IF(AND(U223&lt;=5,V223&gt;=5),"■","")</f>
        <v>■</v>
      </c>
      <c r="AG223" s="109" t="str">
        <f>IF(AND(U223&lt;=6,V223&gt;=6),"■","")</f>
        <v>■</v>
      </c>
      <c r="AH223" s="109" t="str">
        <f>IF(AND(U223&lt;=7,V223&gt;=7),"■","")</f>
        <v>■</v>
      </c>
      <c r="AI223" s="109" t="str">
        <f>IF(AND(U223&lt;=8,V223&gt;=8),"■","")</f>
        <v>■</v>
      </c>
      <c r="AJ223" s="109" t="str">
        <f>IF(AND(U223&lt;=9,V223&gt;=9),"■","")</f>
        <v/>
      </c>
      <c r="AK223" s="109" t="str">
        <f>IF(AND(U223&lt;=10,V223&gt;=10),"■","")</f>
        <v/>
      </c>
      <c r="AL223" s="109" t="str">
        <f>IF(AND(U223&lt;=11,V223&gt;=11),"■","")</f>
        <v/>
      </c>
      <c r="AM223" s="109" t="str">
        <f>IF(AND(U223&lt;=12,V223&gt;=12),"■","")</f>
        <v/>
      </c>
      <c r="AN223" s="109" t="str">
        <f>IF(AND(U223&lt;=13,V223&gt;=13),"■","")</f>
        <v/>
      </c>
      <c r="AO223" s="109" t="str">
        <f>IF(AND(U223&lt;=14,V223&gt;=14),"■","")</f>
        <v/>
      </c>
      <c r="AP223" s="109" t="str">
        <f>IF(AND(U223&lt;=15,V223&gt;=15),"■","")</f>
        <v/>
      </c>
      <c r="AQ223" s="109" t="str">
        <f>IF(AND(U223&lt;=16,V223&gt;=16),"■","")</f>
        <v/>
      </c>
    </row>
    <row r="224" spans="1:44" ht="14.25" customHeight="1" x14ac:dyDescent="0.25">
      <c r="A224" s="6"/>
      <c r="B224" s="38" t="s">
        <v>80</v>
      </c>
      <c r="C224" s="86" t="s">
        <v>540</v>
      </c>
      <c r="D224" s="39"/>
      <c r="E224" s="39"/>
      <c r="F224" s="40"/>
      <c r="G224" s="41"/>
      <c r="H224" s="89"/>
      <c r="I224" s="75"/>
      <c r="J224" s="68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44" ht="14.25" customHeight="1" x14ac:dyDescent="0.2">
      <c r="A225" s="6"/>
      <c r="B225" s="50">
        <v>1</v>
      </c>
      <c r="C225" s="24" t="s">
        <v>357</v>
      </c>
      <c r="D225" s="36"/>
      <c r="E225" s="36">
        <v>280</v>
      </c>
      <c r="F225" s="27" t="s">
        <v>153</v>
      </c>
      <c r="G225" s="28">
        <v>24000</v>
      </c>
      <c r="H225" s="29">
        <f>E225*G225</f>
        <v>6720000</v>
      </c>
      <c r="I225" s="30">
        <v>3908731694</v>
      </c>
      <c r="J225" s="31">
        <f>H225/I225*100</f>
        <v>0.17192277511181867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108">
        <v>5</v>
      </c>
      <c r="V225" s="108">
        <v>8</v>
      </c>
      <c r="W225" s="109">
        <f>MAX(1,V225-U225+1)</f>
        <v>4</v>
      </c>
      <c r="X225" s="110">
        <f t="array" ref="X225">INDEX('KALENDER MINGGU'!$B$6:$B$21,U225)</f>
        <v>46254</v>
      </c>
      <c r="Y225" s="110">
        <f t="array" ref="Y225">INDEX('KALENDER MINGGU'!$C$6:$C$21,V225)</f>
        <v>46281</v>
      </c>
      <c r="AB225" s="109" t="str">
        <f>IF(AND($U225&lt;=1,$V225&gt;=1),"■","")</f>
        <v/>
      </c>
      <c r="AC225" s="109" t="str">
        <f>IF(AND($U225&lt;=2,$V225&gt;=2),"■","")</f>
        <v/>
      </c>
      <c r="AD225" s="109" t="str">
        <f>IF(AND($U225&lt;=3,$V225&gt;=3),"■","")</f>
        <v/>
      </c>
      <c r="AE225" s="109" t="str">
        <f>IF(AND($U225&lt;=4,$V225&gt;=4),"■","")</f>
        <v/>
      </c>
      <c r="AF225" s="109" t="str">
        <f>IF(AND($U225&lt;=5,$V225&gt;=5),"■","")</f>
        <v>■</v>
      </c>
      <c r="AG225" s="109" t="str">
        <f>IF(AND($U225&lt;=6,$V225&gt;=6),"■","")</f>
        <v>■</v>
      </c>
      <c r="AH225" s="109" t="str">
        <f>IF(AND($U225&lt;=7,$V225&gt;=7),"■","")</f>
        <v>■</v>
      </c>
      <c r="AI225" s="109" t="str">
        <f>IF(AND($U225&lt;=8,$V225&gt;=8),"■","")</f>
        <v>■</v>
      </c>
      <c r="AJ225" s="109" t="str">
        <f>IF(AND($U225&lt;=9,$V225&gt;=9),"■","")</f>
        <v/>
      </c>
      <c r="AK225" s="109" t="str">
        <f>IF(AND($U225&lt;=10,$V225&gt;=10),"■","")</f>
        <v/>
      </c>
      <c r="AL225" s="109" t="str">
        <f>IF(AND($U225&lt;=11,$V225&gt;=11),"■","")</f>
        <v/>
      </c>
      <c r="AM225" s="109" t="str">
        <f>IF(AND($U225&lt;=12,$V225&gt;=12),"■","")</f>
        <v/>
      </c>
      <c r="AN225" s="109" t="str">
        <f>IF(AND($U225&lt;=13,$V225&gt;=13),"■","")</f>
        <v/>
      </c>
      <c r="AO225" s="109" t="str">
        <f>IF(AND($U225&lt;=14,$V225&gt;=14),"■","")</f>
        <v/>
      </c>
      <c r="AP225" s="109" t="str">
        <f>IF(AND($U225&lt;=15,$V225&gt;=15),"■","")</f>
        <v/>
      </c>
      <c r="AQ225" s="109" t="str">
        <f>IF(AND($U225&lt;=16,$V225&gt;=16),"■","")</f>
        <v/>
      </c>
      <c r="AR225" t="s">
        <v>541</v>
      </c>
    </row>
    <row r="226" spans="1:44" ht="14.25" customHeight="1" x14ac:dyDescent="0.2">
      <c r="A226" s="6"/>
      <c r="B226" s="50">
        <v>2</v>
      </c>
      <c r="C226" s="46" t="s">
        <v>358</v>
      </c>
      <c r="D226" s="36"/>
      <c r="E226" s="36">
        <v>280</v>
      </c>
      <c r="F226" s="27" t="s">
        <v>153</v>
      </c>
      <c r="G226" s="28">
        <v>24000</v>
      </c>
      <c r="H226" s="29">
        <f>E226*G226</f>
        <v>6720000</v>
      </c>
      <c r="I226" s="30">
        <v>3908731694</v>
      </c>
      <c r="J226" s="31">
        <f>H226/I226*100</f>
        <v>0.17192277511181867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108">
        <v>5</v>
      </c>
      <c r="V226" s="108">
        <v>10</v>
      </c>
      <c r="W226" s="109">
        <f>MAX(1,V226-U226+1)</f>
        <v>6</v>
      </c>
      <c r="X226" s="110">
        <f t="array" ref="X226">INDEX('KALENDER MINGGU'!$B$6:$B$21,U226)</f>
        <v>46254</v>
      </c>
      <c r="Y226" s="110">
        <f t="array" ref="Y226">INDEX('KALENDER MINGGU'!$C$6:$C$21,V226)</f>
        <v>46295</v>
      </c>
      <c r="AB226" s="109" t="str">
        <f>IF(AND($U226&lt;=1,$V226&gt;=1),"■","")</f>
        <v/>
      </c>
      <c r="AC226" s="109" t="str">
        <f>IF(AND($U226&lt;=2,$V226&gt;=2),"■","")</f>
        <v/>
      </c>
      <c r="AD226" s="109" t="str">
        <f>IF(AND($U226&lt;=3,$V226&gt;=3),"■","")</f>
        <v/>
      </c>
      <c r="AE226" s="109" t="str">
        <f>IF(AND($U226&lt;=4,$V226&gt;=4),"■","")</f>
        <v/>
      </c>
      <c r="AF226" s="109" t="str">
        <f>IF(AND($U226&lt;=5,$V226&gt;=5),"■","")</f>
        <v>■</v>
      </c>
      <c r="AG226" s="109" t="str">
        <f>IF(AND($U226&lt;=6,$V226&gt;=6),"■","")</f>
        <v>■</v>
      </c>
      <c r="AH226" s="109" t="str">
        <f>IF(AND($U226&lt;=7,$V226&gt;=7),"■","")</f>
        <v>■</v>
      </c>
      <c r="AI226" s="109" t="str">
        <f>IF(AND($U226&lt;=8,$V226&gt;=8),"■","")</f>
        <v>■</v>
      </c>
      <c r="AJ226" s="109" t="str">
        <f>IF(AND($U226&lt;=9,$V226&gt;=9),"■","")</f>
        <v>■</v>
      </c>
      <c r="AK226" s="109" t="str">
        <f>IF(AND($U226&lt;=10,$V226&gt;=10),"■","")</f>
        <v>■</v>
      </c>
      <c r="AL226" s="109" t="str">
        <f>IF(AND($U226&lt;=11,$V226&gt;=11),"■","")</f>
        <v/>
      </c>
      <c r="AM226" s="109" t="str">
        <f>IF(AND($U226&lt;=12,$V226&gt;=12),"■","")</f>
        <v/>
      </c>
      <c r="AN226" s="109" t="str">
        <f>IF(AND($U226&lt;=13,$V226&gt;=13),"■","")</f>
        <v/>
      </c>
      <c r="AO226" s="109" t="str">
        <f>IF(AND($U226&lt;=14,$V226&gt;=14),"■","")</f>
        <v/>
      </c>
      <c r="AP226" s="109" t="str">
        <f>IF(AND($U226&lt;=15,$V226&gt;=15),"■","")</f>
        <v/>
      </c>
      <c r="AQ226" s="109" t="str">
        <f>IF(AND($U226&lt;=16,$V226&gt;=16),"■","")</f>
        <v/>
      </c>
      <c r="AR226" t="s">
        <v>542</v>
      </c>
    </row>
    <row r="227" spans="1:44" ht="14.25" customHeight="1" x14ac:dyDescent="0.2">
      <c r="A227" s="6"/>
      <c r="B227" s="50"/>
      <c r="C227" s="24"/>
      <c r="D227" s="36"/>
      <c r="E227" s="36"/>
      <c r="F227" s="27"/>
      <c r="G227" s="28"/>
      <c r="H227" s="49">
        <f>SUM(H225:H226)</f>
        <v>13440000</v>
      </c>
      <c r="I227" s="30">
        <v>3908731694</v>
      </c>
      <c r="J227" s="43">
        <f>H227/I227*100</f>
        <v>0.34384555022363733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109">
        <f>MIN(U225:U226)</f>
        <v>5</v>
      </c>
      <c r="V227" s="109">
        <f>MAX(V225:V226)</f>
        <v>10</v>
      </c>
      <c r="W227" s="109">
        <f>MAX(1,V227-U227+1)</f>
        <v>6</v>
      </c>
      <c r="X227" s="110">
        <f t="array" ref="X227">INDEX('KALENDER MINGGU'!$B$6:$B$21,U227)</f>
        <v>46254</v>
      </c>
      <c r="Y227" s="110">
        <f t="array" ref="Y227">INDEX('KALENDER MINGGU'!$C$6:$C$21,V227)</f>
        <v>46295</v>
      </c>
      <c r="Z227" s="111">
        <f>SUM(TS!M56:AB56)/TS!L55*100</f>
        <v>100</v>
      </c>
      <c r="AA227" s="109" t="str">
        <f>IF(Z227&gt;=99.9,"COMPLETED",IF(U227&gt;'RENCANA MINGGUAN'!$J$7,"NOT STARTED",IF(V227&lt;'RENCANA MINGGUAN'!$J$7,"CRITICAL",IF(Z227+1&lt;W227,"DELAYED","ON SCHEDULE"))))</f>
        <v>COMPLETED</v>
      </c>
      <c r="AB227" s="109" t="str">
        <f>IF(AND(U227&lt;=1,V227&gt;=1),"■","")</f>
        <v/>
      </c>
      <c r="AC227" s="109" t="str">
        <f>IF(AND(U227&lt;=2,V227&gt;=2),"■","")</f>
        <v/>
      </c>
      <c r="AD227" s="109" t="str">
        <f>IF(AND(U227&lt;=3,V227&gt;=3),"■","")</f>
        <v/>
      </c>
      <c r="AE227" s="109" t="str">
        <f>IF(AND(U227&lt;=4,V227&gt;=4),"■","")</f>
        <v/>
      </c>
      <c r="AF227" s="109" t="str">
        <f>IF(AND(U227&lt;=5,V227&gt;=5),"■","")</f>
        <v>■</v>
      </c>
      <c r="AG227" s="109" t="str">
        <f>IF(AND(U227&lt;=6,V227&gt;=6),"■","")</f>
        <v>■</v>
      </c>
      <c r="AH227" s="109" t="str">
        <f>IF(AND(U227&lt;=7,V227&gt;=7),"■","")</f>
        <v>■</v>
      </c>
      <c r="AI227" s="109" t="str">
        <f>IF(AND(U227&lt;=8,V227&gt;=8),"■","")</f>
        <v>■</v>
      </c>
      <c r="AJ227" s="109" t="str">
        <f>IF(AND(U227&lt;=9,V227&gt;=9),"■","")</f>
        <v>■</v>
      </c>
      <c r="AK227" s="109" t="str">
        <f>IF(AND(U227&lt;=10,V227&gt;=10),"■","")</f>
        <v>■</v>
      </c>
      <c r="AL227" s="109" t="str">
        <f>IF(AND(U227&lt;=11,V227&gt;=11),"■","")</f>
        <v/>
      </c>
      <c r="AM227" s="109" t="str">
        <f>IF(AND(U227&lt;=12,V227&gt;=12),"■","")</f>
        <v/>
      </c>
      <c r="AN227" s="109" t="str">
        <f>IF(AND(U227&lt;=13,V227&gt;=13),"■","")</f>
        <v/>
      </c>
      <c r="AO227" s="109" t="str">
        <f>IF(AND(U227&lt;=14,V227&gt;=14),"■","")</f>
        <v/>
      </c>
      <c r="AP227" s="109" t="str">
        <f>IF(AND(U227&lt;=15,V227&gt;=15),"■","")</f>
        <v/>
      </c>
      <c r="AQ227" s="109" t="str">
        <f>IF(AND(U227&lt;=16,V227&gt;=16),"■","")</f>
        <v/>
      </c>
    </row>
    <row r="228" spans="1:44" ht="14.25" customHeight="1" x14ac:dyDescent="0.25">
      <c r="A228" s="6"/>
      <c r="B228" s="38" t="s">
        <v>100</v>
      </c>
      <c r="C228" s="86" t="s">
        <v>543</v>
      </c>
      <c r="D228" s="39"/>
      <c r="E228" s="39"/>
      <c r="F228" s="40"/>
      <c r="G228" s="41"/>
      <c r="H228" s="89"/>
      <c r="I228" s="75"/>
      <c r="J228" s="68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44" ht="14.25" customHeight="1" x14ac:dyDescent="0.2">
      <c r="A229" s="6"/>
      <c r="B229" s="50">
        <v>1</v>
      </c>
      <c r="C229" s="46" t="s">
        <v>359</v>
      </c>
      <c r="D229" s="82" t="s">
        <v>360</v>
      </c>
      <c r="E229" s="36">
        <v>48</v>
      </c>
      <c r="F229" s="27" t="s">
        <v>135</v>
      </c>
      <c r="G229" s="28">
        <v>680000</v>
      </c>
      <c r="H229" s="29">
        <f>E229*G229</f>
        <v>32640000</v>
      </c>
      <c r="I229" s="30">
        <v>3908731694</v>
      </c>
      <c r="J229" s="31">
        <f>H229/I229*100</f>
        <v>0.83505347911454786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108">
        <v>7</v>
      </c>
      <c r="V229" s="108">
        <v>9</v>
      </c>
      <c r="W229" s="109">
        <f>MAX(1,V229-U229+1)</f>
        <v>3</v>
      </c>
      <c r="X229" s="110">
        <f t="array" ref="X229">INDEX('KALENDER MINGGU'!$B$6:$B$21,U229)</f>
        <v>46268</v>
      </c>
      <c r="Y229" s="110">
        <f t="array" ref="Y229">INDEX('KALENDER MINGGU'!$C$6:$C$21,V229)</f>
        <v>46288</v>
      </c>
      <c r="AB229" s="109" t="str">
        <f>IF(AND($U229&lt;=1,$V229&gt;=1),"■","")</f>
        <v/>
      </c>
      <c r="AC229" s="109" t="str">
        <f>IF(AND($U229&lt;=2,$V229&gt;=2),"■","")</f>
        <v/>
      </c>
      <c r="AD229" s="109" t="str">
        <f>IF(AND($U229&lt;=3,$V229&gt;=3),"■","")</f>
        <v/>
      </c>
      <c r="AE229" s="109" t="str">
        <f>IF(AND($U229&lt;=4,$V229&gt;=4),"■","")</f>
        <v/>
      </c>
      <c r="AF229" s="109" t="str">
        <f>IF(AND($U229&lt;=5,$V229&gt;=5),"■","")</f>
        <v/>
      </c>
      <c r="AG229" s="109" t="str">
        <f>IF(AND($U229&lt;=6,$V229&gt;=6),"■","")</f>
        <v/>
      </c>
      <c r="AH229" s="109" t="str">
        <f>IF(AND($U229&lt;=7,$V229&gt;=7),"■","")</f>
        <v>■</v>
      </c>
      <c r="AI229" s="109" t="str">
        <f>IF(AND($U229&lt;=8,$V229&gt;=8),"■","")</f>
        <v>■</v>
      </c>
      <c r="AJ229" s="109" t="str">
        <f>IF(AND($U229&lt;=9,$V229&gt;=9),"■","")</f>
        <v>■</v>
      </c>
      <c r="AK229" s="109" t="str">
        <f>IF(AND($U229&lt;=10,$V229&gt;=10),"■","")</f>
        <v/>
      </c>
      <c r="AL229" s="109" t="str">
        <f>IF(AND($U229&lt;=11,$V229&gt;=11),"■","")</f>
        <v/>
      </c>
      <c r="AM229" s="109" t="str">
        <f>IF(AND($U229&lt;=12,$V229&gt;=12),"■","")</f>
        <v/>
      </c>
      <c r="AN229" s="109" t="str">
        <f>IF(AND($U229&lt;=13,$V229&gt;=13),"■","")</f>
        <v/>
      </c>
      <c r="AO229" s="109" t="str">
        <f>IF(AND($U229&lt;=14,$V229&gt;=14),"■","")</f>
        <v/>
      </c>
      <c r="AP229" s="109" t="str">
        <f>IF(AND($U229&lt;=15,$V229&gt;=15),"■","")</f>
        <v/>
      </c>
      <c r="AQ229" s="109" t="str">
        <f>IF(AND($U229&lt;=16,$V229&gt;=16),"■","")</f>
        <v/>
      </c>
      <c r="AR229" t="s">
        <v>544</v>
      </c>
    </row>
    <row r="230" spans="1:44" ht="14.25" customHeight="1" x14ac:dyDescent="0.2">
      <c r="A230" s="6"/>
      <c r="B230" s="50">
        <v>2</v>
      </c>
      <c r="C230" s="46" t="s">
        <v>361</v>
      </c>
      <c r="D230" s="82" t="s">
        <v>360</v>
      </c>
      <c r="E230" s="36">
        <v>30</v>
      </c>
      <c r="F230" s="27" t="s">
        <v>135</v>
      </c>
      <c r="G230" s="28">
        <v>800000</v>
      </c>
      <c r="H230" s="29">
        <f>E230*G230</f>
        <v>24000000</v>
      </c>
      <c r="I230" s="30">
        <v>3908731694</v>
      </c>
      <c r="J230" s="31">
        <f>H230/I230*100</f>
        <v>0.61400991111363812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108">
        <v>7</v>
      </c>
      <c r="V230" s="108">
        <v>9</v>
      </c>
      <c r="W230" s="109">
        <f>MAX(1,V230-U230+1)</f>
        <v>3</v>
      </c>
      <c r="X230" s="110">
        <f t="array" ref="X230">INDEX('KALENDER MINGGU'!$B$6:$B$21,U230)</f>
        <v>46268</v>
      </c>
      <c r="Y230" s="110">
        <f t="array" ref="Y230">INDEX('KALENDER MINGGU'!$C$6:$C$21,V230)</f>
        <v>46288</v>
      </c>
      <c r="AB230" s="109" t="str">
        <f>IF(AND($U230&lt;=1,$V230&gt;=1),"■","")</f>
        <v/>
      </c>
      <c r="AC230" s="109" t="str">
        <f>IF(AND($U230&lt;=2,$V230&gt;=2),"■","")</f>
        <v/>
      </c>
      <c r="AD230" s="109" t="str">
        <f>IF(AND($U230&lt;=3,$V230&gt;=3),"■","")</f>
        <v/>
      </c>
      <c r="AE230" s="109" t="str">
        <f>IF(AND($U230&lt;=4,$V230&gt;=4),"■","")</f>
        <v/>
      </c>
      <c r="AF230" s="109" t="str">
        <f>IF(AND($U230&lt;=5,$V230&gt;=5),"■","")</f>
        <v/>
      </c>
      <c r="AG230" s="109" t="str">
        <f>IF(AND($U230&lt;=6,$V230&gt;=6),"■","")</f>
        <v/>
      </c>
      <c r="AH230" s="109" t="str">
        <f>IF(AND($U230&lt;=7,$V230&gt;=7),"■","")</f>
        <v>■</v>
      </c>
      <c r="AI230" s="109" t="str">
        <f>IF(AND($U230&lt;=8,$V230&gt;=8),"■","")</f>
        <v>■</v>
      </c>
      <c r="AJ230" s="109" t="str">
        <f>IF(AND($U230&lt;=9,$V230&gt;=9),"■","")</f>
        <v>■</v>
      </c>
      <c r="AK230" s="109" t="str">
        <f>IF(AND($U230&lt;=10,$V230&gt;=10),"■","")</f>
        <v/>
      </c>
      <c r="AL230" s="109" t="str">
        <f>IF(AND($U230&lt;=11,$V230&gt;=11),"■","")</f>
        <v/>
      </c>
      <c r="AM230" s="109" t="str">
        <f>IF(AND($U230&lt;=12,$V230&gt;=12),"■","")</f>
        <v/>
      </c>
      <c r="AN230" s="109" t="str">
        <f>IF(AND($U230&lt;=13,$V230&gt;=13),"■","")</f>
        <v/>
      </c>
      <c r="AO230" s="109" t="str">
        <f>IF(AND($U230&lt;=14,$V230&gt;=14),"■","")</f>
        <v/>
      </c>
      <c r="AP230" s="109" t="str">
        <f>IF(AND($U230&lt;=15,$V230&gt;=15),"■","")</f>
        <v/>
      </c>
      <c r="AQ230" s="109" t="str">
        <f>IF(AND($U230&lt;=16,$V230&gt;=16),"■","")</f>
        <v/>
      </c>
      <c r="AR230" t="s">
        <v>545</v>
      </c>
    </row>
    <row r="231" spans="1:44" ht="14.25" customHeight="1" x14ac:dyDescent="0.2">
      <c r="A231" s="6"/>
      <c r="B231" s="50"/>
      <c r="C231" s="24"/>
      <c r="D231" s="36"/>
      <c r="E231" s="36"/>
      <c r="F231" s="27"/>
      <c r="G231" s="28"/>
      <c r="H231" s="49">
        <f>SUM(H229:H230)</f>
        <v>56640000</v>
      </c>
      <c r="I231" s="30">
        <v>3908731694</v>
      </c>
      <c r="J231" s="43">
        <f>H231/I231*100</f>
        <v>1.4490633902281858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109">
        <f>MIN(U229:U230)</f>
        <v>7</v>
      </c>
      <c r="V231" s="109">
        <f>MAX(V229:V230)</f>
        <v>9</v>
      </c>
      <c r="W231" s="109">
        <f>MAX(1,V231-U231+1)</f>
        <v>3</v>
      </c>
      <c r="X231" s="110">
        <f t="array" ref="X231">INDEX('KALENDER MINGGU'!$B$6:$B$21,U231)</f>
        <v>46268</v>
      </c>
      <c r="Y231" s="110">
        <f t="array" ref="Y231">INDEX('KALENDER MINGGU'!$C$6:$C$21,V231)</f>
        <v>46288</v>
      </c>
      <c r="Z231" s="111">
        <f>SUM(TS!M58:AB58)/TS!L57*100</f>
        <v>57.627118644067806</v>
      </c>
      <c r="AA231" s="109" t="str">
        <f ca="1">IF(Z231&gt;=99.9,"COMPLETED",IF(U231&gt;'RENCANA MINGGUAN'!$J$7,"NOT STARTED",IF(V231&lt;'RENCANA MINGGUAN'!$J$7,"CRITICAL",IF(Z231+1&lt;W231,"DELAYED","ON SCHEDULE"))))</f>
        <v>CRITICAL</v>
      </c>
      <c r="AB231" s="109" t="str">
        <f>IF(AND(U231&lt;=1,V231&gt;=1),"■","")</f>
        <v/>
      </c>
      <c r="AC231" s="109" t="str">
        <f>IF(AND(U231&lt;=2,V231&gt;=2),"■","")</f>
        <v/>
      </c>
      <c r="AD231" s="109" t="str">
        <f>IF(AND(U231&lt;=3,V231&gt;=3),"■","")</f>
        <v/>
      </c>
      <c r="AE231" s="109" t="str">
        <f>IF(AND(U231&lt;=4,V231&gt;=4),"■","")</f>
        <v/>
      </c>
      <c r="AF231" s="109" t="str">
        <f>IF(AND(U231&lt;=5,V231&gt;=5),"■","")</f>
        <v/>
      </c>
      <c r="AG231" s="109" t="str">
        <f>IF(AND(U231&lt;=6,V231&gt;=6),"■","")</f>
        <v/>
      </c>
      <c r="AH231" s="109" t="str">
        <f>IF(AND(U231&lt;=7,V231&gt;=7),"■","")</f>
        <v>■</v>
      </c>
      <c r="AI231" s="109" t="str">
        <f>IF(AND(U231&lt;=8,V231&gt;=8),"■","")</f>
        <v>■</v>
      </c>
      <c r="AJ231" s="109" t="str">
        <f>IF(AND(U231&lt;=9,V231&gt;=9),"■","")</f>
        <v>■</v>
      </c>
      <c r="AK231" s="109" t="str">
        <f>IF(AND(U231&lt;=10,V231&gt;=10),"■","")</f>
        <v/>
      </c>
      <c r="AL231" s="109" t="str">
        <f>IF(AND(U231&lt;=11,V231&gt;=11),"■","")</f>
        <v/>
      </c>
      <c r="AM231" s="109" t="str">
        <f>IF(AND(U231&lt;=12,V231&gt;=12),"■","")</f>
        <v/>
      </c>
      <c r="AN231" s="109" t="str">
        <f>IF(AND(U231&lt;=13,V231&gt;=13),"■","")</f>
        <v/>
      </c>
      <c r="AO231" s="109" t="str">
        <f>IF(AND(U231&lt;=14,V231&gt;=14),"■","")</f>
        <v/>
      </c>
      <c r="AP231" s="109" t="str">
        <f>IF(AND(U231&lt;=15,V231&gt;=15),"■","")</f>
        <v/>
      </c>
      <c r="AQ231" s="109" t="str">
        <f>IF(AND(U231&lt;=16,V231&gt;=16),"■","")</f>
        <v/>
      </c>
    </row>
    <row r="232" spans="1:44" ht="14.25" customHeight="1" x14ac:dyDescent="0.25">
      <c r="A232" s="6"/>
      <c r="B232" s="38" t="s">
        <v>112</v>
      </c>
      <c r="C232" s="86" t="s">
        <v>259</v>
      </c>
      <c r="D232" s="39"/>
      <c r="E232" s="39"/>
      <c r="F232" s="40"/>
      <c r="G232" s="41"/>
      <c r="H232" s="89"/>
      <c r="I232" s="75"/>
      <c r="J232" s="68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44" ht="14.25" customHeight="1" x14ac:dyDescent="0.2">
      <c r="A233" s="6"/>
      <c r="B233" s="50">
        <v>1</v>
      </c>
      <c r="C233" s="46" t="s">
        <v>362</v>
      </c>
      <c r="D233" s="36"/>
      <c r="E233" s="36">
        <f>56+(6*4)</f>
        <v>80</v>
      </c>
      <c r="F233" s="27" t="s">
        <v>135</v>
      </c>
      <c r="G233" s="28">
        <v>455000</v>
      </c>
      <c r="H233" s="29">
        <f t="shared" ref="H233:H245" si="167">E233*G233</f>
        <v>36400000</v>
      </c>
      <c r="I233" s="30">
        <v>3908731694</v>
      </c>
      <c r="J233" s="31">
        <f t="shared" ref="J233:J246" si="168">H233/I233*100</f>
        <v>0.93124836518901777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108">
        <v>5</v>
      </c>
      <c r="V233" s="108">
        <v>7</v>
      </c>
      <c r="W233" s="109">
        <f t="shared" ref="W233:W246" si="169">MAX(1,V233-U233+1)</f>
        <v>3</v>
      </c>
      <c r="X233" s="110">
        <f t="array" ref="X233">INDEX('KALENDER MINGGU'!$B$6:$B$21,U233)</f>
        <v>46254</v>
      </c>
      <c r="Y233" s="110">
        <f t="array" ref="Y233">INDEX('KALENDER MINGGU'!$C$6:$C$21,V233)</f>
        <v>46274</v>
      </c>
      <c r="AB233" s="109" t="str">
        <f t="shared" ref="AB233:AB245" si="170">IF(AND($U233&lt;=1,$V233&gt;=1),"■","")</f>
        <v/>
      </c>
      <c r="AC233" s="109" t="str">
        <f t="shared" ref="AC233:AC245" si="171">IF(AND($U233&lt;=2,$V233&gt;=2),"■","")</f>
        <v/>
      </c>
      <c r="AD233" s="109" t="str">
        <f t="shared" ref="AD233:AD245" si="172">IF(AND($U233&lt;=3,$V233&gt;=3),"■","")</f>
        <v/>
      </c>
      <c r="AE233" s="109" t="str">
        <f t="shared" ref="AE233:AE245" si="173">IF(AND($U233&lt;=4,$V233&gt;=4),"■","")</f>
        <v/>
      </c>
      <c r="AF233" s="109" t="str">
        <f t="shared" ref="AF233:AF245" si="174">IF(AND($U233&lt;=5,$V233&gt;=5),"■","")</f>
        <v>■</v>
      </c>
      <c r="AG233" s="109" t="str">
        <f t="shared" ref="AG233:AG245" si="175">IF(AND($U233&lt;=6,$V233&gt;=6),"■","")</f>
        <v>■</v>
      </c>
      <c r="AH233" s="109" t="str">
        <f t="shared" ref="AH233:AH245" si="176">IF(AND($U233&lt;=7,$V233&gt;=7),"■","")</f>
        <v>■</v>
      </c>
      <c r="AI233" s="109" t="str">
        <f t="shared" ref="AI233:AI245" si="177">IF(AND($U233&lt;=8,$V233&gt;=8),"■","")</f>
        <v/>
      </c>
      <c r="AJ233" s="109" t="str">
        <f t="shared" ref="AJ233:AJ245" si="178">IF(AND($U233&lt;=9,$V233&gt;=9),"■","")</f>
        <v/>
      </c>
      <c r="AK233" s="109" t="str">
        <f t="shared" ref="AK233:AK245" si="179">IF(AND($U233&lt;=10,$V233&gt;=10),"■","")</f>
        <v/>
      </c>
      <c r="AL233" s="109" t="str">
        <f t="shared" ref="AL233:AL245" si="180">IF(AND($U233&lt;=11,$V233&gt;=11),"■","")</f>
        <v/>
      </c>
      <c r="AM233" s="109" t="str">
        <f t="shared" ref="AM233:AM245" si="181">IF(AND($U233&lt;=12,$V233&gt;=12),"■","")</f>
        <v/>
      </c>
      <c r="AN233" s="109" t="str">
        <f t="shared" ref="AN233:AN245" si="182">IF(AND($U233&lt;=13,$V233&gt;=13),"■","")</f>
        <v/>
      </c>
      <c r="AO233" s="109" t="str">
        <f t="shared" ref="AO233:AO245" si="183">IF(AND($U233&lt;=14,$V233&gt;=14),"■","")</f>
        <v/>
      </c>
      <c r="AP233" s="109" t="str">
        <f t="shared" ref="AP233:AP245" si="184">IF(AND($U233&lt;=15,$V233&gt;=15),"■","")</f>
        <v/>
      </c>
      <c r="AQ233" s="109" t="str">
        <f t="shared" ref="AQ233:AQ245" si="185">IF(AND($U233&lt;=16,$V233&gt;=16),"■","")</f>
        <v/>
      </c>
      <c r="AR233" t="s">
        <v>546</v>
      </c>
    </row>
    <row r="234" spans="1:44" ht="14.25" customHeight="1" x14ac:dyDescent="0.2">
      <c r="A234" s="6"/>
      <c r="B234" s="50">
        <v>2</v>
      </c>
      <c r="C234" s="46" t="s">
        <v>363</v>
      </c>
      <c r="D234" s="36"/>
      <c r="E234" s="36">
        <v>60</v>
      </c>
      <c r="F234" s="27" t="s">
        <v>135</v>
      </c>
      <c r="G234" s="28">
        <v>57500</v>
      </c>
      <c r="H234" s="29">
        <f t="shared" si="167"/>
        <v>3450000</v>
      </c>
      <c r="I234" s="30">
        <v>3908731694</v>
      </c>
      <c r="J234" s="31">
        <f t="shared" si="168"/>
        <v>8.8263924722585471E-2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108">
        <v>7</v>
      </c>
      <c r="V234" s="108">
        <v>8</v>
      </c>
      <c r="W234" s="109">
        <f t="shared" si="169"/>
        <v>2</v>
      </c>
      <c r="X234" s="110">
        <f t="array" ref="X234">INDEX('KALENDER MINGGU'!$B$6:$B$21,U234)</f>
        <v>46268</v>
      </c>
      <c r="Y234" s="110">
        <f t="array" ref="Y234">INDEX('KALENDER MINGGU'!$C$6:$C$21,V234)</f>
        <v>46281</v>
      </c>
      <c r="AB234" s="109" t="str">
        <f t="shared" si="170"/>
        <v/>
      </c>
      <c r="AC234" s="109" t="str">
        <f t="shared" si="171"/>
        <v/>
      </c>
      <c r="AD234" s="109" t="str">
        <f t="shared" si="172"/>
        <v/>
      </c>
      <c r="AE234" s="109" t="str">
        <f t="shared" si="173"/>
        <v/>
      </c>
      <c r="AF234" s="109" t="str">
        <f t="shared" si="174"/>
        <v/>
      </c>
      <c r="AG234" s="109" t="str">
        <f t="shared" si="175"/>
        <v/>
      </c>
      <c r="AH234" s="109" t="str">
        <f t="shared" si="176"/>
        <v>■</v>
      </c>
      <c r="AI234" s="109" t="str">
        <f t="shared" si="177"/>
        <v>■</v>
      </c>
      <c r="AJ234" s="109" t="str">
        <f t="shared" si="178"/>
        <v/>
      </c>
      <c r="AK234" s="109" t="str">
        <f t="shared" si="179"/>
        <v/>
      </c>
      <c r="AL234" s="109" t="str">
        <f t="shared" si="180"/>
        <v/>
      </c>
      <c r="AM234" s="109" t="str">
        <f t="shared" si="181"/>
        <v/>
      </c>
      <c r="AN234" s="109" t="str">
        <f t="shared" si="182"/>
        <v/>
      </c>
      <c r="AO234" s="109" t="str">
        <f t="shared" si="183"/>
        <v/>
      </c>
      <c r="AP234" s="109" t="str">
        <f t="shared" si="184"/>
        <v/>
      </c>
      <c r="AQ234" s="109" t="str">
        <f t="shared" si="185"/>
        <v/>
      </c>
      <c r="AR234" t="s">
        <v>547</v>
      </c>
    </row>
    <row r="235" spans="1:44" ht="14.25" customHeight="1" x14ac:dyDescent="0.2">
      <c r="A235" s="6"/>
      <c r="B235" s="50">
        <v>3</v>
      </c>
      <c r="C235" s="46" t="s">
        <v>364</v>
      </c>
      <c r="D235" s="36"/>
      <c r="E235" s="36">
        <v>60</v>
      </c>
      <c r="F235" s="27" t="s">
        <v>135</v>
      </c>
      <c r="G235" s="28">
        <v>55000</v>
      </c>
      <c r="H235" s="29">
        <f t="shared" si="167"/>
        <v>3300000</v>
      </c>
      <c r="I235" s="30">
        <v>3908731694</v>
      </c>
      <c r="J235" s="31">
        <f t="shared" si="168"/>
        <v>8.4426362778125236E-2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108">
        <v>7</v>
      </c>
      <c r="V235" s="108">
        <v>8</v>
      </c>
      <c r="W235" s="109">
        <f t="shared" si="169"/>
        <v>2</v>
      </c>
      <c r="X235" s="110">
        <f t="array" ref="X235">INDEX('KALENDER MINGGU'!$B$6:$B$21,U235)</f>
        <v>46268</v>
      </c>
      <c r="Y235" s="110">
        <f t="array" ref="Y235">INDEX('KALENDER MINGGU'!$C$6:$C$21,V235)</f>
        <v>46281</v>
      </c>
      <c r="AB235" s="109" t="str">
        <f t="shared" si="170"/>
        <v/>
      </c>
      <c r="AC235" s="109" t="str">
        <f t="shared" si="171"/>
        <v/>
      </c>
      <c r="AD235" s="109" t="str">
        <f t="shared" si="172"/>
        <v/>
      </c>
      <c r="AE235" s="109" t="str">
        <f t="shared" si="173"/>
        <v/>
      </c>
      <c r="AF235" s="109" t="str">
        <f t="shared" si="174"/>
        <v/>
      </c>
      <c r="AG235" s="109" t="str">
        <f t="shared" si="175"/>
        <v/>
      </c>
      <c r="AH235" s="109" t="str">
        <f t="shared" si="176"/>
        <v>■</v>
      </c>
      <c r="AI235" s="109" t="str">
        <f t="shared" si="177"/>
        <v>■</v>
      </c>
      <c r="AJ235" s="109" t="str">
        <f t="shared" si="178"/>
        <v/>
      </c>
      <c r="AK235" s="109" t="str">
        <f t="shared" si="179"/>
        <v/>
      </c>
      <c r="AL235" s="109" t="str">
        <f t="shared" si="180"/>
        <v/>
      </c>
      <c r="AM235" s="109" t="str">
        <f t="shared" si="181"/>
        <v/>
      </c>
      <c r="AN235" s="109" t="str">
        <f t="shared" si="182"/>
        <v/>
      </c>
      <c r="AO235" s="109" t="str">
        <f t="shared" si="183"/>
        <v/>
      </c>
      <c r="AP235" s="109" t="str">
        <f t="shared" si="184"/>
        <v/>
      </c>
      <c r="AQ235" s="109" t="str">
        <f t="shared" si="185"/>
        <v/>
      </c>
      <c r="AR235" t="s">
        <v>548</v>
      </c>
    </row>
    <row r="236" spans="1:44" ht="14.25" customHeight="1" x14ac:dyDescent="0.2">
      <c r="A236" s="6"/>
      <c r="B236" s="50">
        <v>4</v>
      </c>
      <c r="C236" s="46" t="s">
        <v>365</v>
      </c>
      <c r="D236" s="36"/>
      <c r="E236" s="36">
        <v>48</v>
      </c>
      <c r="F236" s="27" t="s">
        <v>135</v>
      </c>
      <c r="G236" s="28">
        <v>260000</v>
      </c>
      <c r="H236" s="29">
        <f t="shared" si="167"/>
        <v>12480000</v>
      </c>
      <c r="I236" s="30">
        <v>3908731694</v>
      </c>
      <c r="J236" s="31">
        <f t="shared" si="168"/>
        <v>0.31928515377909183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108">
        <v>8</v>
      </c>
      <c r="V236" s="108">
        <v>9</v>
      </c>
      <c r="W236" s="109">
        <f t="shared" si="169"/>
        <v>2</v>
      </c>
      <c r="X236" s="110">
        <f t="array" ref="X236">INDEX('KALENDER MINGGU'!$B$6:$B$21,U236)</f>
        <v>46275</v>
      </c>
      <c r="Y236" s="110">
        <f t="array" ref="Y236">INDEX('KALENDER MINGGU'!$C$6:$C$21,V236)</f>
        <v>46288</v>
      </c>
      <c r="AB236" s="109" t="str">
        <f t="shared" si="170"/>
        <v/>
      </c>
      <c r="AC236" s="109" t="str">
        <f t="shared" si="171"/>
        <v/>
      </c>
      <c r="AD236" s="109" t="str">
        <f t="shared" si="172"/>
        <v/>
      </c>
      <c r="AE236" s="109" t="str">
        <f t="shared" si="173"/>
        <v/>
      </c>
      <c r="AF236" s="109" t="str">
        <f t="shared" si="174"/>
        <v/>
      </c>
      <c r="AG236" s="109" t="str">
        <f t="shared" si="175"/>
        <v/>
      </c>
      <c r="AH236" s="109" t="str">
        <f t="shared" si="176"/>
        <v/>
      </c>
      <c r="AI236" s="109" t="str">
        <f t="shared" si="177"/>
        <v>■</v>
      </c>
      <c r="AJ236" s="109" t="str">
        <f t="shared" si="178"/>
        <v>■</v>
      </c>
      <c r="AK236" s="109" t="str">
        <f t="shared" si="179"/>
        <v/>
      </c>
      <c r="AL236" s="109" t="str">
        <f t="shared" si="180"/>
        <v/>
      </c>
      <c r="AM236" s="109" t="str">
        <f t="shared" si="181"/>
        <v/>
      </c>
      <c r="AN236" s="109" t="str">
        <f t="shared" si="182"/>
        <v/>
      </c>
      <c r="AO236" s="109" t="str">
        <f t="shared" si="183"/>
        <v/>
      </c>
      <c r="AP236" s="109" t="str">
        <f t="shared" si="184"/>
        <v/>
      </c>
      <c r="AQ236" s="109" t="str">
        <f t="shared" si="185"/>
        <v/>
      </c>
      <c r="AR236" t="s">
        <v>549</v>
      </c>
    </row>
    <row r="237" spans="1:44" ht="14.25" customHeight="1" x14ac:dyDescent="0.2">
      <c r="A237" s="6"/>
      <c r="B237" s="50">
        <v>5</v>
      </c>
      <c r="C237" s="46" t="s">
        <v>366</v>
      </c>
      <c r="D237" s="36"/>
      <c r="E237" s="36">
        <v>12</v>
      </c>
      <c r="F237" s="27" t="s">
        <v>135</v>
      </c>
      <c r="G237" s="28">
        <v>260000</v>
      </c>
      <c r="H237" s="29">
        <f t="shared" si="167"/>
        <v>3120000</v>
      </c>
      <c r="I237" s="30">
        <v>3908731694</v>
      </c>
      <c r="J237" s="31">
        <f t="shared" si="168"/>
        <v>7.9821288444772959E-2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108">
        <v>8</v>
      </c>
      <c r="V237" s="108">
        <v>9</v>
      </c>
      <c r="W237" s="109">
        <f t="shared" si="169"/>
        <v>2</v>
      </c>
      <c r="X237" s="110">
        <f t="array" ref="X237">INDEX('KALENDER MINGGU'!$B$6:$B$21,U237)</f>
        <v>46275</v>
      </c>
      <c r="Y237" s="110">
        <f t="array" ref="Y237">INDEX('KALENDER MINGGU'!$C$6:$C$21,V237)</f>
        <v>46288</v>
      </c>
      <c r="AB237" s="109" t="str">
        <f t="shared" si="170"/>
        <v/>
      </c>
      <c r="AC237" s="109" t="str">
        <f t="shared" si="171"/>
        <v/>
      </c>
      <c r="AD237" s="109" t="str">
        <f t="shared" si="172"/>
        <v/>
      </c>
      <c r="AE237" s="109" t="str">
        <f t="shared" si="173"/>
        <v/>
      </c>
      <c r="AF237" s="109" t="str">
        <f t="shared" si="174"/>
        <v/>
      </c>
      <c r="AG237" s="109" t="str">
        <f t="shared" si="175"/>
        <v/>
      </c>
      <c r="AH237" s="109" t="str">
        <f t="shared" si="176"/>
        <v/>
      </c>
      <c r="AI237" s="109" t="str">
        <f t="shared" si="177"/>
        <v>■</v>
      </c>
      <c r="AJ237" s="109" t="str">
        <f t="shared" si="178"/>
        <v>■</v>
      </c>
      <c r="AK237" s="109" t="str">
        <f t="shared" si="179"/>
        <v/>
      </c>
      <c r="AL237" s="109" t="str">
        <f t="shared" si="180"/>
        <v/>
      </c>
      <c r="AM237" s="109" t="str">
        <f t="shared" si="181"/>
        <v/>
      </c>
      <c r="AN237" s="109" t="str">
        <f t="shared" si="182"/>
        <v/>
      </c>
      <c r="AO237" s="109" t="str">
        <f t="shared" si="183"/>
        <v/>
      </c>
      <c r="AP237" s="109" t="str">
        <f t="shared" si="184"/>
        <v/>
      </c>
      <c r="AQ237" s="109" t="str">
        <f t="shared" si="185"/>
        <v/>
      </c>
      <c r="AR237" t="s">
        <v>550</v>
      </c>
    </row>
    <row r="238" spans="1:44" ht="14.25" customHeight="1" x14ac:dyDescent="0.2">
      <c r="A238" s="6"/>
      <c r="B238" s="50">
        <v>6</v>
      </c>
      <c r="C238" s="46" t="s">
        <v>367</v>
      </c>
      <c r="D238" s="82" t="s">
        <v>368</v>
      </c>
      <c r="E238" s="36">
        <v>48</v>
      </c>
      <c r="F238" s="27" t="s">
        <v>135</v>
      </c>
      <c r="G238" s="28">
        <v>330000</v>
      </c>
      <c r="H238" s="29">
        <f t="shared" si="167"/>
        <v>15840000</v>
      </c>
      <c r="I238" s="30">
        <v>3908731694</v>
      </c>
      <c r="J238" s="31">
        <f t="shared" si="168"/>
        <v>0.4052465413350011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108">
        <v>7</v>
      </c>
      <c r="V238" s="108">
        <v>8</v>
      </c>
      <c r="W238" s="109">
        <f t="shared" si="169"/>
        <v>2</v>
      </c>
      <c r="X238" s="110">
        <f t="array" ref="X238">INDEX('KALENDER MINGGU'!$B$6:$B$21,U238)</f>
        <v>46268</v>
      </c>
      <c r="Y238" s="110">
        <f t="array" ref="Y238">INDEX('KALENDER MINGGU'!$C$6:$C$21,V238)</f>
        <v>46281</v>
      </c>
      <c r="AB238" s="109" t="str">
        <f t="shared" si="170"/>
        <v/>
      </c>
      <c r="AC238" s="109" t="str">
        <f t="shared" si="171"/>
        <v/>
      </c>
      <c r="AD238" s="109" t="str">
        <f t="shared" si="172"/>
        <v/>
      </c>
      <c r="AE238" s="109" t="str">
        <f t="shared" si="173"/>
        <v/>
      </c>
      <c r="AF238" s="109" t="str">
        <f t="shared" si="174"/>
        <v/>
      </c>
      <c r="AG238" s="109" t="str">
        <f t="shared" si="175"/>
        <v/>
      </c>
      <c r="AH238" s="109" t="str">
        <f t="shared" si="176"/>
        <v>■</v>
      </c>
      <c r="AI238" s="109" t="str">
        <f t="shared" si="177"/>
        <v>■</v>
      </c>
      <c r="AJ238" s="109" t="str">
        <f t="shared" si="178"/>
        <v/>
      </c>
      <c r="AK238" s="109" t="str">
        <f t="shared" si="179"/>
        <v/>
      </c>
      <c r="AL238" s="109" t="str">
        <f t="shared" si="180"/>
        <v/>
      </c>
      <c r="AM238" s="109" t="str">
        <f t="shared" si="181"/>
        <v/>
      </c>
      <c r="AN238" s="109" t="str">
        <f t="shared" si="182"/>
        <v/>
      </c>
      <c r="AO238" s="109" t="str">
        <f t="shared" si="183"/>
        <v/>
      </c>
      <c r="AP238" s="109" t="str">
        <f t="shared" si="184"/>
        <v/>
      </c>
      <c r="AQ238" s="109" t="str">
        <f t="shared" si="185"/>
        <v/>
      </c>
      <c r="AR238" t="s">
        <v>551</v>
      </c>
    </row>
    <row r="239" spans="1:44" ht="14.25" customHeight="1" x14ac:dyDescent="0.2">
      <c r="A239" s="6"/>
      <c r="B239" s="50">
        <v>7</v>
      </c>
      <c r="C239" s="46" t="s">
        <v>369</v>
      </c>
      <c r="D239" s="82" t="s">
        <v>370</v>
      </c>
      <c r="E239" s="36">
        <f>42-24</f>
        <v>18</v>
      </c>
      <c r="F239" s="27" t="s">
        <v>135</v>
      </c>
      <c r="G239" s="28">
        <v>1495000</v>
      </c>
      <c r="H239" s="29">
        <f t="shared" si="167"/>
        <v>26910000</v>
      </c>
      <c r="I239" s="30">
        <v>3908731694</v>
      </c>
      <c r="J239" s="31">
        <f t="shared" si="168"/>
        <v>0.68845861283616672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108">
        <v>9</v>
      </c>
      <c r="V239" s="108">
        <v>10</v>
      </c>
      <c r="W239" s="109">
        <f t="shared" si="169"/>
        <v>2</v>
      </c>
      <c r="X239" s="110">
        <f t="array" ref="X239">INDEX('KALENDER MINGGU'!$B$6:$B$21,U239)</f>
        <v>46282</v>
      </c>
      <c r="Y239" s="110">
        <f t="array" ref="Y239">INDEX('KALENDER MINGGU'!$C$6:$C$21,V239)</f>
        <v>46295</v>
      </c>
      <c r="AB239" s="109" t="str">
        <f t="shared" si="170"/>
        <v/>
      </c>
      <c r="AC239" s="109" t="str">
        <f t="shared" si="171"/>
        <v/>
      </c>
      <c r="AD239" s="109" t="str">
        <f t="shared" si="172"/>
        <v/>
      </c>
      <c r="AE239" s="109" t="str">
        <f t="shared" si="173"/>
        <v/>
      </c>
      <c r="AF239" s="109" t="str">
        <f t="shared" si="174"/>
        <v/>
      </c>
      <c r="AG239" s="109" t="str">
        <f t="shared" si="175"/>
        <v/>
      </c>
      <c r="AH239" s="109" t="str">
        <f t="shared" si="176"/>
        <v/>
      </c>
      <c r="AI239" s="109" t="str">
        <f t="shared" si="177"/>
        <v/>
      </c>
      <c r="AJ239" s="109" t="str">
        <f t="shared" si="178"/>
        <v>■</v>
      </c>
      <c r="AK239" s="109" t="str">
        <f t="shared" si="179"/>
        <v>■</v>
      </c>
      <c r="AL239" s="109" t="str">
        <f t="shared" si="180"/>
        <v/>
      </c>
      <c r="AM239" s="109" t="str">
        <f t="shared" si="181"/>
        <v/>
      </c>
      <c r="AN239" s="109" t="str">
        <f t="shared" si="182"/>
        <v/>
      </c>
      <c r="AO239" s="109" t="str">
        <f t="shared" si="183"/>
        <v/>
      </c>
      <c r="AP239" s="109" t="str">
        <f t="shared" si="184"/>
        <v/>
      </c>
      <c r="AQ239" s="109" t="str">
        <f t="shared" si="185"/>
        <v/>
      </c>
      <c r="AR239" t="s">
        <v>552</v>
      </c>
    </row>
    <row r="240" spans="1:44" ht="14.25" customHeight="1" x14ac:dyDescent="0.2">
      <c r="A240" s="6"/>
      <c r="B240" s="50">
        <v>8</v>
      </c>
      <c r="C240" s="46" t="s">
        <v>371</v>
      </c>
      <c r="D240" s="82" t="s">
        <v>321</v>
      </c>
      <c r="E240" s="36">
        <v>1</v>
      </c>
      <c r="F240" s="27" t="s">
        <v>267</v>
      </c>
      <c r="G240" s="28">
        <v>5200000</v>
      </c>
      <c r="H240" s="29">
        <f t="shared" si="167"/>
        <v>5200000</v>
      </c>
      <c r="I240" s="30">
        <v>3908731694</v>
      </c>
      <c r="J240" s="31">
        <f t="shared" si="168"/>
        <v>0.13303548074128826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108">
        <v>9</v>
      </c>
      <c r="V240" s="108">
        <v>10</v>
      </c>
      <c r="W240" s="109">
        <f t="shared" si="169"/>
        <v>2</v>
      </c>
      <c r="X240" s="110">
        <f t="array" ref="X240">INDEX('KALENDER MINGGU'!$B$6:$B$21,U240)</f>
        <v>46282</v>
      </c>
      <c r="Y240" s="110">
        <f t="array" ref="Y240">INDEX('KALENDER MINGGU'!$C$6:$C$21,V240)</f>
        <v>46295</v>
      </c>
      <c r="AB240" s="109" t="str">
        <f t="shared" si="170"/>
        <v/>
      </c>
      <c r="AC240" s="109" t="str">
        <f t="shared" si="171"/>
        <v/>
      </c>
      <c r="AD240" s="109" t="str">
        <f t="shared" si="172"/>
        <v/>
      </c>
      <c r="AE240" s="109" t="str">
        <f t="shared" si="173"/>
        <v/>
      </c>
      <c r="AF240" s="109" t="str">
        <f t="shared" si="174"/>
        <v/>
      </c>
      <c r="AG240" s="109" t="str">
        <f t="shared" si="175"/>
        <v/>
      </c>
      <c r="AH240" s="109" t="str">
        <f t="shared" si="176"/>
        <v/>
      </c>
      <c r="AI240" s="109" t="str">
        <f t="shared" si="177"/>
        <v/>
      </c>
      <c r="AJ240" s="109" t="str">
        <f t="shared" si="178"/>
        <v>■</v>
      </c>
      <c r="AK240" s="109" t="str">
        <f t="shared" si="179"/>
        <v>■</v>
      </c>
      <c r="AL240" s="109" t="str">
        <f t="shared" si="180"/>
        <v/>
      </c>
      <c r="AM240" s="109" t="str">
        <f t="shared" si="181"/>
        <v/>
      </c>
      <c r="AN240" s="109" t="str">
        <f t="shared" si="182"/>
        <v/>
      </c>
      <c r="AO240" s="109" t="str">
        <f t="shared" si="183"/>
        <v/>
      </c>
      <c r="AP240" s="109" t="str">
        <f t="shared" si="184"/>
        <v/>
      </c>
      <c r="AQ240" s="109" t="str">
        <f t="shared" si="185"/>
        <v/>
      </c>
      <c r="AR240" t="s">
        <v>553</v>
      </c>
    </row>
    <row r="241" spans="1:44" ht="14.25" customHeight="1" x14ac:dyDescent="0.2">
      <c r="A241" s="6"/>
      <c r="B241" s="50">
        <v>9</v>
      </c>
      <c r="C241" s="46" t="s">
        <v>372</v>
      </c>
      <c r="D241" s="36"/>
      <c r="E241" s="36">
        <v>10</v>
      </c>
      <c r="F241" s="27" t="s">
        <v>267</v>
      </c>
      <c r="G241" s="28">
        <v>234000</v>
      </c>
      <c r="H241" s="29">
        <f t="shared" si="167"/>
        <v>2340000</v>
      </c>
      <c r="I241" s="30">
        <v>3908731694</v>
      </c>
      <c r="J241" s="31">
        <f t="shared" si="168"/>
        <v>5.9865966333579719E-2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108">
        <v>9</v>
      </c>
      <c r="V241" s="108">
        <v>10</v>
      </c>
      <c r="W241" s="109">
        <f t="shared" si="169"/>
        <v>2</v>
      </c>
      <c r="X241" s="110">
        <f t="array" ref="X241">INDEX('KALENDER MINGGU'!$B$6:$B$21,U241)</f>
        <v>46282</v>
      </c>
      <c r="Y241" s="110">
        <f t="array" ref="Y241">INDEX('KALENDER MINGGU'!$C$6:$C$21,V241)</f>
        <v>46295</v>
      </c>
      <c r="AB241" s="109" t="str">
        <f t="shared" si="170"/>
        <v/>
      </c>
      <c r="AC241" s="109" t="str">
        <f t="shared" si="171"/>
        <v/>
      </c>
      <c r="AD241" s="109" t="str">
        <f t="shared" si="172"/>
        <v/>
      </c>
      <c r="AE241" s="109" t="str">
        <f t="shared" si="173"/>
        <v/>
      </c>
      <c r="AF241" s="109" t="str">
        <f t="shared" si="174"/>
        <v/>
      </c>
      <c r="AG241" s="109" t="str">
        <f t="shared" si="175"/>
        <v/>
      </c>
      <c r="AH241" s="109" t="str">
        <f t="shared" si="176"/>
        <v/>
      </c>
      <c r="AI241" s="109" t="str">
        <f t="shared" si="177"/>
        <v/>
      </c>
      <c r="AJ241" s="109" t="str">
        <f t="shared" si="178"/>
        <v>■</v>
      </c>
      <c r="AK241" s="109" t="str">
        <f t="shared" si="179"/>
        <v>■</v>
      </c>
      <c r="AL241" s="109" t="str">
        <f t="shared" si="180"/>
        <v/>
      </c>
      <c r="AM241" s="109" t="str">
        <f t="shared" si="181"/>
        <v/>
      </c>
      <c r="AN241" s="109" t="str">
        <f t="shared" si="182"/>
        <v/>
      </c>
      <c r="AO241" s="109" t="str">
        <f t="shared" si="183"/>
        <v/>
      </c>
      <c r="AP241" s="109" t="str">
        <f t="shared" si="184"/>
        <v/>
      </c>
      <c r="AQ241" s="109" t="str">
        <f t="shared" si="185"/>
        <v/>
      </c>
      <c r="AR241" t="s">
        <v>554</v>
      </c>
    </row>
    <row r="242" spans="1:44" ht="14.25" customHeight="1" x14ac:dyDescent="0.2">
      <c r="A242" s="6"/>
      <c r="B242" s="50">
        <v>10</v>
      </c>
      <c r="C242" s="46" t="s">
        <v>373</v>
      </c>
      <c r="D242" s="36"/>
      <c r="E242" s="36">
        <v>14</v>
      </c>
      <c r="F242" s="27" t="s">
        <v>267</v>
      </c>
      <c r="G242" s="28">
        <v>280000</v>
      </c>
      <c r="H242" s="29">
        <f t="shared" si="167"/>
        <v>3920000</v>
      </c>
      <c r="I242" s="30">
        <v>3908731694</v>
      </c>
      <c r="J242" s="31">
        <f t="shared" si="168"/>
        <v>0.10028828548189422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108">
        <v>9</v>
      </c>
      <c r="V242" s="108">
        <v>10</v>
      </c>
      <c r="W242" s="109">
        <f t="shared" si="169"/>
        <v>2</v>
      </c>
      <c r="X242" s="110">
        <f t="array" ref="X242">INDEX('KALENDER MINGGU'!$B$6:$B$21,U242)</f>
        <v>46282</v>
      </c>
      <c r="Y242" s="110">
        <f t="array" ref="Y242">INDEX('KALENDER MINGGU'!$C$6:$C$21,V242)</f>
        <v>46295</v>
      </c>
      <c r="AB242" s="109" t="str">
        <f t="shared" si="170"/>
        <v/>
      </c>
      <c r="AC242" s="109" t="str">
        <f t="shared" si="171"/>
        <v/>
      </c>
      <c r="AD242" s="109" t="str">
        <f t="shared" si="172"/>
        <v/>
      </c>
      <c r="AE242" s="109" t="str">
        <f t="shared" si="173"/>
        <v/>
      </c>
      <c r="AF242" s="109" t="str">
        <f t="shared" si="174"/>
        <v/>
      </c>
      <c r="AG242" s="109" t="str">
        <f t="shared" si="175"/>
        <v/>
      </c>
      <c r="AH242" s="109" t="str">
        <f t="shared" si="176"/>
        <v/>
      </c>
      <c r="AI242" s="109" t="str">
        <f t="shared" si="177"/>
        <v/>
      </c>
      <c r="AJ242" s="109" t="str">
        <f t="shared" si="178"/>
        <v>■</v>
      </c>
      <c r="AK242" s="109" t="str">
        <f t="shared" si="179"/>
        <v>■</v>
      </c>
      <c r="AL242" s="109" t="str">
        <f t="shared" si="180"/>
        <v/>
      </c>
      <c r="AM242" s="109" t="str">
        <f t="shared" si="181"/>
        <v/>
      </c>
      <c r="AN242" s="109" t="str">
        <f t="shared" si="182"/>
        <v/>
      </c>
      <c r="AO242" s="109" t="str">
        <f t="shared" si="183"/>
        <v/>
      </c>
      <c r="AP242" s="109" t="str">
        <f t="shared" si="184"/>
        <v/>
      </c>
      <c r="AQ242" s="109" t="str">
        <f t="shared" si="185"/>
        <v/>
      </c>
      <c r="AR242" t="s">
        <v>555</v>
      </c>
    </row>
    <row r="243" spans="1:44" ht="14.25" customHeight="1" x14ac:dyDescent="0.2">
      <c r="A243" s="6"/>
      <c r="B243" s="50">
        <v>11</v>
      </c>
      <c r="C243" s="46" t="s">
        <v>374</v>
      </c>
      <c r="D243" s="36"/>
      <c r="E243" s="36">
        <v>2</v>
      </c>
      <c r="F243" s="27" t="s">
        <v>375</v>
      </c>
      <c r="G243" s="28">
        <v>11050000</v>
      </c>
      <c r="H243" s="29">
        <f t="shared" si="167"/>
        <v>22100000</v>
      </c>
      <c r="I243" s="30">
        <v>3908731694</v>
      </c>
      <c r="J243" s="31">
        <f t="shared" si="168"/>
        <v>0.56540079315047509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108">
        <v>9</v>
      </c>
      <c r="V243" s="108">
        <v>10</v>
      </c>
      <c r="W243" s="109">
        <f t="shared" si="169"/>
        <v>2</v>
      </c>
      <c r="X243" s="110">
        <f t="array" ref="X243">INDEX('KALENDER MINGGU'!$B$6:$B$21,U243)</f>
        <v>46282</v>
      </c>
      <c r="Y243" s="110">
        <f t="array" ref="Y243">INDEX('KALENDER MINGGU'!$C$6:$C$21,V243)</f>
        <v>46295</v>
      </c>
      <c r="AB243" s="109" t="str">
        <f t="shared" si="170"/>
        <v/>
      </c>
      <c r="AC243" s="109" t="str">
        <f t="shared" si="171"/>
        <v/>
      </c>
      <c r="AD243" s="109" t="str">
        <f t="shared" si="172"/>
        <v/>
      </c>
      <c r="AE243" s="109" t="str">
        <f t="shared" si="173"/>
        <v/>
      </c>
      <c r="AF243" s="109" t="str">
        <f t="shared" si="174"/>
        <v/>
      </c>
      <c r="AG243" s="109" t="str">
        <f t="shared" si="175"/>
        <v/>
      </c>
      <c r="AH243" s="109" t="str">
        <f t="shared" si="176"/>
        <v/>
      </c>
      <c r="AI243" s="109" t="str">
        <f t="shared" si="177"/>
        <v/>
      </c>
      <c r="AJ243" s="109" t="str">
        <f t="shared" si="178"/>
        <v>■</v>
      </c>
      <c r="AK243" s="109" t="str">
        <f t="shared" si="179"/>
        <v>■</v>
      </c>
      <c r="AL243" s="109" t="str">
        <f t="shared" si="180"/>
        <v/>
      </c>
      <c r="AM243" s="109" t="str">
        <f t="shared" si="181"/>
        <v/>
      </c>
      <c r="AN243" s="109" t="str">
        <f t="shared" si="182"/>
        <v/>
      </c>
      <c r="AO243" s="109" t="str">
        <f t="shared" si="183"/>
        <v/>
      </c>
      <c r="AP243" s="109" t="str">
        <f t="shared" si="184"/>
        <v/>
      </c>
      <c r="AQ243" s="109" t="str">
        <f t="shared" si="185"/>
        <v/>
      </c>
      <c r="AR243" t="s">
        <v>556</v>
      </c>
    </row>
    <row r="244" spans="1:44" ht="14.25" customHeight="1" x14ac:dyDescent="0.2">
      <c r="A244" s="6"/>
      <c r="B244" s="50">
        <v>12</v>
      </c>
      <c r="C244" s="46" t="s">
        <v>376</v>
      </c>
      <c r="D244" s="36"/>
      <c r="E244" s="36">
        <v>8</v>
      </c>
      <c r="F244" s="27" t="s">
        <v>135</v>
      </c>
      <c r="G244" s="28">
        <v>455000</v>
      </c>
      <c r="H244" s="29">
        <f t="shared" si="167"/>
        <v>3640000</v>
      </c>
      <c r="I244" s="30">
        <v>3908731694</v>
      </c>
      <c r="J244" s="31">
        <f t="shared" si="168"/>
        <v>9.3124836518901771E-2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108">
        <v>10</v>
      </c>
      <c r="V244" s="108">
        <v>12</v>
      </c>
      <c r="W244" s="109">
        <f t="shared" si="169"/>
        <v>3</v>
      </c>
      <c r="X244" s="110">
        <f t="array" ref="X244">INDEX('KALENDER MINGGU'!$B$6:$B$21,U244)</f>
        <v>46289</v>
      </c>
      <c r="Y244" s="110">
        <f t="array" ref="Y244">INDEX('KALENDER MINGGU'!$C$6:$C$21,V244)</f>
        <v>46309</v>
      </c>
      <c r="AB244" s="109" t="str">
        <f t="shared" si="170"/>
        <v/>
      </c>
      <c r="AC244" s="109" t="str">
        <f t="shared" si="171"/>
        <v/>
      </c>
      <c r="AD244" s="109" t="str">
        <f t="shared" si="172"/>
        <v/>
      </c>
      <c r="AE244" s="109" t="str">
        <f t="shared" si="173"/>
        <v/>
      </c>
      <c r="AF244" s="109" t="str">
        <f t="shared" si="174"/>
        <v/>
      </c>
      <c r="AG244" s="109" t="str">
        <f t="shared" si="175"/>
        <v/>
      </c>
      <c r="AH244" s="109" t="str">
        <f t="shared" si="176"/>
        <v/>
      </c>
      <c r="AI244" s="109" t="str">
        <f t="shared" si="177"/>
        <v/>
      </c>
      <c r="AJ244" s="109" t="str">
        <f t="shared" si="178"/>
        <v/>
      </c>
      <c r="AK244" s="109" t="str">
        <f t="shared" si="179"/>
        <v>■</v>
      </c>
      <c r="AL244" s="109" t="str">
        <f t="shared" si="180"/>
        <v>■</v>
      </c>
      <c r="AM244" s="109" t="str">
        <f t="shared" si="181"/>
        <v>■</v>
      </c>
      <c r="AN244" s="109" t="str">
        <f t="shared" si="182"/>
        <v/>
      </c>
      <c r="AO244" s="109" t="str">
        <f t="shared" si="183"/>
        <v/>
      </c>
      <c r="AP244" s="109" t="str">
        <f t="shared" si="184"/>
        <v/>
      </c>
      <c r="AQ244" s="109" t="str">
        <f t="shared" si="185"/>
        <v/>
      </c>
      <c r="AR244" t="s">
        <v>557</v>
      </c>
    </row>
    <row r="245" spans="1:44" ht="14.25" customHeight="1" x14ac:dyDescent="0.2">
      <c r="A245" s="6"/>
      <c r="B245" s="50">
        <v>13</v>
      </c>
      <c r="C245" s="46" t="s">
        <v>377</v>
      </c>
      <c r="D245" s="36"/>
      <c r="E245" s="36">
        <v>1</v>
      </c>
      <c r="F245" s="27" t="s">
        <v>73</v>
      </c>
      <c r="G245" s="28">
        <v>8000000</v>
      </c>
      <c r="H245" s="29">
        <f t="shared" si="167"/>
        <v>8000000</v>
      </c>
      <c r="I245" s="30">
        <v>3908731694</v>
      </c>
      <c r="J245" s="31">
        <f t="shared" si="168"/>
        <v>0.20466997037121271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108">
        <v>10</v>
      </c>
      <c r="V245" s="108">
        <v>12</v>
      </c>
      <c r="W245" s="109">
        <f t="shared" si="169"/>
        <v>3</v>
      </c>
      <c r="X245" s="110">
        <f t="array" ref="X245">INDEX('KALENDER MINGGU'!$B$6:$B$21,U245)</f>
        <v>46289</v>
      </c>
      <c r="Y245" s="110">
        <f t="array" ref="Y245">INDEX('KALENDER MINGGU'!$C$6:$C$21,V245)</f>
        <v>46309</v>
      </c>
      <c r="AB245" s="109" t="str">
        <f t="shared" si="170"/>
        <v/>
      </c>
      <c r="AC245" s="109" t="str">
        <f t="shared" si="171"/>
        <v/>
      </c>
      <c r="AD245" s="109" t="str">
        <f t="shared" si="172"/>
        <v/>
      </c>
      <c r="AE245" s="109" t="str">
        <f t="shared" si="173"/>
        <v/>
      </c>
      <c r="AF245" s="109" t="str">
        <f t="shared" si="174"/>
        <v/>
      </c>
      <c r="AG245" s="109" t="str">
        <f t="shared" si="175"/>
        <v/>
      </c>
      <c r="AH245" s="109" t="str">
        <f t="shared" si="176"/>
        <v/>
      </c>
      <c r="AI245" s="109" t="str">
        <f t="shared" si="177"/>
        <v/>
      </c>
      <c r="AJ245" s="109" t="str">
        <f t="shared" si="178"/>
        <v/>
      </c>
      <c r="AK245" s="109" t="str">
        <f t="shared" si="179"/>
        <v>■</v>
      </c>
      <c r="AL245" s="109" t="str">
        <f t="shared" si="180"/>
        <v>■</v>
      </c>
      <c r="AM245" s="109" t="str">
        <f t="shared" si="181"/>
        <v>■</v>
      </c>
      <c r="AN245" s="109" t="str">
        <f t="shared" si="182"/>
        <v/>
      </c>
      <c r="AO245" s="109" t="str">
        <f t="shared" si="183"/>
        <v/>
      </c>
      <c r="AP245" s="109" t="str">
        <f t="shared" si="184"/>
        <v/>
      </c>
      <c r="AQ245" s="109" t="str">
        <f t="shared" si="185"/>
        <v/>
      </c>
      <c r="AR245" t="s">
        <v>558</v>
      </c>
    </row>
    <row r="246" spans="1:44" ht="14.25" customHeight="1" x14ac:dyDescent="0.2">
      <c r="A246" s="6"/>
      <c r="B246" s="50"/>
      <c r="C246" s="24"/>
      <c r="D246" s="36"/>
      <c r="E246" s="36"/>
      <c r="F246" s="27"/>
      <c r="G246" s="28"/>
      <c r="H246" s="49">
        <f>SUM(H233:H245)</f>
        <v>146700000</v>
      </c>
      <c r="I246" s="30">
        <v>3908731694</v>
      </c>
      <c r="J246" s="43">
        <f t="shared" si="168"/>
        <v>3.7531355816821126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109">
        <f>MIN(U233:U245)</f>
        <v>5</v>
      </c>
      <c r="V246" s="109">
        <f>MAX(V233:V245)</f>
        <v>12</v>
      </c>
      <c r="W246" s="109">
        <f t="shared" si="169"/>
        <v>8</v>
      </c>
      <c r="X246" s="110">
        <f t="array" ref="X246">INDEX('KALENDER MINGGU'!$B$6:$B$21,U246)</f>
        <v>46254</v>
      </c>
      <c r="Y246" s="110">
        <f t="array" ref="Y246">INDEX('KALENDER MINGGU'!$C$6:$C$21,V246)</f>
        <v>46309</v>
      </c>
      <c r="Z246" s="111">
        <f>SUM(TS!M60:AB60)/TS!L59*100</f>
        <v>44.575323790047719</v>
      </c>
      <c r="AA246" s="109" t="str">
        <f ca="1">IF(Z246&gt;=99.9,"COMPLETED",IF(U246&gt;'RENCANA MINGGUAN'!$J$7,"NOT STARTED",IF(V246&lt;'RENCANA MINGGUAN'!$J$7,"CRITICAL",IF(Z246+1&lt;W246,"DELAYED","ON SCHEDULE"))))</f>
        <v>ON SCHEDULE</v>
      </c>
      <c r="AB246" s="109" t="str">
        <f>IF(AND(U246&lt;=1,V246&gt;=1),"■","")</f>
        <v/>
      </c>
      <c r="AC246" s="109" t="str">
        <f>IF(AND(U246&lt;=2,V246&gt;=2),"■","")</f>
        <v/>
      </c>
      <c r="AD246" s="109" t="str">
        <f>IF(AND(U246&lt;=3,V246&gt;=3),"■","")</f>
        <v/>
      </c>
      <c r="AE246" s="109" t="str">
        <f>IF(AND(U246&lt;=4,V246&gt;=4),"■","")</f>
        <v/>
      </c>
      <c r="AF246" s="109" t="str">
        <f>IF(AND(U246&lt;=5,V246&gt;=5),"■","")</f>
        <v>■</v>
      </c>
      <c r="AG246" s="109" t="str">
        <f>IF(AND(U246&lt;=6,V246&gt;=6),"■","")</f>
        <v>■</v>
      </c>
      <c r="AH246" s="109" t="str">
        <f>IF(AND(U246&lt;=7,V246&gt;=7),"■","")</f>
        <v>■</v>
      </c>
      <c r="AI246" s="109" t="str">
        <f>IF(AND(U246&lt;=8,V246&gt;=8),"■","")</f>
        <v>■</v>
      </c>
      <c r="AJ246" s="109" t="str">
        <f>IF(AND(U246&lt;=9,V246&gt;=9),"■","")</f>
        <v>■</v>
      </c>
      <c r="AK246" s="109" t="str">
        <f>IF(AND(U246&lt;=10,V246&gt;=10),"■","")</f>
        <v>■</v>
      </c>
      <c r="AL246" s="109" t="str">
        <f>IF(AND(U246&lt;=11,V246&gt;=11),"■","")</f>
        <v>■</v>
      </c>
      <c r="AM246" s="109" t="str">
        <f>IF(AND(U246&lt;=12,V246&gt;=12),"■","")</f>
        <v>■</v>
      </c>
      <c r="AN246" s="109" t="str">
        <f>IF(AND(U246&lt;=13,V246&gt;=13),"■","")</f>
        <v/>
      </c>
      <c r="AO246" s="109" t="str">
        <f>IF(AND(U246&lt;=14,V246&gt;=14),"■","")</f>
        <v/>
      </c>
      <c r="AP246" s="109" t="str">
        <f>IF(AND(U246&lt;=15,V246&gt;=15),"■","")</f>
        <v/>
      </c>
      <c r="AQ246" s="109" t="str">
        <f>IF(AND(U246&lt;=16,V246&gt;=16),"■","")</f>
        <v/>
      </c>
    </row>
    <row r="247" spans="1:44" ht="14.25" customHeight="1" x14ac:dyDescent="0.25">
      <c r="A247" s="6"/>
      <c r="B247" s="38" t="s">
        <v>122</v>
      </c>
      <c r="C247" s="86" t="s">
        <v>559</v>
      </c>
      <c r="D247" s="39"/>
      <c r="E247" s="39"/>
      <c r="F247" s="40"/>
      <c r="G247" s="41"/>
      <c r="H247" s="89"/>
      <c r="I247" s="75"/>
      <c r="J247" s="68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1:44" ht="14.25" customHeight="1" x14ac:dyDescent="0.2">
      <c r="A248" s="6"/>
      <c r="B248" s="50">
        <v>1</v>
      </c>
      <c r="C248" s="46" t="s">
        <v>378</v>
      </c>
      <c r="D248" s="36"/>
      <c r="E248" s="36">
        <v>20</v>
      </c>
      <c r="F248" s="27" t="s">
        <v>135</v>
      </c>
      <c r="G248" s="28">
        <v>185000</v>
      </c>
      <c r="H248" s="29">
        <f>G248*E248</f>
        <v>3700000</v>
      </c>
      <c r="I248" s="30">
        <v>3908731694</v>
      </c>
      <c r="J248" s="31">
        <f>H248/I248*100</f>
        <v>9.4659861296685868E-2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108">
        <v>9</v>
      </c>
      <c r="V248" s="108">
        <v>10</v>
      </c>
      <c r="W248" s="109">
        <f>MAX(1,V248-U248+1)</f>
        <v>2</v>
      </c>
      <c r="X248" s="110">
        <f t="array" ref="X248">INDEX('KALENDER MINGGU'!$B$6:$B$21,U248)</f>
        <v>46282</v>
      </c>
      <c r="Y248" s="110">
        <f t="array" ref="Y248">INDEX('KALENDER MINGGU'!$C$6:$C$21,V248)</f>
        <v>46295</v>
      </c>
      <c r="AB248" s="109" t="str">
        <f>IF(AND($U248&lt;=1,$V248&gt;=1),"■","")</f>
        <v/>
      </c>
      <c r="AC248" s="109" t="str">
        <f>IF(AND($U248&lt;=2,$V248&gt;=2),"■","")</f>
        <v/>
      </c>
      <c r="AD248" s="109" t="str">
        <f>IF(AND($U248&lt;=3,$V248&gt;=3),"■","")</f>
        <v/>
      </c>
      <c r="AE248" s="109" t="str">
        <f>IF(AND($U248&lt;=4,$V248&gt;=4),"■","")</f>
        <v/>
      </c>
      <c r="AF248" s="109" t="str">
        <f>IF(AND($U248&lt;=5,$V248&gt;=5),"■","")</f>
        <v/>
      </c>
      <c r="AG248" s="109" t="str">
        <f>IF(AND($U248&lt;=6,$V248&gt;=6),"■","")</f>
        <v/>
      </c>
      <c r="AH248" s="109" t="str">
        <f>IF(AND($U248&lt;=7,$V248&gt;=7),"■","")</f>
        <v/>
      </c>
      <c r="AI248" s="109" t="str">
        <f>IF(AND($U248&lt;=8,$V248&gt;=8),"■","")</f>
        <v/>
      </c>
      <c r="AJ248" s="109" t="str">
        <f>IF(AND($U248&lt;=9,$V248&gt;=9),"■","")</f>
        <v>■</v>
      </c>
      <c r="AK248" s="109" t="str">
        <f>IF(AND($U248&lt;=10,$V248&gt;=10),"■","")</f>
        <v>■</v>
      </c>
      <c r="AL248" s="109" t="str">
        <f>IF(AND($U248&lt;=11,$V248&gt;=11),"■","")</f>
        <v/>
      </c>
      <c r="AM248" s="109" t="str">
        <f>IF(AND($U248&lt;=12,$V248&gt;=12),"■","")</f>
        <v/>
      </c>
      <c r="AN248" s="109" t="str">
        <f>IF(AND($U248&lt;=13,$V248&gt;=13),"■","")</f>
        <v/>
      </c>
      <c r="AO248" s="109" t="str">
        <f>IF(AND($U248&lt;=14,$V248&gt;=14),"■","")</f>
        <v/>
      </c>
      <c r="AP248" s="109" t="str">
        <f>IF(AND($U248&lt;=15,$V248&gt;=15),"■","")</f>
        <v/>
      </c>
      <c r="AQ248" s="109" t="str">
        <f>IF(AND($U248&lt;=16,$V248&gt;=16),"■","")</f>
        <v/>
      </c>
      <c r="AR248" t="s">
        <v>560</v>
      </c>
    </row>
    <row r="249" spans="1:44" ht="14.25" customHeight="1" x14ac:dyDescent="0.2">
      <c r="A249" s="6"/>
      <c r="B249" s="50">
        <v>2</v>
      </c>
      <c r="C249" s="24" t="s">
        <v>300</v>
      </c>
      <c r="D249" s="82"/>
      <c r="E249" s="36">
        <v>1</v>
      </c>
      <c r="F249" s="27" t="s">
        <v>73</v>
      </c>
      <c r="G249" s="28">
        <v>390000</v>
      </c>
      <c r="H249" s="29">
        <f>G249*E249</f>
        <v>390000</v>
      </c>
      <c r="I249" s="30">
        <v>3908731694</v>
      </c>
      <c r="J249" s="31">
        <f>H249/I249*100</f>
        <v>9.9776610555966198E-3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108">
        <v>9</v>
      </c>
      <c r="V249" s="108">
        <v>10</v>
      </c>
      <c r="W249" s="109">
        <f>MAX(1,V249-U249+1)</f>
        <v>2</v>
      </c>
      <c r="X249" s="110">
        <f t="array" ref="X249">INDEX('KALENDER MINGGU'!$B$6:$B$21,U249)</f>
        <v>46282</v>
      </c>
      <c r="Y249" s="110">
        <f t="array" ref="Y249">INDEX('KALENDER MINGGU'!$C$6:$C$21,V249)</f>
        <v>46295</v>
      </c>
      <c r="AB249" s="109" t="str">
        <f>IF(AND($U249&lt;=1,$V249&gt;=1),"■","")</f>
        <v/>
      </c>
      <c r="AC249" s="109" t="str">
        <f>IF(AND($U249&lt;=2,$V249&gt;=2),"■","")</f>
        <v/>
      </c>
      <c r="AD249" s="109" t="str">
        <f>IF(AND($U249&lt;=3,$V249&gt;=3),"■","")</f>
        <v/>
      </c>
      <c r="AE249" s="109" t="str">
        <f>IF(AND($U249&lt;=4,$V249&gt;=4),"■","")</f>
        <v/>
      </c>
      <c r="AF249" s="109" t="str">
        <f>IF(AND($U249&lt;=5,$V249&gt;=5),"■","")</f>
        <v/>
      </c>
      <c r="AG249" s="109" t="str">
        <f>IF(AND($U249&lt;=6,$V249&gt;=6),"■","")</f>
        <v/>
      </c>
      <c r="AH249" s="109" t="str">
        <f>IF(AND($U249&lt;=7,$V249&gt;=7),"■","")</f>
        <v/>
      </c>
      <c r="AI249" s="109" t="str">
        <f>IF(AND($U249&lt;=8,$V249&gt;=8),"■","")</f>
        <v/>
      </c>
      <c r="AJ249" s="109" t="str">
        <f>IF(AND($U249&lt;=9,$V249&gt;=9),"■","")</f>
        <v>■</v>
      </c>
      <c r="AK249" s="109" t="str">
        <f>IF(AND($U249&lt;=10,$V249&gt;=10),"■","")</f>
        <v>■</v>
      </c>
      <c r="AL249" s="109" t="str">
        <f>IF(AND($U249&lt;=11,$V249&gt;=11),"■","")</f>
        <v/>
      </c>
      <c r="AM249" s="109" t="str">
        <f>IF(AND($U249&lt;=12,$V249&gt;=12),"■","")</f>
        <v/>
      </c>
      <c r="AN249" s="109" t="str">
        <f>IF(AND($U249&lt;=13,$V249&gt;=13),"■","")</f>
        <v/>
      </c>
      <c r="AO249" s="109" t="str">
        <f>IF(AND($U249&lt;=14,$V249&gt;=14),"■","")</f>
        <v/>
      </c>
      <c r="AP249" s="109" t="str">
        <f>IF(AND($U249&lt;=15,$V249&gt;=15),"■","")</f>
        <v/>
      </c>
      <c r="AQ249" s="109" t="str">
        <f>IF(AND($U249&lt;=16,$V249&gt;=16),"■","")</f>
        <v/>
      </c>
      <c r="AR249" t="s">
        <v>561</v>
      </c>
    </row>
    <row r="250" spans="1:44" ht="14.25" customHeight="1" x14ac:dyDescent="0.2">
      <c r="A250" s="6"/>
      <c r="B250" s="50">
        <v>3</v>
      </c>
      <c r="C250" s="46" t="s">
        <v>379</v>
      </c>
      <c r="D250" s="82" t="s">
        <v>380</v>
      </c>
      <c r="E250" s="36">
        <v>30</v>
      </c>
      <c r="F250" s="27" t="s">
        <v>135</v>
      </c>
      <c r="G250" s="28">
        <v>260000</v>
      </c>
      <c r="H250" s="29">
        <f>G250*E250</f>
        <v>7800000</v>
      </c>
      <c r="I250" s="30">
        <v>3908731694</v>
      </c>
      <c r="J250" s="31">
        <f>H250/I250*100</f>
        <v>0.19955322111193238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108">
        <v>9</v>
      </c>
      <c r="V250" s="108">
        <v>10</v>
      </c>
      <c r="W250" s="109">
        <f>MAX(1,V250-U250+1)</f>
        <v>2</v>
      </c>
      <c r="X250" s="110">
        <f t="array" ref="X250">INDEX('KALENDER MINGGU'!$B$6:$B$21,U250)</f>
        <v>46282</v>
      </c>
      <c r="Y250" s="110">
        <f t="array" ref="Y250">INDEX('KALENDER MINGGU'!$C$6:$C$21,V250)</f>
        <v>46295</v>
      </c>
      <c r="AB250" s="109" t="str">
        <f>IF(AND($U250&lt;=1,$V250&gt;=1),"■","")</f>
        <v/>
      </c>
      <c r="AC250" s="109" t="str">
        <f>IF(AND($U250&lt;=2,$V250&gt;=2),"■","")</f>
        <v/>
      </c>
      <c r="AD250" s="109" t="str">
        <f>IF(AND($U250&lt;=3,$V250&gt;=3),"■","")</f>
        <v/>
      </c>
      <c r="AE250" s="109" t="str">
        <f>IF(AND($U250&lt;=4,$V250&gt;=4),"■","")</f>
        <v/>
      </c>
      <c r="AF250" s="109" t="str">
        <f>IF(AND($U250&lt;=5,$V250&gt;=5),"■","")</f>
        <v/>
      </c>
      <c r="AG250" s="109" t="str">
        <f>IF(AND($U250&lt;=6,$V250&gt;=6),"■","")</f>
        <v/>
      </c>
      <c r="AH250" s="109" t="str">
        <f>IF(AND($U250&lt;=7,$V250&gt;=7),"■","")</f>
        <v/>
      </c>
      <c r="AI250" s="109" t="str">
        <f>IF(AND($U250&lt;=8,$V250&gt;=8),"■","")</f>
        <v/>
      </c>
      <c r="AJ250" s="109" t="str">
        <f>IF(AND($U250&lt;=9,$V250&gt;=9),"■","")</f>
        <v>■</v>
      </c>
      <c r="AK250" s="109" t="str">
        <f>IF(AND($U250&lt;=10,$V250&gt;=10),"■","")</f>
        <v>■</v>
      </c>
      <c r="AL250" s="109" t="str">
        <f>IF(AND($U250&lt;=11,$V250&gt;=11),"■","")</f>
        <v/>
      </c>
      <c r="AM250" s="109" t="str">
        <f>IF(AND($U250&lt;=12,$V250&gt;=12),"■","")</f>
        <v/>
      </c>
      <c r="AN250" s="109" t="str">
        <f>IF(AND($U250&lt;=13,$V250&gt;=13),"■","")</f>
        <v/>
      </c>
      <c r="AO250" s="109" t="str">
        <f>IF(AND($U250&lt;=14,$V250&gt;=14),"■","")</f>
        <v/>
      </c>
      <c r="AP250" s="109" t="str">
        <f>IF(AND($U250&lt;=15,$V250&gt;=15),"■","")</f>
        <v/>
      </c>
      <c r="AQ250" s="109" t="str">
        <f>IF(AND($U250&lt;=16,$V250&gt;=16),"■","")</f>
        <v/>
      </c>
      <c r="AR250" t="s">
        <v>562</v>
      </c>
    </row>
    <row r="251" spans="1:44" ht="14.25" customHeight="1" x14ac:dyDescent="0.2">
      <c r="A251" s="6"/>
      <c r="B251" s="90"/>
      <c r="C251" s="91"/>
      <c r="D251" s="92"/>
      <c r="E251" s="93"/>
      <c r="F251" s="90"/>
      <c r="G251" s="94"/>
      <c r="H251" s="49">
        <f>SUM(H248:H250)</f>
        <v>11890000</v>
      </c>
      <c r="I251" s="30">
        <v>3908731694</v>
      </c>
      <c r="J251" s="43">
        <f>H251/I251*100</f>
        <v>0.30419074346421487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109">
        <f>MIN(U248:U250)</f>
        <v>9</v>
      </c>
      <c r="V251" s="109">
        <f>MAX(V248:V250)</f>
        <v>10</v>
      </c>
      <c r="W251" s="109">
        <f>MAX(1,V251-U251+1)</f>
        <v>2</v>
      </c>
      <c r="X251" s="110">
        <f t="array" ref="X251">INDEX('KALENDER MINGGU'!$B$6:$B$21,U251)</f>
        <v>46282</v>
      </c>
      <c r="Y251" s="110">
        <f t="array" ref="Y251">INDEX('KALENDER MINGGU'!$C$6:$C$21,V251)</f>
        <v>46295</v>
      </c>
      <c r="Z251" s="111">
        <f>SUM(TS!M62:AB62)/TS!L61*100</f>
        <v>6.2237174095878895</v>
      </c>
      <c r="AA251" s="109" t="str">
        <f ca="1">IF(Z251&gt;=99.9,"COMPLETED",IF(U251&gt;'RENCANA MINGGUAN'!$J$7,"NOT STARTED",IF(V251&lt;'RENCANA MINGGUAN'!$J$7,"CRITICAL",IF(Z251+1&lt;W251,"DELAYED","ON SCHEDULE"))))</f>
        <v>ON SCHEDULE</v>
      </c>
      <c r="AB251" s="109" t="str">
        <f>IF(AND(U251&lt;=1,V251&gt;=1),"■","")</f>
        <v/>
      </c>
      <c r="AC251" s="109" t="str">
        <f>IF(AND(U251&lt;=2,V251&gt;=2),"■","")</f>
        <v/>
      </c>
      <c r="AD251" s="109" t="str">
        <f>IF(AND(U251&lt;=3,V251&gt;=3),"■","")</f>
        <v/>
      </c>
      <c r="AE251" s="109" t="str">
        <f>IF(AND(U251&lt;=4,V251&gt;=4),"■","")</f>
        <v/>
      </c>
      <c r="AF251" s="109" t="str">
        <f>IF(AND(U251&lt;=5,V251&gt;=5),"■","")</f>
        <v/>
      </c>
      <c r="AG251" s="109" t="str">
        <f>IF(AND(U251&lt;=6,V251&gt;=6),"■","")</f>
        <v/>
      </c>
      <c r="AH251" s="109" t="str">
        <f>IF(AND(U251&lt;=7,V251&gt;=7),"■","")</f>
        <v/>
      </c>
      <c r="AI251" s="109" t="str">
        <f>IF(AND(U251&lt;=8,V251&gt;=8),"■","")</f>
        <v/>
      </c>
      <c r="AJ251" s="109" t="str">
        <f>IF(AND(U251&lt;=9,V251&gt;=9),"■","")</f>
        <v>■</v>
      </c>
      <c r="AK251" s="109" t="str">
        <f>IF(AND(U251&lt;=10,V251&gt;=10),"■","")</f>
        <v>■</v>
      </c>
      <c r="AL251" s="109" t="str">
        <f>IF(AND(U251&lt;=11,V251&gt;=11),"■","")</f>
        <v/>
      </c>
      <c r="AM251" s="109" t="str">
        <f>IF(AND(U251&lt;=12,V251&gt;=12),"■","")</f>
        <v/>
      </c>
      <c r="AN251" s="109" t="str">
        <f>IF(AND(U251&lt;=13,V251&gt;=13),"■","")</f>
        <v/>
      </c>
      <c r="AO251" s="109" t="str">
        <f>IF(AND(U251&lt;=14,V251&gt;=14),"■","")</f>
        <v/>
      </c>
      <c r="AP251" s="109" t="str">
        <f>IF(AND(U251&lt;=15,V251&gt;=15),"■","")</f>
        <v/>
      </c>
      <c r="AQ251" s="109" t="str">
        <f>IF(AND(U251&lt;=16,V251&gt;=16),"■","")</f>
        <v/>
      </c>
    </row>
    <row r="252" spans="1:44" ht="14.25" customHeight="1" x14ac:dyDescent="0.2">
      <c r="A252" s="6"/>
      <c r="B252" s="38" t="s">
        <v>126</v>
      </c>
      <c r="C252" s="86" t="s">
        <v>381</v>
      </c>
      <c r="D252" s="95"/>
      <c r="E252" s="96"/>
      <c r="F252" s="95"/>
      <c r="G252" s="97"/>
      <c r="H252" s="97"/>
      <c r="I252" s="75"/>
      <c r="J252" s="68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44" ht="14.25" customHeight="1" x14ac:dyDescent="0.2">
      <c r="A253" s="6"/>
      <c r="B253" s="95"/>
      <c r="C253" s="95" t="s">
        <v>382</v>
      </c>
      <c r="D253" s="95" t="s">
        <v>383</v>
      </c>
      <c r="E253" s="96">
        <v>1</v>
      </c>
      <c r="F253" s="95" t="s">
        <v>73</v>
      </c>
      <c r="G253" s="97">
        <v>2650000</v>
      </c>
      <c r="H253" s="97">
        <f>G253</f>
        <v>2650000</v>
      </c>
      <c r="I253" s="30">
        <v>3908731694</v>
      </c>
      <c r="J253" s="31">
        <f>H253/I253*100</f>
        <v>6.7796927685464206E-2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108">
        <v>13</v>
      </c>
      <c r="V253" s="108">
        <v>14</v>
      </c>
      <c r="W253" s="109">
        <f>MAX(1,V253-U253+1)</f>
        <v>2</v>
      </c>
      <c r="X253" s="110">
        <f t="array" ref="X253">INDEX('KALENDER MINGGU'!$B$6:$B$21,U253)</f>
        <v>46310</v>
      </c>
      <c r="Y253" s="110">
        <f t="array" ref="Y253">INDEX('KALENDER MINGGU'!$C$6:$C$21,V253)</f>
        <v>46323</v>
      </c>
      <c r="AB253" s="109" t="str">
        <f>IF(AND($U253&lt;=1,$V253&gt;=1),"■","")</f>
        <v/>
      </c>
      <c r="AC253" s="109" t="str">
        <f>IF(AND($U253&lt;=2,$V253&gt;=2),"■","")</f>
        <v/>
      </c>
      <c r="AD253" s="109" t="str">
        <f>IF(AND($U253&lt;=3,$V253&gt;=3),"■","")</f>
        <v/>
      </c>
      <c r="AE253" s="109" t="str">
        <f>IF(AND($U253&lt;=4,$V253&gt;=4),"■","")</f>
        <v/>
      </c>
      <c r="AF253" s="109" t="str">
        <f>IF(AND($U253&lt;=5,$V253&gt;=5),"■","")</f>
        <v/>
      </c>
      <c r="AG253" s="109" t="str">
        <f>IF(AND($U253&lt;=6,$V253&gt;=6),"■","")</f>
        <v/>
      </c>
      <c r="AH253" s="109" t="str">
        <f>IF(AND($U253&lt;=7,$V253&gt;=7),"■","")</f>
        <v/>
      </c>
      <c r="AI253" s="109" t="str">
        <f>IF(AND($U253&lt;=8,$V253&gt;=8),"■","")</f>
        <v/>
      </c>
      <c r="AJ253" s="109" t="str">
        <f>IF(AND($U253&lt;=9,$V253&gt;=9),"■","")</f>
        <v/>
      </c>
      <c r="AK253" s="109" t="str">
        <f>IF(AND($U253&lt;=10,$V253&gt;=10),"■","")</f>
        <v/>
      </c>
      <c r="AL253" s="109" t="str">
        <f>IF(AND($U253&lt;=11,$V253&gt;=11),"■","")</f>
        <v/>
      </c>
      <c r="AM253" s="109" t="str">
        <f>IF(AND($U253&lt;=12,$V253&gt;=12),"■","")</f>
        <v/>
      </c>
      <c r="AN253" s="109" t="str">
        <f>IF(AND($U253&lt;=13,$V253&gt;=13),"■","")</f>
        <v>■</v>
      </c>
      <c r="AO253" s="109" t="str">
        <f>IF(AND($U253&lt;=14,$V253&gt;=14),"■","")</f>
        <v>■</v>
      </c>
      <c r="AP253" s="109" t="str">
        <f>IF(AND($U253&lt;=15,$V253&gt;=15),"■","")</f>
        <v/>
      </c>
      <c r="AQ253" s="109" t="str">
        <f>IF(AND($U253&lt;=16,$V253&gt;=16),"■","")</f>
        <v/>
      </c>
      <c r="AR253" t="s">
        <v>563</v>
      </c>
    </row>
    <row r="254" spans="1:44" ht="14.25" customHeight="1" x14ac:dyDescent="0.2">
      <c r="A254" s="6"/>
      <c r="B254" s="95"/>
      <c r="C254" s="95" t="s">
        <v>384</v>
      </c>
      <c r="D254" s="95" t="s">
        <v>383</v>
      </c>
      <c r="E254" s="96">
        <v>1</v>
      </c>
      <c r="F254" s="95" t="s">
        <v>73</v>
      </c>
      <c r="G254" s="97">
        <v>2000000</v>
      </c>
      <c r="H254" s="97">
        <f>G254</f>
        <v>2000000</v>
      </c>
      <c r="I254" s="30">
        <v>3908731694</v>
      </c>
      <c r="J254" s="31">
        <f>H254/I254*100</f>
        <v>5.1167492592803177E-2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108">
        <v>13</v>
      </c>
      <c r="V254" s="108">
        <v>14</v>
      </c>
      <c r="W254" s="109">
        <f>MAX(1,V254-U254+1)</f>
        <v>2</v>
      </c>
      <c r="X254" s="110">
        <f t="array" ref="X254">INDEX('KALENDER MINGGU'!$B$6:$B$21,U254)</f>
        <v>46310</v>
      </c>
      <c r="Y254" s="110">
        <f t="array" ref="Y254">INDEX('KALENDER MINGGU'!$C$6:$C$21,V254)</f>
        <v>46323</v>
      </c>
      <c r="AB254" s="109" t="str">
        <f>IF(AND($U254&lt;=1,$V254&gt;=1),"■","")</f>
        <v/>
      </c>
      <c r="AC254" s="109" t="str">
        <f>IF(AND($U254&lt;=2,$V254&gt;=2),"■","")</f>
        <v/>
      </c>
      <c r="AD254" s="109" t="str">
        <f>IF(AND($U254&lt;=3,$V254&gt;=3),"■","")</f>
        <v/>
      </c>
      <c r="AE254" s="109" t="str">
        <f>IF(AND($U254&lt;=4,$V254&gt;=4),"■","")</f>
        <v/>
      </c>
      <c r="AF254" s="109" t="str">
        <f>IF(AND($U254&lt;=5,$V254&gt;=5),"■","")</f>
        <v/>
      </c>
      <c r="AG254" s="109" t="str">
        <f>IF(AND($U254&lt;=6,$V254&gt;=6),"■","")</f>
        <v/>
      </c>
      <c r="AH254" s="109" t="str">
        <f>IF(AND($U254&lt;=7,$V254&gt;=7),"■","")</f>
        <v/>
      </c>
      <c r="AI254" s="109" t="str">
        <f>IF(AND($U254&lt;=8,$V254&gt;=8),"■","")</f>
        <v/>
      </c>
      <c r="AJ254" s="109" t="str">
        <f>IF(AND($U254&lt;=9,$V254&gt;=9),"■","")</f>
        <v/>
      </c>
      <c r="AK254" s="109" t="str">
        <f>IF(AND($U254&lt;=10,$V254&gt;=10),"■","")</f>
        <v/>
      </c>
      <c r="AL254" s="109" t="str">
        <f>IF(AND($U254&lt;=11,$V254&gt;=11),"■","")</f>
        <v/>
      </c>
      <c r="AM254" s="109" t="str">
        <f>IF(AND($U254&lt;=12,$V254&gt;=12),"■","")</f>
        <v/>
      </c>
      <c r="AN254" s="109" t="str">
        <f>IF(AND($U254&lt;=13,$V254&gt;=13),"■","")</f>
        <v>■</v>
      </c>
      <c r="AO254" s="109" t="str">
        <f>IF(AND($U254&lt;=14,$V254&gt;=14),"■","")</f>
        <v>■</v>
      </c>
      <c r="AP254" s="109" t="str">
        <f>IF(AND($U254&lt;=15,$V254&gt;=15),"■","")</f>
        <v/>
      </c>
      <c r="AQ254" s="109" t="str">
        <f>IF(AND($U254&lt;=16,$V254&gt;=16),"■","")</f>
        <v/>
      </c>
      <c r="AR254" t="s">
        <v>564</v>
      </c>
    </row>
    <row r="255" spans="1:44" ht="14.25" customHeight="1" x14ac:dyDescent="0.2">
      <c r="A255" s="6"/>
      <c r="B255" s="95"/>
      <c r="C255" s="95" t="s">
        <v>385</v>
      </c>
      <c r="D255" s="95" t="s">
        <v>383</v>
      </c>
      <c r="E255" s="96">
        <v>1</v>
      </c>
      <c r="F255" s="95" t="s">
        <v>73</v>
      </c>
      <c r="G255" s="97">
        <v>1050000</v>
      </c>
      <c r="H255" s="97">
        <f>G255</f>
        <v>1050000</v>
      </c>
      <c r="I255" s="30">
        <v>3908731694</v>
      </c>
      <c r="J255" s="31">
        <f>H255/I255*100</f>
        <v>2.6862933611221666E-2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108">
        <v>13</v>
      </c>
      <c r="V255" s="108">
        <v>14</v>
      </c>
      <c r="W255" s="109">
        <f>MAX(1,V255-U255+1)</f>
        <v>2</v>
      </c>
      <c r="X255" s="110">
        <f t="array" ref="X255">INDEX('KALENDER MINGGU'!$B$6:$B$21,U255)</f>
        <v>46310</v>
      </c>
      <c r="Y255" s="110">
        <f t="array" ref="Y255">INDEX('KALENDER MINGGU'!$C$6:$C$21,V255)</f>
        <v>46323</v>
      </c>
      <c r="AB255" s="109" t="str">
        <f>IF(AND($U255&lt;=1,$V255&gt;=1),"■","")</f>
        <v/>
      </c>
      <c r="AC255" s="109" t="str">
        <f>IF(AND($U255&lt;=2,$V255&gt;=2),"■","")</f>
        <v/>
      </c>
      <c r="AD255" s="109" t="str">
        <f>IF(AND($U255&lt;=3,$V255&gt;=3),"■","")</f>
        <v/>
      </c>
      <c r="AE255" s="109" t="str">
        <f>IF(AND($U255&lt;=4,$V255&gt;=4),"■","")</f>
        <v/>
      </c>
      <c r="AF255" s="109" t="str">
        <f>IF(AND($U255&lt;=5,$V255&gt;=5),"■","")</f>
        <v/>
      </c>
      <c r="AG255" s="109" t="str">
        <f>IF(AND($U255&lt;=6,$V255&gt;=6),"■","")</f>
        <v/>
      </c>
      <c r="AH255" s="109" t="str">
        <f>IF(AND($U255&lt;=7,$V255&gt;=7),"■","")</f>
        <v/>
      </c>
      <c r="AI255" s="109" t="str">
        <f>IF(AND($U255&lt;=8,$V255&gt;=8),"■","")</f>
        <v/>
      </c>
      <c r="AJ255" s="109" t="str">
        <f>IF(AND($U255&lt;=9,$V255&gt;=9),"■","")</f>
        <v/>
      </c>
      <c r="AK255" s="109" t="str">
        <f>IF(AND($U255&lt;=10,$V255&gt;=10),"■","")</f>
        <v/>
      </c>
      <c r="AL255" s="109" t="str">
        <f>IF(AND($U255&lt;=11,$V255&gt;=11),"■","")</f>
        <v/>
      </c>
      <c r="AM255" s="109" t="str">
        <f>IF(AND($U255&lt;=12,$V255&gt;=12),"■","")</f>
        <v/>
      </c>
      <c r="AN255" s="109" t="str">
        <f>IF(AND($U255&lt;=13,$V255&gt;=13),"■","")</f>
        <v>■</v>
      </c>
      <c r="AO255" s="109" t="str">
        <f>IF(AND($U255&lt;=14,$V255&gt;=14),"■","")</f>
        <v>■</v>
      </c>
      <c r="AP255" s="109" t="str">
        <f>IF(AND($U255&lt;=15,$V255&gt;=15),"■","")</f>
        <v/>
      </c>
      <c r="AQ255" s="109" t="str">
        <f>IF(AND($U255&lt;=16,$V255&gt;=16),"■","")</f>
        <v/>
      </c>
      <c r="AR255" t="s">
        <v>565</v>
      </c>
    </row>
    <row r="256" spans="1:44" ht="14.25" customHeight="1" x14ac:dyDescent="0.2">
      <c r="A256" s="6"/>
      <c r="B256" s="95"/>
      <c r="C256" s="95"/>
      <c r="D256" s="95"/>
      <c r="E256" s="96"/>
      <c r="F256" s="95"/>
      <c r="G256" s="97"/>
      <c r="H256" s="98">
        <f>SUM(H253:H255)</f>
        <v>5700000</v>
      </c>
      <c r="I256" s="30">
        <v>3908731694</v>
      </c>
      <c r="J256" s="43">
        <f>H256/I256*100</f>
        <v>0.14582735388948906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109">
        <f>MIN(U253:U255)</f>
        <v>13</v>
      </c>
      <c r="V256" s="109">
        <f>MAX(V253:V255)</f>
        <v>14</v>
      </c>
      <c r="W256" s="109">
        <f>MAX(1,V256-U256+1)</f>
        <v>2</v>
      </c>
      <c r="X256" s="110">
        <f t="array" ref="X256">INDEX('KALENDER MINGGU'!$B$6:$B$21,U256)</f>
        <v>46310</v>
      </c>
      <c r="Y256" s="110">
        <f t="array" ref="Y256">INDEX('KALENDER MINGGU'!$C$6:$C$21,V256)</f>
        <v>46323</v>
      </c>
      <c r="Z256" s="111">
        <f>SUM(TS!M64:AB64)/TS!L63*100</f>
        <v>100</v>
      </c>
      <c r="AA256" s="109" t="str">
        <f>IF(Z256&gt;=99.9,"COMPLETED",IF(U256&gt;'RENCANA MINGGUAN'!$J$7,"NOT STARTED",IF(V256&lt;'RENCANA MINGGUAN'!$J$7,"CRITICAL",IF(Z256+1&lt;W256,"DELAYED","ON SCHEDULE"))))</f>
        <v>COMPLETED</v>
      </c>
      <c r="AB256" s="109" t="str">
        <f>IF(AND(U256&lt;=1,V256&gt;=1),"■","")</f>
        <v/>
      </c>
      <c r="AC256" s="109" t="str">
        <f>IF(AND(U256&lt;=2,V256&gt;=2),"■","")</f>
        <v/>
      </c>
      <c r="AD256" s="109" t="str">
        <f>IF(AND(U256&lt;=3,V256&gt;=3),"■","")</f>
        <v/>
      </c>
      <c r="AE256" s="109" t="str">
        <f>IF(AND(U256&lt;=4,V256&gt;=4),"■","")</f>
        <v/>
      </c>
      <c r="AF256" s="109" t="str">
        <f>IF(AND(U256&lt;=5,V256&gt;=5),"■","")</f>
        <v/>
      </c>
      <c r="AG256" s="109" t="str">
        <f>IF(AND(U256&lt;=6,V256&gt;=6),"■","")</f>
        <v/>
      </c>
      <c r="AH256" s="109" t="str">
        <f>IF(AND(U256&lt;=7,V256&gt;=7),"■","")</f>
        <v/>
      </c>
      <c r="AI256" s="109" t="str">
        <f>IF(AND(U256&lt;=8,V256&gt;=8),"■","")</f>
        <v/>
      </c>
      <c r="AJ256" s="109" t="str">
        <f>IF(AND(U256&lt;=9,V256&gt;=9),"■","")</f>
        <v/>
      </c>
      <c r="AK256" s="109" t="str">
        <f>IF(AND(U256&lt;=10,V256&gt;=10),"■","")</f>
        <v/>
      </c>
      <c r="AL256" s="109" t="str">
        <f>IF(AND(U256&lt;=11,V256&gt;=11),"■","")</f>
        <v/>
      </c>
      <c r="AM256" s="109" t="str">
        <f>IF(AND(U256&lt;=12,V256&gt;=12),"■","")</f>
        <v/>
      </c>
      <c r="AN256" s="109" t="str">
        <f>IF(AND(U256&lt;=13,V256&gt;=13),"■","")</f>
        <v>■</v>
      </c>
      <c r="AO256" s="109" t="str">
        <f>IF(AND(U256&lt;=14,V256&gt;=14),"■","")</f>
        <v>■</v>
      </c>
      <c r="AP256" s="109" t="str">
        <f>IF(AND(U256&lt;=15,V256&gt;=15),"■","")</f>
        <v/>
      </c>
      <c r="AQ256" s="109" t="str">
        <f>IF(AND(U256&lt;=16,V256&gt;=16),"■","")</f>
        <v/>
      </c>
    </row>
    <row r="257" spans="1:20" ht="14.25" customHeight="1" x14ac:dyDescent="0.2">
      <c r="A257" s="6"/>
      <c r="B257" s="90"/>
      <c r="C257" s="91"/>
      <c r="D257" s="93"/>
      <c r="E257" s="93"/>
      <c r="F257" s="90"/>
      <c r="G257" s="94"/>
      <c r="H257" s="99"/>
      <c r="I257" s="75"/>
      <c r="J257" s="68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1:20" ht="14.25" customHeight="1" x14ac:dyDescent="0.2">
      <c r="A258" s="6"/>
      <c r="B258" s="90"/>
      <c r="C258" s="91"/>
      <c r="D258" s="93"/>
      <c r="E258" s="93"/>
      <c r="F258" s="90"/>
      <c r="G258" s="100" t="s">
        <v>301</v>
      </c>
      <c r="H258" s="101">
        <f>SUM(H211:H256)/2</f>
        <v>268975000</v>
      </c>
      <c r="I258" s="75"/>
      <c r="J258" s="102">
        <f>SUM(J9:J256)/2</f>
        <v>100.00000001137057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1:20" ht="14.25" customHeight="1" x14ac:dyDescent="0.2">
      <c r="A259" s="6"/>
      <c r="B259" s="6"/>
      <c r="C259" s="6"/>
      <c r="D259" s="6"/>
      <c r="E259" s="6"/>
      <c r="F259" s="6"/>
      <c r="G259" s="103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1:20" ht="14.25" customHeight="1" x14ac:dyDescent="0.2">
      <c r="A260" s="6"/>
      <c r="B260" s="6"/>
      <c r="C260" s="6"/>
      <c r="D260" s="6"/>
      <c r="E260" s="6"/>
      <c r="F260" s="6"/>
      <c r="G260" s="103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1:20" ht="14.25" customHeight="1" x14ac:dyDescent="0.2">
      <c r="A261" s="6"/>
      <c r="B261" s="6"/>
      <c r="C261" s="6"/>
      <c r="D261" s="6"/>
      <c r="E261" s="6"/>
      <c r="F261" s="6"/>
      <c r="G261" s="103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1:20" ht="14.25" hidden="1" customHeight="1" x14ac:dyDescent="0.2">
      <c r="A262" s="6"/>
      <c r="B262" s="6"/>
      <c r="C262" s="6"/>
      <c r="D262" s="6"/>
      <c r="E262" s="6"/>
      <c r="F262" s="283" t="s">
        <v>386</v>
      </c>
      <c r="G262" s="283"/>
      <c r="H262" s="104">
        <f>H159</f>
        <v>3280456694.4444447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1:20" ht="14.25" hidden="1" customHeight="1" x14ac:dyDescent="0.2">
      <c r="A263" s="6"/>
      <c r="B263" s="6"/>
      <c r="C263" s="6"/>
      <c r="D263" s="6"/>
      <c r="E263" s="6"/>
      <c r="F263" s="271" t="s">
        <v>387</v>
      </c>
      <c r="G263" s="271"/>
      <c r="H263" s="104">
        <f>H205</f>
        <v>359300000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1:20" ht="14.25" hidden="1" customHeight="1" x14ac:dyDescent="0.2">
      <c r="A264" s="6"/>
      <c r="B264" s="6"/>
      <c r="C264" s="6"/>
      <c r="D264" s="6"/>
      <c r="E264" s="6"/>
      <c r="F264" s="283" t="s">
        <v>388</v>
      </c>
      <c r="G264" s="283"/>
      <c r="H264" s="104">
        <f>H258</f>
        <v>268975000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 ht="14.25" hidden="1" customHeight="1" x14ac:dyDescent="0.2">
      <c r="A265" s="6"/>
      <c r="B265" s="6"/>
      <c r="C265" s="6"/>
      <c r="D265" s="6"/>
      <c r="E265" s="6"/>
      <c r="F265" s="283" t="s">
        <v>389</v>
      </c>
      <c r="G265" s="283"/>
      <c r="H265" s="104">
        <f>SUM(H262:H264)</f>
        <v>3908731694.4444447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1:20" ht="14.25" customHeight="1" x14ac:dyDescent="0.2">
      <c r="A266" s="6"/>
      <c r="B266" s="6"/>
      <c r="C266" s="6"/>
      <c r="D266" s="6"/>
      <c r="E266" s="6"/>
      <c r="F266" s="6"/>
      <c r="G266" s="103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1:20" ht="14.25" customHeight="1" x14ac:dyDescent="0.2">
      <c r="A267" s="6"/>
      <c r="B267" s="6"/>
      <c r="C267" s="6"/>
      <c r="D267" s="6"/>
      <c r="E267" s="6"/>
      <c r="F267" s="6"/>
      <c r="G267" s="103"/>
      <c r="H267" s="10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1:20" ht="14.25" customHeight="1" x14ac:dyDescent="0.2">
      <c r="A268" s="6"/>
      <c r="B268" s="6"/>
      <c r="C268" s="6"/>
      <c r="D268" s="6"/>
      <c r="E268" s="6"/>
      <c r="F268" s="6"/>
      <c r="G268" s="103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1:20" ht="14.25" customHeight="1" x14ac:dyDescent="0.2">
      <c r="A269" s="6"/>
      <c r="B269" s="6"/>
      <c r="C269" s="6"/>
      <c r="D269" s="6"/>
      <c r="E269" s="6"/>
      <c r="F269" s="6"/>
      <c r="G269" s="103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spans="1:20" ht="14.25" customHeight="1" x14ac:dyDescent="0.2">
      <c r="A270" s="6"/>
      <c r="B270" s="6"/>
      <c r="C270" s="6"/>
      <c r="D270" s="6"/>
      <c r="E270" s="6"/>
      <c r="F270" s="6"/>
      <c r="G270" s="103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1:20" ht="14.25" customHeight="1" x14ac:dyDescent="0.2">
      <c r="A271" s="6"/>
      <c r="B271" s="6"/>
      <c r="C271" s="6"/>
      <c r="D271" s="6"/>
      <c r="E271" s="6"/>
      <c r="F271" s="6"/>
      <c r="G271" s="103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spans="1:20" ht="14.25" customHeight="1" x14ac:dyDescent="0.2">
      <c r="A272" s="6"/>
      <c r="B272" s="6"/>
      <c r="C272" s="6"/>
      <c r="D272" s="6"/>
      <c r="E272" s="6"/>
      <c r="F272" s="6"/>
      <c r="G272" s="103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1:20" ht="14.25" customHeight="1" x14ac:dyDescent="0.2">
      <c r="A273" s="6"/>
      <c r="B273" s="6"/>
      <c r="C273" s="6"/>
      <c r="D273" s="6"/>
      <c r="E273" s="6"/>
      <c r="F273" s="6"/>
      <c r="G273" s="103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spans="1:20" ht="14.25" customHeight="1" x14ac:dyDescent="0.2">
      <c r="A274" s="6"/>
      <c r="B274" s="6"/>
      <c r="C274" s="6"/>
      <c r="D274" s="6"/>
      <c r="E274" s="6"/>
      <c r="F274" s="6"/>
      <c r="G274" s="103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1:20" ht="14.25" customHeight="1" x14ac:dyDescent="0.2">
      <c r="A275" s="6"/>
      <c r="B275" s="6"/>
      <c r="C275" s="6"/>
      <c r="D275" s="6"/>
      <c r="E275" s="6"/>
      <c r="F275" s="6"/>
      <c r="G275" s="103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spans="1:20" ht="14.25" customHeight="1" x14ac:dyDescent="0.2">
      <c r="A276" s="6"/>
      <c r="B276" s="6"/>
      <c r="C276" s="6"/>
      <c r="D276" s="6"/>
      <c r="E276" s="6"/>
      <c r="F276" s="6"/>
      <c r="G276" s="103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1:20" ht="14.25" customHeight="1" x14ac:dyDescent="0.2">
      <c r="A277" s="6"/>
      <c r="B277" s="6"/>
      <c r="C277" s="6"/>
      <c r="D277" s="6"/>
      <c r="E277" s="6"/>
      <c r="F277" s="6"/>
      <c r="G277" s="103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spans="1:20" ht="14.25" customHeight="1" x14ac:dyDescent="0.2">
      <c r="A278" s="6"/>
      <c r="B278" s="6"/>
      <c r="C278" s="6"/>
      <c r="D278" s="6"/>
      <c r="E278" s="6"/>
      <c r="F278" s="6"/>
      <c r="G278" s="103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1:20" ht="14.25" customHeight="1" x14ac:dyDescent="0.2">
      <c r="A279" s="6"/>
      <c r="B279" s="6"/>
      <c r="C279" s="6"/>
      <c r="D279" s="6"/>
      <c r="E279" s="6"/>
      <c r="F279" s="6"/>
      <c r="G279" s="103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spans="1:20" ht="14.25" customHeight="1" x14ac:dyDescent="0.2">
      <c r="A280" s="6"/>
      <c r="B280" s="6"/>
      <c r="C280" s="6"/>
      <c r="D280" s="6"/>
      <c r="E280" s="6"/>
      <c r="F280" s="6"/>
      <c r="G280" s="103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1:20" ht="14.25" customHeight="1" x14ac:dyDescent="0.2">
      <c r="A281" s="6"/>
      <c r="B281" s="6"/>
      <c r="C281" s="6"/>
      <c r="D281" s="6"/>
      <c r="E281" s="6"/>
      <c r="F281" s="6"/>
      <c r="G281" s="103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spans="1:20" ht="14.25" customHeight="1" x14ac:dyDescent="0.2">
      <c r="A282" s="6"/>
      <c r="B282" s="6"/>
      <c r="C282" s="6"/>
      <c r="D282" s="6"/>
      <c r="E282" s="6"/>
      <c r="F282" s="6"/>
      <c r="G282" s="103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1:20" ht="14.25" customHeight="1" x14ac:dyDescent="0.2">
      <c r="A283" s="6"/>
      <c r="B283" s="6"/>
      <c r="C283" s="6"/>
      <c r="D283" s="6"/>
      <c r="E283" s="6"/>
      <c r="F283" s="6"/>
      <c r="G283" s="103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1:20" ht="14.25" customHeight="1" x14ac:dyDescent="0.2">
      <c r="A284" s="6"/>
      <c r="B284" s="6"/>
      <c r="C284" s="6"/>
      <c r="D284" s="6"/>
      <c r="E284" s="6"/>
      <c r="F284" s="6"/>
      <c r="G284" s="103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1:20" ht="14.25" customHeight="1" x14ac:dyDescent="0.2">
      <c r="A285" s="6"/>
      <c r="B285" s="6"/>
      <c r="C285" s="6"/>
      <c r="D285" s="6"/>
      <c r="E285" s="6"/>
      <c r="F285" s="6"/>
      <c r="G285" s="103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spans="1:20" ht="14.25" customHeight="1" x14ac:dyDescent="0.2">
      <c r="A286" s="6"/>
      <c r="B286" s="6"/>
      <c r="C286" s="6"/>
      <c r="D286" s="6"/>
      <c r="E286" s="6"/>
      <c r="F286" s="6"/>
      <c r="G286" s="103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1:20" ht="14.25" customHeight="1" x14ac:dyDescent="0.2">
      <c r="A287" s="6"/>
      <c r="B287" s="6"/>
      <c r="C287" s="6"/>
      <c r="D287" s="6"/>
      <c r="E287" s="6"/>
      <c r="F287" s="6"/>
      <c r="G287" s="103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1:20" ht="14.25" customHeight="1" x14ac:dyDescent="0.2">
      <c r="A288" s="6"/>
      <c r="B288" s="6"/>
      <c r="C288" s="6"/>
      <c r="D288" s="6"/>
      <c r="E288" s="6"/>
      <c r="F288" s="6"/>
      <c r="G288" s="103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spans="1:20" ht="14.25" customHeight="1" x14ac:dyDescent="0.2">
      <c r="A289" s="6"/>
      <c r="B289" s="6"/>
      <c r="C289" s="6"/>
      <c r="D289" s="6"/>
      <c r="E289" s="6"/>
      <c r="F289" s="6"/>
      <c r="G289" s="103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spans="1:20" ht="14.25" customHeight="1" x14ac:dyDescent="0.2">
      <c r="A290" s="6"/>
      <c r="B290" s="6"/>
      <c r="C290" s="6"/>
      <c r="D290" s="6"/>
      <c r="E290" s="6"/>
      <c r="F290" s="6"/>
      <c r="G290" s="103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spans="1:20" ht="14.25" customHeight="1" x14ac:dyDescent="0.2">
      <c r="A291" s="6"/>
      <c r="B291" s="6"/>
      <c r="C291" s="6"/>
      <c r="D291" s="6"/>
      <c r="E291" s="6"/>
      <c r="F291" s="6"/>
      <c r="G291" s="103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spans="1:20" ht="14.25" customHeight="1" x14ac:dyDescent="0.2">
      <c r="A292" s="6"/>
      <c r="B292" s="6"/>
      <c r="C292" s="6"/>
      <c r="D292" s="6"/>
      <c r="E292" s="6"/>
      <c r="F292" s="6"/>
      <c r="G292" s="103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spans="1:20" ht="14.25" customHeight="1" x14ac:dyDescent="0.2">
      <c r="A293" s="6"/>
      <c r="B293" s="6"/>
      <c r="C293" s="6"/>
      <c r="D293" s="6"/>
      <c r="E293" s="6"/>
      <c r="F293" s="6"/>
      <c r="G293" s="103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spans="1:20" ht="14.25" customHeight="1" x14ac:dyDescent="0.2">
      <c r="A294" s="6"/>
      <c r="B294" s="6"/>
      <c r="C294" s="6"/>
      <c r="D294" s="6"/>
      <c r="E294" s="6"/>
      <c r="F294" s="6"/>
      <c r="G294" s="103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spans="1:20" ht="14.25" customHeight="1" x14ac:dyDescent="0.2">
      <c r="A295" s="6"/>
      <c r="B295" s="6"/>
      <c r="C295" s="6"/>
      <c r="D295" s="6"/>
      <c r="E295" s="6"/>
      <c r="F295" s="6"/>
      <c r="G295" s="103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spans="1:20" ht="14.25" customHeight="1" x14ac:dyDescent="0.2">
      <c r="A296" s="6"/>
      <c r="B296" s="6"/>
      <c r="C296" s="6"/>
      <c r="D296" s="6"/>
      <c r="E296" s="6"/>
      <c r="F296" s="6"/>
      <c r="G296" s="103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spans="1:20" ht="14.25" customHeight="1" x14ac:dyDescent="0.2">
      <c r="A297" s="6"/>
      <c r="B297" s="6"/>
      <c r="C297" s="6"/>
      <c r="D297" s="6"/>
      <c r="E297" s="6"/>
      <c r="F297" s="6"/>
      <c r="G297" s="103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1:20" ht="14.25" customHeight="1" x14ac:dyDescent="0.2">
      <c r="A298" s="6"/>
      <c r="B298" s="6"/>
      <c r="C298" s="6"/>
      <c r="D298" s="6"/>
      <c r="E298" s="6"/>
      <c r="F298" s="6"/>
      <c r="G298" s="103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1:20" ht="14.25" customHeight="1" x14ac:dyDescent="0.2">
      <c r="A299" s="6"/>
      <c r="B299" s="6"/>
      <c r="C299" s="6"/>
      <c r="D299" s="6"/>
      <c r="E299" s="6"/>
      <c r="F299" s="6"/>
      <c r="G299" s="103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1:20" ht="14.25" customHeight="1" x14ac:dyDescent="0.2">
      <c r="A300" s="6"/>
      <c r="B300" s="6"/>
      <c r="C300" s="6"/>
      <c r="D300" s="6"/>
      <c r="E300" s="6"/>
      <c r="F300" s="6"/>
      <c r="G300" s="103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1:20" ht="14.25" customHeight="1" x14ac:dyDescent="0.2">
      <c r="A301" s="6"/>
      <c r="B301" s="6"/>
      <c r="C301" s="6"/>
      <c r="D301" s="6"/>
      <c r="E301" s="6"/>
      <c r="F301" s="6"/>
      <c r="G301" s="103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spans="1:20" ht="14.25" customHeight="1" x14ac:dyDescent="0.2">
      <c r="A302" s="6"/>
      <c r="B302" s="6"/>
      <c r="C302" s="6"/>
      <c r="D302" s="6"/>
      <c r="E302" s="6"/>
      <c r="F302" s="6"/>
      <c r="G302" s="103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1:20" ht="14.25" customHeight="1" x14ac:dyDescent="0.2">
      <c r="A303" s="6"/>
      <c r="B303" s="6"/>
      <c r="C303" s="6"/>
      <c r="D303" s="6"/>
      <c r="E303" s="6"/>
      <c r="F303" s="6"/>
      <c r="G303" s="103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spans="1:20" ht="14.25" customHeight="1" x14ac:dyDescent="0.2">
      <c r="A304" s="6"/>
      <c r="B304" s="6"/>
      <c r="C304" s="6"/>
      <c r="D304" s="6"/>
      <c r="E304" s="6"/>
      <c r="F304" s="6"/>
      <c r="G304" s="103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1:20" ht="14.25" customHeight="1" x14ac:dyDescent="0.2">
      <c r="A305" s="6"/>
      <c r="B305" s="6"/>
      <c r="C305" s="6"/>
      <c r="D305" s="6"/>
      <c r="E305" s="6"/>
      <c r="F305" s="6"/>
      <c r="G305" s="103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spans="1:20" ht="14.25" customHeight="1" x14ac:dyDescent="0.2">
      <c r="A306" s="6"/>
      <c r="B306" s="6"/>
      <c r="C306" s="6"/>
      <c r="D306" s="6"/>
      <c r="E306" s="6"/>
      <c r="F306" s="6"/>
      <c r="G306" s="103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spans="1:20" ht="14.25" customHeight="1" x14ac:dyDescent="0.2">
      <c r="A307" s="6"/>
      <c r="B307" s="6"/>
      <c r="C307" s="6"/>
      <c r="D307" s="6"/>
      <c r="E307" s="6"/>
      <c r="F307" s="6"/>
      <c r="G307" s="103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spans="1:20" ht="14.25" customHeight="1" x14ac:dyDescent="0.2">
      <c r="A308" s="6"/>
      <c r="B308" s="6"/>
      <c r="C308" s="6"/>
      <c r="D308" s="6"/>
      <c r="E308" s="6"/>
      <c r="F308" s="6"/>
      <c r="G308" s="103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1:20" ht="14.25" customHeight="1" x14ac:dyDescent="0.2">
      <c r="A309" s="6"/>
      <c r="B309" s="6"/>
      <c r="C309" s="6"/>
      <c r="D309" s="6"/>
      <c r="E309" s="6"/>
      <c r="F309" s="6"/>
      <c r="G309" s="103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spans="1:20" ht="14.25" customHeight="1" x14ac:dyDescent="0.2">
      <c r="A310" s="6"/>
      <c r="B310" s="6"/>
      <c r="C310" s="6"/>
      <c r="D310" s="6"/>
      <c r="E310" s="6"/>
      <c r="F310" s="6"/>
      <c r="G310" s="103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1:20" ht="14.25" customHeight="1" x14ac:dyDescent="0.2">
      <c r="A311" s="6"/>
      <c r="B311" s="6"/>
      <c r="C311" s="6"/>
      <c r="D311" s="6"/>
      <c r="E311" s="6"/>
      <c r="F311" s="6"/>
      <c r="G311" s="103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spans="1:20" ht="14.25" customHeight="1" x14ac:dyDescent="0.2">
      <c r="A312" s="6"/>
      <c r="B312" s="6"/>
      <c r="C312" s="6"/>
      <c r="D312" s="6"/>
      <c r="E312" s="6"/>
      <c r="F312" s="6"/>
      <c r="G312" s="103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spans="1:20" ht="14.25" customHeight="1" x14ac:dyDescent="0.2">
      <c r="A313" s="6"/>
      <c r="B313" s="6"/>
      <c r="C313" s="6"/>
      <c r="D313" s="6"/>
      <c r="E313" s="6"/>
      <c r="F313" s="6"/>
      <c r="G313" s="103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spans="1:20" ht="14.25" customHeight="1" x14ac:dyDescent="0.2">
      <c r="A314" s="6"/>
      <c r="B314" s="6"/>
      <c r="C314" s="6"/>
      <c r="D314" s="6"/>
      <c r="E314" s="6"/>
      <c r="F314" s="6"/>
      <c r="G314" s="103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spans="1:20" ht="14.25" customHeight="1" x14ac:dyDescent="0.2">
      <c r="A315" s="6"/>
      <c r="B315" s="6"/>
      <c r="C315" s="6"/>
      <c r="D315" s="6"/>
      <c r="E315" s="6"/>
      <c r="F315" s="6"/>
      <c r="G315" s="103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spans="1:20" ht="14.25" customHeight="1" x14ac:dyDescent="0.2">
      <c r="A316" s="6"/>
      <c r="B316" s="6"/>
      <c r="C316" s="6"/>
      <c r="D316" s="6"/>
      <c r="E316" s="6"/>
      <c r="F316" s="6"/>
      <c r="G316" s="103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spans="1:20" ht="14.25" customHeight="1" x14ac:dyDescent="0.2">
      <c r="A317" s="6"/>
      <c r="B317" s="6"/>
      <c r="C317" s="6"/>
      <c r="D317" s="6"/>
      <c r="E317" s="6"/>
      <c r="F317" s="6"/>
      <c r="G317" s="103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spans="1:20" ht="14.25" customHeight="1" x14ac:dyDescent="0.2">
      <c r="A318" s="6"/>
      <c r="B318" s="6"/>
      <c r="C318" s="6"/>
      <c r="D318" s="6"/>
      <c r="E318" s="6"/>
      <c r="F318" s="6"/>
      <c r="G318" s="103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1:20" ht="14.25" customHeight="1" x14ac:dyDescent="0.2">
      <c r="A319" s="6"/>
      <c r="B319" s="6"/>
      <c r="C319" s="6"/>
      <c r="D319" s="6"/>
      <c r="E319" s="6"/>
      <c r="F319" s="6"/>
      <c r="G319" s="103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spans="1:20" ht="14.25" customHeight="1" x14ac:dyDescent="0.2">
      <c r="A320" s="6"/>
      <c r="B320" s="6"/>
      <c r="C320" s="6"/>
      <c r="D320" s="6"/>
      <c r="E320" s="6"/>
      <c r="F320" s="6"/>
      <c r="G320" s="103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1:20" ht="14.25" customHeight="1" x14ac:dyDescent="0.2">
      <c r="A321" s="6"/>
      <c r="B321" s="6"/>
      <c r="C321" s="6"/>
      <c r="D321" s="6"/>
      <c r="E321" s="6"/>
      <c r="F321" s="6"/>
      <c r="G321" s="103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1:20" ht="14.25" customHeight="1" x14ac:dyDescent="0.2">
      <c r="A322" s="6"/>
      <c r="B322" s="6"/>
      <c r="C322" s="6"/>
      <c r="D322" s="6"/>
      <c r="E322" s="6"/>
      <c r="F322" s="6"/>
      <c r="G322" s="103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1:20" ht="14.25" customHeight="1" x14ac:dyDescent="0.2">
      <c r="A323" s="6"/>
      <c r="B323" s="6"/>
      <c r="C323" s="6"/>
      <c r="D323" s="6"/>
      <c r="E323" s="6"/>
      <c r="F323" s="6"/>
      <c r="G323" s="103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spans="1:20" ht="14.25" customHeight="1" x14ac:dyDescent="0.2">
      <c r="A324" s="6"/>
      <c r="B324" s="6"/>
      <c r="C324" s="6"/>
      <c r="D324" s="6"/>
      <c r="E324" s="6"/>
      <c r="F324" s="6"/>
      <c r="G324" s="103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spans="1:20" ht="14.25" customHeight="1" x14ac:dyDescent="0.2">
      <c r="A325" s="6"/>
      <c r="B325" s="6"/>
      <c r="C325" s="6"/>
      <c r="D325" s="6"/>
      <c r="E325" s="6"/>
      <c r="F325" s="6"/>
      <c r="G325" s="103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spans="1:20" ht="14.25" customHeight="1" x14ac:dyDescent="0.2">
      <c r="A326" s="6"/>
      <c r="B326" s="6"/>
      <c r="C326" s="6"/>
      <c r="D326" s="6"/>
      <c r="E326" s="6"/>
      <c r="F326" s="6"/>
      <c r="G326" s="103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spans="1:20" ht="14.25" customHeight="1" x14ac:dyDescent="0.2">
      <c r="A327" s="6"/>
      <c r="B327" s="6"/>
      <c r="C327" s="6"/>
      <c r="D327" s="6"/>
      <c r="E327" s="6"/>
      <c r="F327" s="6"/>
      <c r="G327" s="103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spans="1:20" ht="14.25" customHeight="1" x14ac:dyDescent="0.2">
      <c r="A328" s="6"/>
      <c r="B328" s="6"/>
      <c r="C328" s="6"/>
      <c r="D328" s="6"/>
      <c r="E328" s="6"/>
      <c r="F328" s="6"/>
      <c r="G328" s="103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spans="1:20" ht="14.25" customHeight="1" x14ac:dyDescent="0.2">
      <c r="A329" s="6"/>
      <c r="B329" s="6"/>
      <c r="C329" s="6"/>
      <c r="D329" s="6"/>
      <c r="E329" s="6"/>
      <c r="F329" s="6"/>
      <c r="G329" s="103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spans="1:20" ht="14.25" customHeight="1" x14ac:dyDescent="0.2">
      <c r="A330" s="6"/>
      <c r="B330" s="6"/>
      <c r="C330" s="6"/>
      <c r="D330" s="6"/>
      <c r="E330" s="6"/>
      <c r="F330" s="6"/>
      <c r="G330" s="103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spans="1:20" ht="14.25" customHeight="1" x14ac:dyDescent="0.2">
      <c r="A331" s="6"/>
      <c r="B331" s="6"/>
      <c r="C331" s="6"/>
      <c r="D331" s="6"/>
      <c r="E331" s="6"/>
      <c r="F331" s="6"/>
      <c r="G331" s="103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1:20" ht="14.25" customHeight="1" x14ac:dyDescent="0.2">
      <c r="A332" s="6"/>
      <c r="B332" s="6"/>
      <c r="C332" s="6"/>
      <c r="D332" s="6"/>
      <c r="E332" s="6"/>
      <c r="F332" s="6"/>
      <c r="G332" s="103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1:20" ht="14.25" customHeight="1" x14ac:dyDescent="0.2">
      <c r="A333" s="6"/>
      <c r="B333" s="6"/>
      <c r="C333" s="6"/>
      <c r="D333" s="6"/>
      <c r="E333" s="6"/>
      <c r="F333" s="6"/>
      <c r="G333" s="103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spans="1:20" ht="14.25" customHeight="1" x14ac:dyDescent="0.2">
      <c r="A334" s="6"/>
      <c r="B334" s="6"/>
      <c r="C334" s="6"/>
      <c r="D334" s="6"/>
      <c r="E334" s="6"/>
      <c r="F334" s="6"/>
      <c r="G334" s="103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1:20" ht="14.25" customHeight="1" x14ac:dyDescent="0.2">
      <c r="A335" s="6"/>
      <c r="B335" s="6"/>
      <c r="C335" s="6"/>
      <c r="D335" s="6"/>
      <c r="E335" s="6"/>
      <c r="F335" s="6"/>
      <c r="G335" s="103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spans="1:20" ht="14.25" customHeight="1" x14ac:dyDescent="0.2">
      <c r="A336" s="6"/>
      <c r="B336" s="6"/>
      <c r="C336" s="6"/>
      <c r="D336" s="6"/>
      <c r="E336" s="6"/>
      <c r="F336" s="6"/>
      <c r="G336" s="103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1:20" ht="14.25" customHeight="1" x14ac:dyDescent="0.2">
      <c r="A337" s="6"/>
      <c r="B337" s="6"/>
      <c r="C337" s="6"/>
      <c r="D337" s="6"/>
      <c r="E337" s="6"/>
      <c r="F337" s="6"/>
      <c r="G337" s="103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spans="1:20" ht="14.25" customHeight="1" x14ac:dyDescent="0.2">
      <c r="A338" s="6"/>
      <c r="B338" s="6"/>
      <c r="C338" s="6"/>
      <c r="D338" s="6"/>
      <c r="E338" s="6"/>
      <c r="F338" s="6"/>
      <c r="G338" s="103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1:20" ht="14.25" customHeight="1" x14ac:dyDescent="0.2">
      <c r="A339" s="6"/>
      <c r="B339" s="6"/>
      <c r="C339" s="6"/>
      <c r="D339" s="6"/>
      <c r="E339" s="6"/>
      <c r="F339" s="6"/>
      <c r="G339" s="103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spans="1:20" ht="14.25" customHeight="1" x14ac:dyDescent="0.2">
      <c r="A340" s="6"/>
      <c r="B340" s="6"/>
      <c r="C340" s="6"/>
      <c r="D340" s="6"/>
      <c r="E340" s="6"/>
      <c r="F340" s="6"/>
      <c r="G340" s="103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1:20" ht="14.25" customHeight="1" x14ac:dyDescent="0.2">
      <c r="A341" s="6"/>
      <c r="B341" s="6"/>
      <c r="C341" s="6"/>
      <c r="D341" s="6"/>
      <c r="E341" s="6"/>
      <c r="F341" s="6"/>
      <c r="G341" s="103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spans="1:20" ht="14.25" customHeight="1" x14ac:dyDescent="0.2">
      <c r="A342" s="6"/>
      <c r="B342" s="6"/>
      <c r="C342" s="6"/>
      <c r="D342" s="6"/>
      <c r="E342" s="6"/>
      <c r="F342" s="6"/>
      <c r="G342" s="103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1:20" ht="14.25" customHeight="1" x14ac:dyDescent="0.2">
      <c r="A343" s="6"/>
      <c r="B343" s="6"/>
      <c r="C343" s="6"/>
      <c r="D343" s="6"/>
      <c r="E343" s="6"/>
      <c r="F343" s="6"/>
      <c r="G343" s="103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spans="1:20" ht="14.25" customHeight="1" x14ac:dyDescent="0.2">
      <c r="A344" s="6"/>
      <c r="B344" s="6"/>
      <c r="C344" s="6"/>
      <c r="D344" s="6"/>
      <c r="E344" s="6"/>
      <c r="F344" s="6"/>
      <c r="G344" s="103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1:20" ht="14.25" customHeight="1" x14ac:dyDescent="0.2">
      <c r="A345" s="6"/>
      <c r="B345" s="6"/>
      <c r="C345" s="6"/>
      <c r="D345" s="6"/>
      <c r="E345" s="6"/>
      <c r="F345" s="6"/>
      <c r="G345" s="103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spans="1:20" ht="14.25" customHeight="1" x14ac:dyDescent="0.2">
      <c r="A346" s="6"/>
      <c r="B346" s="6"/>
      <c r="C346" s="6"/>
      <c r="D346" s="6"/>
      <c r="E346" s="6"/>
      <c r="F346" s="6"/>
      <c r="G346" s="103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1:20" ht="14.25" customHeight="1" x14ac:dyDescent="0.2">
      <c r="A347" s="6"/>
      <c r="B347" s="6"/>
      <c r="C347" s="6"/>
      <c r="D347" s="6"/>
      <c r="E347" s="6"/>
      <c r="F347" s="6"/>
      <c r="G347" s="103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spans="1:20" ht="14.25" customHeight="1" x14ac:dyDescent="0.2">
      <c r="A348" s="6"/>
      <c r="B348" s="6"/>
      <c r="C348" s="6"/>
      <c r="D348" s="6"/>
      <c r="E348" s="6"/>
      <c r="F348" s="6"/>
      <c r="G348" s="103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spans="1:20" ht="14.25" customHeight="1" x14ac:dyDescent="0.2">
      <c r="A349" s="6"/>
      <c r="B349" s="6"/>
      <c r="C349" s="6"/>
      <c r="D349" s="6"/>
      <c r="E349" s="6"/>
      <c r="F349" s="6"/>
      <c r="G349" s="103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spans="1:20" ht="14.25" customHeight="1" x14ac:dyDescent="0.2">
      <c r="A350" s="6"/>
      <c r="B350" s="6"/>
      <c r="C350" s="6"/>
      <c r="D350" s="6"/>
      <c r="E350" s="6"/>
      <c r="F350" s="6"/>
      <c r="G350" s="103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spans="1:20" ht="14.25" customHeight="1" x14ac:dyDescent="0.2">
      <c r="A351" s="6"/>
      <c r="B351" s="6"/>
      <c r="C351" s="6"/>
      <c r="D351" s="6"/>
      <c r="E351" s="6"/>
      <c r="F351" s="6"/>
      <c r="G351" s="103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spans="1:20" ht="14.25" customHeight="1" x14ac:dyDescent="0.2">
      <c r="A352" s="6"/>
      <c r="B352" s="6"/>
      <c r="C352" s="6"/>
      <c r="D352" s="6"/>
      <c r="E352" s="6"/>
      <c r="F352" s="6"/>
      <c r="G352" s="103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spans="1:20" ht="14.25" customHeight="1" x14ac:dyDescent="0.2">
      <c r="A353" s="6"/>
      <c r="B353" s="6"/>
      <c r="C353" s="6"/>
      <c r="D353" s="6"/>
      <c r="E353" s="6"/>
      <c r="F353" s="6"/>
      <c r="G353" s="103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spans="1:20" ht="14.25" customHeight="1" x14ac:dyDescent="0.2">
      <c r="A354" s="6"/>
      <c r="B354" s="6"/>
      <c r="C354" s="6"/>
      <c r="D354" s="6"/>
      <c r="E354" s="6"/>
      <c r="F354" s="6"/>
      <c r="G354" s="103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1:20" ht="14.25" customHeight="1" x14ac:dyDescent="0.2">
      <c r="A355" s="6"/>
      <c r="B355" s="6"/>
      <c r="C355" s="6"/>
      <c r="D355" s="6"/>
      <c r="E355" s="6"/>
      <c r="F355" s="6"/>
      <c r="G355" s="103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1:20" ht="14.25" customHeight="1" x14ac:dyDescent="0.2">
      <c r="A356" s="6"/>
      <c r="B356" s="6"/>
      <c r="C356" s="6"/>
      <c r="D356" s="6"/>
      <c r="E356" s="6"/>
      <c r="F356" s="6"/>
      <c r="G356" s="103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spans="1:20" ht="14.25" customHeight="1" x14ac:dyDescent="0.2">
      <c r="A357" s="6"/>
      <c r="B357" s="6"/>
      <c r="C357" s="6"/>
      <c r="D357" s="6"/>
      <c r="E357" s="6"/>
      <c r="F357" s="6"/>
      <c r="G357" s="103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spans="1:20" ht="14.25" customHeight="1" x14ac:dyDescent="0.2">
      <c r="A358" s="6"/>
      <c r="B358" s="6"/>
      <c r="C358" s="6"/>
      <c r="D358" s="6"/>
      <c r="E358" s="6"/>
      <c r="F358" s="6"/>
      <c r="G358" s="103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spans="1:20" ht="14.25" customHeight="1" x14ac:dyDescent="0.2">
      <c r="A359" s="6"/>
      <c r="B359" s="6"/>
      <c r="C359" s="6"/>
      <c r="D359" s="6"/>
      <c r="E359" s="6"/>
      <c r="F359" s="6"/>
      <c r="G359" s="103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spans="1:20" ht="14.25" customHeight="1" x14ac:dyDescent="0.2">
      <c r="A360" s="6"/>
      <c r="B360" s="6"/>
      <c r="C360" s="6"/>
      <c r="D360" s="6"/>
      <c r="E360" s="6"/>
      <c r="F360" s="6"/>
      <c r="G360" s="103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spans="1:20" ht="14.25" customHeight="1" x14ac:dyDescent="0.2">
      <c r="A361" s="6"/>
      <c r="B361" s="6"/>
      <c r="C361" s="6"/>
      <c r="D361" s="6"/>
      <c r="E361" s="6"/>
      <c r="F361" s="6"/>
      <c r="G361" s="103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spans="1:20" ht="14.25" customHeight="1" x14ac:dyDescent="0.2">
      <c r="A362" s="6"/>
      <c r="B362" s="6"/>
      <c r="C362" s="6"/>
      <c r="D362" s="6"/>
      <c r="E362" s="6"/>
      <c r="F362" s="6"/>
      <c r="G362" s="103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1:20" ht="14.25" customHeight="1" x14ac:dyDescent="0.2">
      <c r="A363" s="6"/>
      <c r="B363" s="6"/>
      <c r="C363" s="6"/>
      <c r="D363" s="6"/>
      <c r="E363" s="6"/>
      <c r="F363" s="6"/>
      <c r="G363" s="103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spans="1:20" ht="14.25" customHeight="1" x14ac:dyDescent="0.2">
      <c r="A364" s="6"/>
      <c r="B364" s="6"/>
      <c r="C364" s="6"/>
      <c r="D364" s="6"/>
      <c r="E364" s="6"/>
      <c r="F364" s="6"/>
      <c r="G364" s="103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spans="1:20" ht="14.25" customHeight="1" x14ac:dyDescent="0.2">
      <c r="A365" s="6"/>
      <c r="B365" s="6"/>
      <c r="C365" s="6"/>
      <c r="D365" s="6"/>
      <c r="E365" s="6"/>
      <c r="F365" s="6"/>
      <c r="G365" s="103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1:20" ht="14.25" customHeight="1" x14ac:dyDescent="0.2">
      <c r="A366" s="6"/>
      <c r="B366" s="6"/>
      <c r="C366" s="6"/>
      <c r="D366" s="6"/>
      <c r="E366" s="6"/>
      <c r="F366" s="6"/>
      <c r="G366" s="103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1:20" ht="14.25" customHeight="1" x14ac:dyDescent="0.2">
      <c r="A367" s="6"/>
      <c r="B367" s="6"/>
      <c r="C367" s="6"/>
      <c r="D367" s="6"/>
      <c r="E367" s="6"/>
      <c r="F367" s="6"/>
      <c r="G367" s="103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spans="1:20" ht="14.25" customHeight="1" x14ac:dyDescent="0.2">
      <c r="A368" s="6"/>
      <c r="B368" s="6"/>
      <c r="C368" s="6"/>
      <c r="D368" s="6"/>
      <c r="E368" s="6"/>
      <c r="F368" s="6"/>
      <c r="G368" s="103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1:20" ht="14.25" customHeight="1" x14ac:dyDescent="0.2">
      <c r="A369" s="6"/>
      <c r="B369" s="6"/>
      <c r="C369" s="6"/>
      <c r="D369" s="6"/>
      <c r="E369" s="6"/>
      <c r="F369" s="6"/>
      <c r="G369" s="103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spans="1:20" ht="14.25" customHeight="1" x14ac:dyDescent="0.2">
      <c r="A370" s="6"/>
      <c r="B370" s="6"/>
      <c r="C370" s="6"/>
      <c r="D370" s="6"/>
      <c r="E370" s="6"/>
      <c r="F370" s="6"/>
      <c r="G370" s="103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1:20" ht="14.25" customHeight="1" x14ac:dyDescent="0.2">
      <c r="A371" s="6"/>
      <c r="B371" s="6"/>
      <c r="C371" s="6"/>
      <c r="D371" s="6"/>
      <c r="E371" s="6"/>
      <c r="F371" s="6"/>
      <c r="G371" s="103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spans="1:20" ht="14.25" customHeight="1" x14ac:dyDescent="0.2">
      <c r="A372" s="6"/>
      <c r="B372" s="6"/>
      <c r="C372" s="6"/>
      <c r="D372" s="6"/>
      <c r="E372" s="6"/>
      <c r="F372" s="6"/>
      <c r="G372" s="103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1:20" ht="14.25" customHeight="1" x14ac:dyDescent="0.2">
      <c r="A373" s="6"/>
      <c r="B373" s="6"/>
      <c r="C373" s="6"/>
      <c r="D373" s="6"/>
      <c r="E373" s="6"/>
      <c r="F373" s="6"/>
      <c r="G373" s="103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spans="1:20" ht="14.25" customHeight="1" x14ac:dyDescent="0.2">
      <c r="A374" s="6"/>
      <c r="B374" s="6"/>
      <c r="C374" s="6"/>
      <c r="D374" s="6"/>
      <c r="E374" s="6"/>
      <c r="F374" s="6"/>
      <c r="G374" s="103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1:20" ht="14.25" customHeight="1" x14ac:dyDescent="0.2">
      <c r="A375" s="6"/>
      <c r="B375" s="6"/>
      <c r="C375" s="6"/>
      <c r="D375" s="6"/>
      <c r="E375" s="6"/>
      <c r="F375" s="6"/>
      <c r="G375" s="103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spans="1:20" ht="14.25" customHeight="1" x14ac:dyDescent="0.2">
      <c r="A376" s="6"/>
      <c r="B376" s="6"/>
      <c r="C376" s="6"/>
      <c r="D376" s="6"/>
      <c r="E376" s="6"/>
      <c r="F376" s="6"/>
      <c r="G376" s="103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1:20" ht="14.25" customHeight="1" x14ac:dyDescent="0.2">
      <c r="A377" s="6"/>
      <c r="B377" s="6"/>
      <c r="C377" s="6"/>
      <c r="D377" s="6"/>
      <c r="E377" s="6"/>
      <c r="F377" s="6"/>
      <c r="G377" s="103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1:20" ht="14.25" customHeight="1" x14ac:dyDescent="0.2">
      <c r="A378" s="6"/>
      <c r="B378" s="6"/>
      <c r="C378" s="6"/>
      <c r="D378" s="6"/>
      <c r="E378" s="6"/>
      <c r="F378" s="6"/>
      <c r="G378" s="103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1:20" ht="14.25" customHeight="1" x14ac:dyDescent="0.2">
      <c r="A379" s="6"/>
      <c r="B379" s="6"/>
      <c r="C379" s="6"/>
      <c r="D379" s="6"/>
      <c r="E379" s="6"/>
      <c r="F379" s="6"/>
      <c r="G379" s="103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1:20" ht="14.25" customHeight="1" x14ac:dyDescent="0.2">
      <c r="A380" s="6"/>
      <c r="B380" s="6"/>
      <c r="C380" s="6"/>
      <c r="D380" s="6"/>
      <c r="E380" s="6"/>
      <c r="F380" s="6"/>
      <c r="G380" s="103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1:20" ht="14.25" customHeight="1" x14ac:dyDescent="0.2">
      <c r="A381" s="6"/>
      <c r="B381" s="6"/>
      <c r="C381" s="6"/>
      <c r="D381" s="6"/>
      <c r="E381" s="6"/>
      <c r="F381" s="6"/>
      <c r="G381" s="103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spans="1:20" ht="14.25" customHeight="1" x14ac:dyDescent="0.2">
      <c r="A382" s="6"/>
      <c r="B382" s="6"/>
      <c r="C382" s="6"/>
      <c r="D382" s="6"/>
      <c r="E382" s="6"/>
      <c r="F382" s="6"/>
      <c r="G382" s="103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1:20" ht="14.25" customHeight="1" x14ac:dyDescent="0.2">
      <c r="A383" s="6"/>
      <c r="B383" s="6"/>
      <c r="C383" s="6"/>
      <c r="D383" s="6"/>
      <c r="E383" s="6"/>
      <c r="F383" s="6"/>
      <c r="G383" s="103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spans="1:20" ht="14.25" customHeight="1" x14ac:dyDescent="0.2">
      <c r="A384" s="6"/>
      <c r="B384" s="6"/>
      <c r="C384" s="6"/>
      <c r="D384" s="6"/>
      <c r="E384" s="6"/>
      <c r="F384" s="6"/>
      <c r="G384" s="103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1:20" ht="14.25" customHeight="1" x14ac:dyDescent="0.2">
      <c r="A385" s="6"/>
      <c r="B385" s="6"/>
      <c r="C385" s="6"/>
      <c r="D385" s="6"/>
      <c r="E385" s="6"/>
      <c r="F385" s="6"/>
      <c r="G385" s="103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spans="1:20" ht="14.25" customHeight="1" x14ac:dyDescent="0.2">
      <c r="A386" s="6"/>
      <c r="B386" s="6"/>
      <c r="C386" s="6"/>
      <c r="D386" s="6"/>
      <c r="E386" s="6"/>
      <c r="F386" s="6"/>
      <c r="G386" s="103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1:20" ht="14.25" customHeight="1" x14ac:dyDescent="0.2">
      <c r="A387" s="6"/>
      <c r="B387" s="6"/>
      <c r="C387" s="6"/>
      <c r="D387" s="6"/>
      <c r="E387" s="6"/>
      <c r="F387" s="6"/>
      <c r="G387" s="103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spans="1:20" ht="14.25" customHeight="1" x14ac:dyDescent="0.2">
      <c r="A388" s="6"/>
      <c r="B388" s="6"/>
      <c r="C388" s="6"/>
      <c r="D388" s="6"/>
      <c r="E388" s="6"/>
      <c r="F388" s="6"/>
      <c r="G388" s="103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1:20" ht="14.25" customHeight="1" x14ac:dyDescent="0.2">
      <c r="A389" s="6"/>
      <c r="B389" s="6"/>
      <c r="C389" s="6"/>
      <c r="D389" s="6"/>
      <c r="E389" s="6"/>
      <c r="F389" s="6"/>
      <c r="G389" s="103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1:20" ht="14.25" customHeight="1" x14ac:dyDescent="0.2">
      <c r="A390" s="6"/>
      <c r="B390" s="6"/>
      <c r="C390" s="6"/>
      <c r="D390" s="6"/>
      <c r="E390" s="6"/>
      <c r="F390" s="6"/>
      <c r="G390" s="103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1:20" ht="14.25" customHeight="1" x14ac:dyDescent="0.2">
      <c r="A391" s="6"/>
      <c r="B391" s="6"/>
      <c r="C391" s="6"/>
      <c r="D391" s="6"/>
      <c r="E391" s="6"/>
      <c r="F391" s="6"/>
      <c r="G391" s="103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spans="1:20" ht="14.25" customHeight="1" x14ac:dyDescent="0.2">
      <c r="A392" s="6"/>
      <c r="B392" s="6"/>
      <c r="C392" s="6"/>
      <c r="D392" s="6"/>
      <c r="E392" s="6"/>
      <c r="F392" s="6"/>
      <c r="G392" s="103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spans="1:20" ht="14.25" customHeight="1" x14ac:dyDescent="0.2">
      <c r="A393" s="6"/>
      <c r="B393" s="6"/>
      <c r="C393" s="6"/>
      <c r="D393" s="6"/>
      <c r="E393" s="6"/>
      <c r="F393" s="6"/>
      <c r="G393" s="103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spans="1:20" ht="14.25" customHeight="1" x14ac:dyDescent="0.2">
      <c r="A394" s="6"/>
      <c r="B394" s="6"/>
      <c r="C394" s="6"/>
      <c r="D394" s="6"/>
      <c r="E394" s="6"/>
      <c r="F394" s="6"/>
      <c r="G394" s="103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spans="1:20" ht="14.25" customHeight="1" x14ac:dyDescent="0.2">
      <c r="A395" s="6"/>
      <c r="B395" s="6"/>
      <c r="C395" s="6"/>
      <c r="D395" s="6"/>
      <c r="E395" s="6"/>
      <c r="F395" s="6"/>
      <c r="G395" s="103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spans="1:20" ht="14.25" customHeight="1" x14ac:dyDescent="0.2">
      <c r="A396" s="6"/>
      <c r="B396" s="6"/>
      <c r="C396" s="6"/>
      <c r="D396" s="6"/>
      <c r="E396" s="6"/>
      <c r="F396" s="6"/>
      <c r="G396" s="103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spans="1:20" ht="14.25" customHeight="1" x14ac:dyDescent="0.2">
      <c r="A397" s="6"/>
      <c r="B397" s="6"/>
      <c r="C397" s="6"/>
      <c r="D397" s="6"/>
      <c r="E397" s="6"/>
      <c r="F397" s="6"/>
      <c r="G397" s="103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spans="1:20" ht="14.25" customHeight="1" x14ac:dyDescent="0.2">
      <c r="A398" s="6"/>
      <c r="B398" s="6"/>
      <c r="C398" s="6"/>
      <c r="D398" s="6"/>
      <c r="E398" s="6"/>
      <c r="F398" s="6"/>
      <c r="G398" s="103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spans="1:20" ht="14.25" customHeight="1" x14ac:dyDescent="0.2">
      <c r="A399" s="6"/>
      <c r="B399" s="6"/>
      <c r="C399" s="6"/>
      <c r="D399" s="6"/>
      <c r="E399" s="6"/>
      <c r="F399" s="6"/>
      <c r="G399" s="103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spans="1:20" ht="14.25" customHeight="1" x14ac:dyDescent="0.2">
      <c r="A400" s="6"/>
      <c r="B400" s="6"/>
      <c r="C400" s="6"/>
      <c r="D400" s="6"/>
      <c r="E400" s="6"/>
      <c r="F400" s="6"/>
      <c r="G400" s="103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1:20" ht="14.25" customHeight="1" x14ac:dyDescent="0.2">
      <c r="A401" s="6"/>
      <c r="B401" s="6"/>
      <c r="C401" s="6"/>
      <c r="D401" s="6"/>
      <c r="E401" s="6"/>
      <c r="F401" s="6"/>
      <c r="G401" s="103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spans="1:20" ht="14.25" customHeight="1" x14ac:dyDescent="0.2">
      <c r="A402" s="6"/>
      <c r="B402" s="6"/>
      <c r="C402" s="6"/>
      <c r="D402" s="6"/>
      <c r="E402" s="6"/>
      <c r="F402" s="6"/>
      <c r="G402" s="103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spans="1:20" ht="14.25" customHeight="1" x14ac:dyDescent="0.2">
      <c r="A403" s="6"/>
      <c r="B403" s="6"/>
      <c r="C403" s="6"/>
      <c r="D403" s="6"/>
      <c r="E403" s="6"/>
      <c r="F403" s="6"/>
      <c r="G403" s="103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spans="1:20" ht="14.25" customHeight="1" x14ac:dyDescent="0.2">
      <c r="A404" s="6"/>
      <c r="B404" s="6"/>
      <c r="C404" s="6"/>
      <c r="D404" s="6"/>
      <c r="E404" s="6"/>
      <c r="F404" s="6"/>
      <c r="G404" s="103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spans="1:20" ht="14.25" customHeight="1" x14ac:dyDescent="0.2">
      <c r="A405" s="6"/>
      <c r="B405" s="6"/>
      <c r="C405" s="6"/>
      <c r="D405" s="6"/>
      <c r="E405" s="6"/>
      <c r="F405" s="6"/>
      <c r="G405" s="103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spans="1:20" ht="14.25" customHeight="1" x14ac:dyDescent="0.2">
      <c r="A406" s="6"/>
      <c r="B406" s="6"/>
      <c r="C406" s="6"/>
      <c r="D406" s="6"/>
      <c r="E406" s="6"/>
      <c r="F406" s="6"/>
      <c r="G406" s="103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spans="1:20" ht="14.25" customHeight="1" x14ac:dyDescent="0.2">
      <c r="A407" s="6"/>
      <c r="B407" s="6"/>
      <c r="C407" s="6"/>
      <c r="D407" s="6"/>
      <c r="E407" s="6"/>
      <c r="F407" s="6"/>
      <c r="G407" s="103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spans="1:20" ht="14.25" customHeight="1" x14ac:dyDescent="0.2">
      <c r="A408" s="6"/>
      <c r="B408" s="6"/>
      <c r="C408" s="6"/>
      <c r="D408" s="6"/>
      <c r="E408" s="6"/>
      <c r="F408" s="6"/>
      <c r="G408" s="103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spans="1:20" ht="14.25" customHeight="1" x14ac:dyDescent="0.2">
      <c r="A409" s="6"/>
      <c r="B409" s="6"/>
      <c r="C409" s="6"/>
      <c r="D409" s="6"/>
      <c r="E409" s="6"/>
      <c r="F409" s="6"/>
      <c r="G409" s="103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spans="1:20" ht="14.25" customHeight="1" x14ac:dyDescent="0.2">
      <c r="A410" s="6"/>
      <c r="B410" s="6"/>
      <c r="C410" s="6"/>
      <c r="D410" s="6"/>
      <c r="E410" s="6"/>
      <c r="F410" s="6"/>
      <c r="G410" s="103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spans="1:20" ht="14.25" customHeight="1" x14ac:dyDescent="0.2">
      <c r="A411" s="6"/>
      <c r="B411" s="6"/>
      <c r="C411" s="6"/>
      <c r="D411" s="6"/>
      <c r="E411" s="6"/>
      <c r="F411" s="6"/>
      <c r="G411" s="103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spans="1:20" ht="14.25" customHeight="1" x14ac:dyDescent="0.2">
      <c r="A412" s="6"/>
      <c r="B412" s="6"/>
      <c r="C412" s="6"/>
      <c r="D412" s="6"/>
      <c r="E412" s="6"/>
      <c r="F412" s="6"/>
      <c r="G412" s="103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spans="1:20" ht="14.25" customHeight="1" x14ac:dyDescent="0.2">
      <c r="A413" s="6"/>
      <c r="B413" s="6"/>
      <c r="C413" s="6"/>
      <c r="D413" s="6"/>
      <c r="E413" s="6"/>
      <c r="F413" s="6"/>
      <c r="G413" s="103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spans="1:20" ht="14.25" customHeight="1" x14ac:dyDescent="0.2">
      <c r="A414" s="6"/>
      <c r="B414" s="6"/>
      <c r="C414" s="6"/>
      <c r="D414" s="6"/>
      <c r="E414" s="6"/>
      <c r="F414" s="6"/>
      <c r="G414" s="103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spans="1:20" ht="14.25" customHeight="1" x14ac:dyDescent="0.2">
      <c r="A415" s="6"/>
      <c r="B415" s="6"/>
      <c r="C415" s="6"/>
      <c r="D415" s="6"/>
      <c r="E415" s="6"/>
      <c r="F415" s="6"/>
      <c r="G415" s="103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spans="1:20" ht="14.25" customHeight="1" x14ac:dyDescent="0.2">
      <c r="A416" s="6"/>
      <c r="B416" s="6"/>
      <c r="C416" s="6"/>
      <c r="D416" s="6"/>
      <c r="E416" s="6"/>
      <c r="F416" s="6"/>
      <c r="G416" s="103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spans="1:20" ht="14.25" customHeight="1" x14ac:dyDescent="0.2">
      <c r="A417" s="6"/>
      <c r="B417" s="6"/>
      <c r="C417" s="6"/>
      <c r="D417" s="6"/>
      <c r="E417" s="6"/>
      <c r="F417" s="6"/>
      <c r="G417" s="103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spans="1:20" ht="14.25" customHeight="1" x14ac:dyDescent="0.2">
      <c r="A418" s="6"/>
      <c r="B418" s="6"/>
      <c r="C418" s="6"/>
      <c r="D418" s="6"/>
      <c r="E418" s="6"/>
      <c r="F418" s="6"/>
      <c r="G418" s="103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1:20" ht="14.25" customHeight="1" x14ac:dyDescent="0.2">
      <c r="A419" s="6"/>
      <c r="B419" s="6"/>
      <c r="C419" s="6"/>
      <c r="D419" s="6"/>
      <c r="E419" s="6"/>
      <c r="F419" s="6"/>
      <c r="G419" s="103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spans="1:20" ht="14.25" customHeight="1" x14ac:dyDescent="0.2">
      <c r="A420" s="6"/>
      <c r="B420" s="6"/>
      <c r="C420" s="6"/>
      <c r="D420" s="6"/>
      <c r="E420" s="6"/>
      <c r="F420" s="6"/>
      <c r="G420" s="103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spans="1:20" ht="14.25" customHeight="1" x14ac:dyDescent="0.2">
      <c r="A421" s="6"/>
      <c r="B421" s="6"/>
      <c r="C421" s="6"/>
      <c r="D421" s="6"/>
      <c r="E421" s="6"/>
      <c r="F421" s="6"/>
      <c r="G421" s="103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spans="1:20" ht="14.25" customHeight="1" x14ac:dyDescent="0.2">
      <c r="A422" s="6"/>
      <c r="B422" s="6"/>
      <c r="C422" s="6"/>
      <c r="D422" s="6"/>
      <c r="E422" s="6"/>
      <c r="F422" s="6"/>
      <c r="G422" s="103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spans="1:20" ht="14.25" customHeight="1" x14ac:dyDescent="0.2">
      <c r="A423" s="6"/>
      <c r="B423" s="6"/>
      <c r="C423" s="6"/>
      <c r="D423" s="6"/>
      <c r="E423" s="6"/>
      <c r="F423" s="6"/>
      <c r="G423" s="103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spans="1:20" ht="14.25" customHeight="1" x14ac:dyDescent="0.2">
      <c r="A424" s="6"/>
      <c r="B424" s="6"/>
      <c r="C424" s="6"/>
      <c r="D424" s="6"/>
      <c r="E424" s="6"/>
      <c r="F424" s="6"/>
      <c r="G424" s="103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spans="1:20" ht="14.25" customHeight="1" x14ac:dyDescent="0.2">
      <c r="A425" s="6"/>
      <c r="B425" s="6"/>
      <c r="C425" s="6"/>
      <c r="D425" s="6"/>
      <c r="E425" s="6"/>
      <c r="F425" s="6"/>
      <c r="G425" s="103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spans="1:20" ht="14.25" customHeight="1" x14ac:dyDescent="0.2">
      <c r="A426" s="6"/>
      <c r="B426" s="6"/>
      <c r="C426" s="6"/>
      <c r="D426" s="6"/>
      <c r="E426" s="6"/>
      <c r="F426" s="6"/>
      <c r="G426" s="103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spans="1:20" ht="14.25" customHeight="1" x14ac:dyDescent="0.2">
      <c r="A427" s="6"/>
      <c r="B427" s="6"/>
      <c r="C427" s="6"/>
      <c r="D427" s="6"/>
      <c r="E427" s="6"/>
      <c r="F427" s="6"/>
      <c r="G427" s="103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spans="1:20" ht="14.25" customHeight="1" x14ac:dyDescent="0.2">
      <c r="A428" s="6"/>
      <c r="B428" s="6"/>
      <c r="C428" s="6"/>
      <c r="D428" s="6"/>
      <c r="E428" s="6"/>
      <c r="F428" s="6"/>
      <c r="G428" s="103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spans="1:20" ht="14.25" customHeight="1" x14ac:dyDescent="0.2">
      <c r="A429" s="6"/>
      <c r="B429" s="6"/>
      <c r="C429" s="6"/>
      <c r="D429" s="6"/>
      <c r="E429" s="6"/>
      <c r="F429" s="6"/>
      <c r="G429" s="103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spans="1:20" ht="14.25" customHeight="1" x14ac:dyDescent="0.2">
      <c r="A430" s="6"/>
      <c r="B430" s="6"/>
      <c r="C430" s="6"/>
      <c r="D430" s="6"/>
      <c r="E430" s="6"/>
      <c r="F430" s="6"/>
      <c r="G430" s="103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spans="1:20" ht="14.25" customHeight="1" x14ac:dyDescent="0.2">
      <c r="A431" s="6"/>
      <c r="B431" s="6"/>
      <c r="C431" s="6"/>
      <c r="D431" s="6"/>
      <c r="E431" s="6"/>
      <c r="F431" s="6"/>
      <c r="G431" s="103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spans="1:20" ht="14.25" customHeight="1" x14ac:dyDescent="0.2">
      <c r="A432" s="6"/>
      <c r="B432" s="6"/>
      <c r="C432" s="6"/>
      <c r="D432" s="6"/>
      <c r="E432" s="6"/>
      <c r="F432" s="6"/>
      <c r="G432" s="103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spans="1:20" ht="14.25" customHeight="1" x14ac:dyDescent="0.2">
      <c r="A433" s="6"/>
      <c r="B433" s="6"/>
      <c r="C433" s="6"/>
      <c r="D433" s="6"/>
      <c r="E433" s="6"/>
      <c r="F433" s="6"/>
      <c r="G433" s="103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spans="1:20" ht="14.25" customHeight="1" x14ac:dyDescent="0.2">
      <c r="A434" s="6"/>
      <c r="B434" s="6"/>
      <c r="C434" s="6"/>
      <c r="D434" s="6"/>
      <c r="E434" s="6"/>
      <c r="F434" s="6"/>
      <c r="G434" s="103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spans="1:20" ht="14.25" customHeight="1" x14ac:dyDescent="0.2">
      <c r="A435" s="6"/>
      <c r="B435" s="6"/>
      <c r="C435" s="6"/>
      <c r="D435" s="6"/>
      <c r="E435" s="6"/>
      <c r="F435" s="6"/>
      <c r="G435" s="103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spans="1:20" ht="14.25" customHeight="1" x14ac:dyDescent="0.2">
      <c r="A436" s="6"/>
      <c r="B436" s="6"/>
      <c r="C436" s="6"/>
      <c r="D436" s="6"/>
      <c r="E436" s="6"/>
      <c r="F436" s="6"/>
      <c r="G436" s="103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spans="1:20" ht="14.25" customHeight="1" x14ac:dyDescent="0.2">
      <c r="A437" s="6"/>
      <c r="B437" s="6"/>
      <c r="C437" s="6"/>
      <c r="D437" s="6"/>
      <c r="E437" s="6"/>
      <c r="F437" s="6"/>
      <c r="G437" s="103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spans="1:20" ht="14.25" customHeight="1" x14ac:dyDescent="0.2">
      <c r="A438" s="6"/>
      <c r="B438" s="6"/>
      <c r="C438" s="6"/>
      <c r="D438" s="6"/>
      <c r="E438" s="6"/>
      <c r="F438" s="6"/>
      <c r="G438" s="103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spans="1:20" ht="14.25" customHeight="1" x14ac:dyDescent="0.2">
      <c r="A439" s="6"/>
      <c r="B439" s="6"/>
      <c r="C439" s="6"/>
      <c r="D439" s="6"/>
      <c r="E439" s="6"/>
      <c r="F439" s="6"/>
      <c r="G439" s="103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spans="1:20" ht="14.25" customHeight="1" x14ac:dyDescent="0.2">
      <c r="A440" s="6"/>
      <c r="B440" s="6"/>
      <c r="C440" s="6"/>
      <c r="D440" s="6"/>
      <c r="E440" s="6"/>
      <c r="F440" s="6"/>
      <c r="G440" s="103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spans="1:20" ht="14.25" customHeight="1" x14ac:dyDescent="0.2">
      <c r="A441" s="6"/>
      <c r="B441" s="6"/>
      <c r="C441" s="6"/>
      <c r="D441" s="6"/>
      <c r="E441" s="6"/>
      <c r="F441" s="6"/>
      <c r="G441" s="103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spans="1:20" ht="14.25" customHeight="1" x14ac:dyDescent="0.2">
      <c r="A442" s="6"/>
      <c r="B442" s="6"/>
      <c r="C442" s="6"/>
      <c r="D442" s="6"/>
      <c r="E442" s="6"/>
      <c r="F442" s="6"/>
      <c r="G442" s="103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spans="1:20" ht="14.25" customHeight="1" x14ac:dyDescent="0.2">
      <c r="A443" s="6"/>
      <c r="B443" s="6"/>
      <c r="C443" s="6"/>
      <c r="D443" s="6"/>
      <c r="E443" s="6"/>
      <c r="F443" s="6"/>
      <c r="G443" s="103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spans="1:20" ht="14.25" customHeight="1" x14ac:dyDescent="0.2">
      <c r="A444" s="6"/>
      <c r="B444" s="6"/>
      <c r="C444" s="6"/>
      <c r="D444" s="6"/>
      <c r="E444" s="6"/>
      <c r="F444" s="6"/>
      <c r="G444" s="103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spans="1:20" ht="14.25" customHeight="1" x14ac:dyDescent="0.2">
      <c r="A445" s="6"/>
      <c r="B445" s="6"/>
      <c r="C445" s="6"/>
      <c r="D445" s="6"/>
      <c r="E445" s="6"/>
      <c r="F445" s="6"/>
      <c r="G445" s="103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spans="1:20" ht="14.25" customHeight="1" x14ac:dyDescent="0.2">
      <c r="A446" s="6"/>
      <c r="B446" s="6"/>
      <c r="C446" s="6"/>
      <c r="D446" s="6"/>
      <c r="E446" s="6"/>
      <c r="F446" s="6"/>
      <c r="G446" s="103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spans="1:20" ht="14.25" customHeight="1" x14ac:dyDescent="0.2">
      <c r="A447" s="6"/>
      <c r="B447" s="6"/>
      <c r="C447" s="6"/>
      <c r="D447" s="6"/>
      <c r="E447" s="6"/>
      <c r="F447" s="6"/>
      <c r="G447" s="103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spans="1:20" ht="14.25" customHeight="1" x14ac:dyDescent="0.2">
      <c r="A448" s="6"/>
      <c r="B448" s="6"/>
      <c r="C448" s="6"/>
      <c r="D448" s="6"/>
      <c r="E448" s="6"/>
      <c r="F448" s="6"/>
      <c r="G448" s="103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spans="1:20" ht="14.25" customHeight="1" x14ac:dyDescent="0.2">
      <c r="A449" s="6"/>
      <c r="B449" s="6"/>
      <c r="C449" s="6"/>
      <c r="D449" s="6"/>
      <c r="E449" s="6"/>
      <c r="F449" s="6"/>
      <c r="G449" s="103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spans="1:20" ht="14.25" customHeight="1" x14ac:dyDescent="0.2">
      <c r="A450" s="6"/>
      <c r="B450" s="6"/>
      <c r="C450" s="6"/>
      <c r="D450" s="6"/>
      <c r="E450" s="6"/>
      <c r="F450" s="6"/>
      <c r="G450" s="103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spans="1:20" ht="14.25" customHeight="1" x14ac:dyDescent="0.2">
      <c r="A451" s="6"/>
      <c r="B451" s="6"/>
      <c r="C451" s="6"/>
      <c r="D451" s="6"/>
      <c r="E451" s="6"/>
      <c r="F451" s="6"/>
      <c r="G451" s="103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spans="1:20" ht="14.25" customHeight="1" x14ac:dyDescent="0.2">
      <c r="A452" s="6"/>
      <c r="B452" s="6"/>
      <c r="C452" s="6"/>
      <c r="D452" s="6"/>
      <c r="E452" s="6"/>
      <c r="F452" s="6"/>
      <c r="G452" s="103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spans="1:20" ht="14.25" customHeight="1" x14ac:dyDescent="0.2">
      <c r="A453" s="6"/>
      <c r="B453" s="6"/>
      <c r="C453" s="6"/>
      <c r="D453" s="6"/>
      <c r="E453" s="6"/>
      <c r="F453" s="6"/>
      <c r="G453" s="103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spans="1:20" ht="14.25" customHeight="1" x14ac:dyDescent="0.2">
      <c r="A454" s="6"/>
      <c r="B454" s="6"/>
      <c r="C454" s="6"/>
      <c r="D454" s="6"/>
      <c r="E454" s="6"/>
      <c r="F454" s="6"/>
      <c r="G454" s="103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spans="1:20" ht="14.25" customHeight="1" x14ac:dyDescent="0.2">
      <c r="A455" s="6"/>
      <c r="B455" s="6"/>
      <c r="C455" s="6"/>
      <c r="D455" s="6"/>
      <c r="E455" s="6"/>
      <c r="F455" s="6"/>
      <c r="G455" s="103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spans="1:20" ht="14.25" customHeight="1" x14ac:dyDescent="0.2">
      <c r="A456" s="6"/>
      <c r="B456" s="6"/>
      <c r="C456" s="6"/>
      <c r="D456" s="6"/>
      <c r="E456" s="6"/>
      <c r="F456" s="6"/>
      <c r="G456" s="103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spans="1:20" ht="14.25" customHeight="1" x14ac:dyDescent="0.2">
      <c r="A457" s="6"/>
      <c r="B457" s="6"/>
      <c r="C457" s="6"/>
      <c r="D457" s="6"/>
      <c r="E457" s="6"/>
      <c r="F457" s="6"/>
      <c r="G457" s="103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1:20" ht="14.25" customHeight="1" x14ac:dyDescent="0.2">
      <c r="A458" s="6"/>
      <c r="B458" s="6"/>
      <c r="C458" s="6"/>
      <c r="D458" s="6"/>
      <c r="E458" s="6"/>
      <c r="F458" s="6"/>
      <c r="G458" s="103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1:20" ht="14.25" customHeight="1" x14ac:dyDescent="0.2">
      <c r="A459" s="6"/>
      <c r="B459" s="6"/>
      <c r="C459" s="6"/>
      <c r="D459" s="6"/>
      <c r="E459" s="6"/>
      <c r="F459" s="6"/>
      <c r="G459" s="103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spans="1:20" ht="14.25" customHeight="1" x14ac:dyDescent="0.2">
      <c r="A460" s="6"/>
      <c r="B460" s="6"/>
      <c r="C460" s="6"/>
      <c r="D460" s="6"/>
      <c r="E460" s="6"/>
      <c r="F460" s="6"/>
      <c r="G460" s="103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1:20" ht="14.25" customHeight="1" x14ac:dyDescent="0.2">
      <c r="A461" s="6"/>
      <c r="B461" s="6"/>
      <c r="C461" s="6"/>
      <c r="D461" s="6"/>
      <c r="E461" s="6"/>
      <c r="F461" s="6"/>
      <c r="G461" s="103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spans="1:20" ht="14.25" customHeight="1" x14ac:dyDescent="0.2">
      <c r="A462" s="6"/>
      <c r="B462" s="6"/>
      <c r="C462" s="6"/>
      <c r="D462" s="6"/>
      <c r="E462" s="6"/>
      <c r="F462" s="6"/>
      <c r="G462" s="103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spans="1:20" ht="14.25" customHeight="1" x14ac:dyDescent="0.2">
      <c r="A463" s="6"/>
      <c r="B463" s="6"/>
      <c r="C463" s="6"/>
      <c r="D463" s="6"/>
      <c r="E463" s="6"/>
      <c r="F463" s="6"/>
      <c r="G463" s="103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spans="1:20" ht="14.25" customHeight="1" x14ac:dyDescent="0.2">
      <c r="A464" s="6"/>
      <c r="B464" s="6"/>
      <c r="C464" s="6"/>
      <c r="D464" s="6"/>
      <c r="E464" s="6"/>
      <c r="F464" s="6"/>
      <c r="G464" s="103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spans="1:20" ht="14.25" customHeight="1" x14ac:dyDescent="0.2">
      <c r="A465" s="6"/>
      <c r="B465" s="6"/>
      <c r="C465" s="6"/>
      <c r="D465" s="6"/>
      <c r="E465" s="6"/>
      <c r="F465" s="6"/>
      <c r="G465" s="103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</sheetData>
  <mergeCells count="32">
    <mergeCell ref="G1:H1"/>
    <mergeCell ref="G2:H2"/>
    <mergeCell ref="U5:AQ5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U7:AQ7"/>
    <mergeCell ref="C89:G89"/>
    <mergeCell ref="B164:B165"/>
    <mergeCell ref="C164:C165"/>
    <mergeCell ref="D164:D165"/>
    <mergeCell ref="E164:E165"/>
    <mergeCell ref="F164:F165"/>
    <mergeCell ref="G164:G165"/>
    <mergeCell ref="I164:I165"/>
    <mergeCell ref="J164:J165"/>
    <mergeCell ref="B209:B210"/>
    <mergeCell ref="C209:C210"/>
    <mergeCell ref="H209:H210"/>
    <mergeCell ref="I209:I210"/>
    <mergeCell ref="J209:J210"/>
    <mergeCell ref="F262:G262"/>
    <mergeCell ref="F263:G263"/>
    <mergeCell ref="F264:G264"/>
    <mergeCell ref="F265:G265"/>
    <mergeCell ref="H164:H165"/>
  </mergeCells>
  <conditionalFormatting sqref="B1:B3 B251:F251 B257:F258">
    <cfRule type="expression" dxfId="22" priority="3">
      <formula>$C1&lt;&gt;""</formula>
    </cfRule>
  </conditionalFormatting>
  <conditionalFormatting sqref="B1:B5 B205:F205 H205">
    <cfRule type="expression" dxfId="21" priority="2">
      <formula>#REF!&lt;&gt;""</formula>
    </cfRule>
  </conditionalFormatting>
  <conditionalFormatting sqref="B160:B163">
    <cfRule type="expression" dxfId="20" priority="7">
      <formula>#REF!&lt;&gt;""</formula>
    </cfRule>
  </conditionalFormatting>
  <conditionalFormatting sqref="B207:B208">
    <cfRule type="expression" dxfId="19" priority="8">
      <formula>$C207&lt;&gt;""</formula>
    </cfRule>
  </conditionalFormatting>
  <conditionalFormatting sqref="G1:G2">
    <cfRule type="expression" dxfId="18" priority="4">
      <formula>#REF!&lt;&gt;""</formula>
    </cfRule>
  </conditionalFormatting>
  <conditionalFormatting sqref="G158:I158 B158:F159">
    <cfRule type="expression" dxfId="17" priority="5">
      <formula>#REF!&lt;&gt;""</formula>
    </cfRule>
  </conditionalFormatting>
  <conditionalFormatting sqref="H158:H159">
    <cfRule type="expression" dxfId="16" priority="6">
      <formula>#REF!&lt;&gt;""</formula>
    </cfRule>
  </conditionalFormatting>
  <conditionalFormatting sqref="H257:H258">
    <cfRule type="expression" dxfId="15" priority="9">
      <formula>$C257&lt;&gt;""</formula>
    </cfRule>
  </conditionalFormatting>
  <conditionalFormatting sqref="U8:V256">
    <cfRule type="expression" dxfId="14" priority="11">
      <formula>AND(ISNUMBER($U8),$U8&gt;$V8)</formula>
    </cfRule>
  </conditionalFormatting>
  <conditionalFormatting sqref="AB8:AQ256">
    <cfRule type="expression" dxfId="13" priority="10">
      <formula>$AB8="■"</formula>
    </cfRule>
  </conditionalFormatting>
  <dataValidations count="1">
    <dataValidation type="list" allowBlank="1" sqref="U9:V14 U16:V29 U32:V42 U45:V50 U53:V59 U62:V64 U67:V72 U75:V82 U85:V87 U253:V256 U110:V115 U118:V121 U124:V127 U130:V133 U136:V144 U167:V172 U175:V180 U183:V189 U193:V199 U201:V204 U212:V216 U218:V223 U225:V227 U229:V231 U233:V246 U248:V251 U91:V106" xr:uid="{00000000-0002-0000-0200-000000000000}">
      <formula1>"1,2,3,4,5,6,7,8,9,10,11,12,13,14,15,16"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"/>
  <sheetViews>
    <sheetView zoomScaleNormal="100" workbookViewId="0"/>
  </sheetViews>
  <sheetFormatPr defaultColWidth="14.42578125" defaultRowHeight="12.75" x14ac:dyDescent="0.2"/>
  <cols>
    <col min="1" max="1" width="5.140625" customWidth="1"/>
    <col min="2" max="8" width="9.140625" customWidth="1"/>
    <col min="9" max="9" width="2.85546875" customWidth="1"/>
    <col min="10" max="11" width="9.140625" hidden="1" customWidth="1"/>
    <col min="12" max="23" width="7.42578125" customWidth="1"/>
    <col min="24" max="26" width="8.42578125" customWidth="1"/>
    <col min="27" max="27" width="4.5703125" customWidth="1"/>
  </cols>
  <sheetData>
    <row r="1" spans="1:27" ht="12.75" customHeight="1" x14ac:dyDescent="0.2"/>
    <row r="2" spans="1:27" ht="12.75" customHeight="1" x14ac:dyDescent="0.2"/>
    <row r="3" spans="1:27" ht="12.75" customHeight="1" x14ac:dyDescent="0.25">
      <c r="A3" s="113" t="s">
        <v>566</v>
      </c>
    </row>
    <row r="4" spans="1:27" ht="12.75" customHeight="1" x14ac:dyDescent="0.25">
      <c r="A4" s="114" t="s">
        <v>567</v>
      </c>
      <c r="B4" s="114"/>
    </row>
    <row r="5" spans="1:27" ht="12.75" customHeight="1" x14ac:dyDescent="0.25">
      <c r="A5" s="114" t="s">
        <v>568</v>
      </c>
    </row>
    <row r="6" spans="1:27" ht="12.75" customHeight="1" x14ac:dyDescent="0.2"/>
    <row r="7" spans="1:27" ht="12.75" customHeight="1" x14ac:dyDescent="0.2">
      <c r="A7" s="279" t="s">
        <v>569</v>
      </c>
      <c r="B7" s="280" t="s">
        <v>570</v>
      </c>
      <c r="C7" s="280"/>
      <c r="D7" s="280"/>
      <c r="E7" s="280"/>
      <c r="F7" s="280"/>
      <c r="G7" s="280"/>
      <c r="H7" s="280"/>
      <c r="I7" s="280"/>
      <c r="J7" s="280"/>
      <c r="K7" s="280"/>
      <c r="L7" s="281" t="s">
        <v>571</v>
      </c>
      <c r="M7" s="115" t="s">
        <v>572</v>
      </c>
      <c r="N7" s="282" t="s">
        <v>573</v>
      </c>
      <c r="O7" s="282"/>
      <c r="P7" s="282"/>
      <c r="Q7" s="282"/>
      <c r="R7" s="282" t="s">
        <v>574</v>
      </c>
      <c r="S7" s="282"/>
      <c r="T7" s="282"/>
      <c r="U7" s="282"/>
      <c r="V7" s="282"/>
      <c r="W7" s="274" t="s">
        <v>575</v>
      </c>
      <c r="X7" s="274"/>
      <c r="Y7" s="274"/>
      <c r="Z7" s="274"/>
      <c r="AA7" s="116" t="s">
        <v>576</v>
      </c>
    </row>
    <row r="8" spans="1:27" ht="12.75" customHeight="1" x14ac:dyDescent="0.2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1"/>
      <c r="M8" s="117" t="s">
        <v>577</v>
      </c>
      <c r="N8" s="118" t="s">
        <v>578</v>
      </c>
      <c r="O8" s="119" t="s">
        <v>579</v>
      </c>
      <c r="P8" s="119" t="s">
        <v>580</v>
      </c>
      <c r="Q8" s="120" t="s">
        <v>581</v>
      </c>
      <c r="R8" s="118" t="s">
        <v>582</v>
      </c>
      <c r="S8" s="119" t="s">
        <v>583</v>
      </c>
      <c r="T8" s="119" t="s">
        <v>584</v>
      </c>
      <c r="U8" s="119" t="s">
        <v>585</v>
      </c>
      <c r="V8" s="120" t="s">
        <v>586</v>
      </c>
      <c r="W8" s="118" t="s">
        <v>587</v>
      </c>
      <c r="X8" s="119" t="s">
        <v>588</v>
      </c>
      <c r="Y8" s="119" t="s">
        <v>589</v>
      </c>
      <c r="Z8" s="120" t="s">
        <v>590</v>
      </c>
      <c r="AA8" s="121"/>
    </row>
    <row r="9" spans="1:27" ht="12.75" customHeight="1" x14ac:dyDescent="0.2">
      <c r="A9" s="122" t="s">
        <v>591</v>
      </c>
      <c r="B9" s="276">
        <f>'BOBOT PEK'!B5</f>
        <v>0</v>
      </c>
      <c r="C9" s="276"/>
      <c r="D9" s="276"/>
      <c r="E9" s="276"/>
      <c r="F9" s="276"/>
      <c r="G9" s="276"/>
      <c r="H9" s="276"/>
      <c r="I9" s="276"/>
      <c r="J9" s="276"/>
      <c r="K9" s="276"/>
      <c r="L9" s="123"/>
      <c r="M9" s="124"/>
      <c r="N9" s="125"/>
      <c r="O9" s="126"/>
      <c r="P9" s="126"/>
      <c r="Q9" s="127"/>
      <c r="R9" s="125"/>
      <c r="S9" s="126"/>
      <c r="T9" s="126"/>
      <c r="U9" s="126"/>
      <c r="V9" s="127"/>
      <c r="W9" s="125"/>
      <c r="X9" s="126"/>
      <c r="Y9" s="126"/>
      <c r="Z9" s="127"/>
      <c r="AA9" s="128"/>
    </row>
    <row r="10" spans="1:27" ht="12.75" customHeight="1" x14ac:dyDescent="0.2">
      <c r="A10" s="129" t="s">
        <v>38</v>
      </c>
      <c r="B10" s="267" t="str">
        <f>'BOBOT PEK'!B6</f>
        <v>No</v>
      </c>
      <c r="C10" s="267"/>
      <c r="D10" s="267"/>
      <c r="E10" s="267"/>
      <c r="F10" s="267"/>
      <c r="G10" s="267"/>
      <c r="H10" s="267"/>
      <c r="I10" s="267"/>
      <c r="J10" s="267"/>
      <c r="K10" s="267"/>
      <c r="L10" s="130">
        <f>'BOBOT PEK'!I12</f>
        <v>3908731694</v>
      </c>
      <c r="M10" s="131">
        <f>L10/2</f>
        <v>1954365847</v>
      </c>
      <c r="N10" s="125">
        <f>M10</f>
        <v>1954365847</v>
      </c>
      <c r="O10" s="126"/>
      <c r="P10" s="126"/>
      <c r="Q10" s="127"/>
      <c r="R10" s="125"/>
      <c r="S10" s="126"/>
      <c r="T10" s="126"/>
      <c r="U10" s="126"/>
      <c r="V10" s="127"/>
      <c r="W10" s="125"/>
      <c r="X10" s="126"/>
      <c r="Y10" s="126"/>
      <c r="Z10" s="127"/>
      <c r="AA10" s="128"/>
    </row>
    <row r="11" spans="1:27" ht="12.75" customHeight="1" x14ac:dyDescent="0.2">
      <c r="A11" s="129" t="s">
        <v>49</v>
      </c>
      <c r="B11" s="293">
        <f>'BOBOT PEK'!B13</f>
        <v>5</v>
      </c>
      <c r="C11" s="293"/>
      <c r="D11" s="293"/>
      <c r="E11" s="293"/>
      <c r="F11" s="293"/>
      <c r="G11" s="293"/>
      <c r="H11" s="293"/>
      <c r="I11" s="293"/>
      <c r="J11" s="293"/>
      <c r="K11" s="293"/>
      <c r="L11" s="130">
        <f>'BOBOT PEK'!I27</f>
        <v>3908731694</v>
      </c>
      <c r="M11" s="131"/>
      <c r="N11" s="125"/>
      <c r="O11" s="126">
        <f>L11/8</f>
        <v>488591461.75</v>
      </c>
      <c r="P11" s="126">
        <f t="shared" ref="P11:V11" si="0">O11</f>
        <v>488591461.75</v>
      </c>
      <c r="Q11" s="127">
        <f t="shared" si="0"/>
        <v>488591461.75</v>
      </c>
      <c r="R11" s="125">
        <f t="shared" si="0"/>
        <v>488591461.75</v>
      </c>
      <c r="S11" s="126">
        <f t="shared" si="0"/>
        <v>488591461.75</v>
      </c>
      <c r="T11" s="126">
        <f t="shared" si="0"/>
        <v>488591461.75</v>
      </c>
      <c r="U11" s="126">
        <f t="shared" si="0"/>
        <v>488591461.75</v>
      </c>
      <c r="V11" s="127">
        <f t="shared" si="0"/>
        <v>488591461.75</v>
      </c>
      <c r="W11" s="125"/>
      <c r="X11" s="126"/>
      <c r="Y11" s="126"/>
      <c r="Z11" s="127"/>
      <c r="AA11" s="128"/>
    </row>
    <row r="12" spans="1:27" ht="12.75" customHeight="1" x14ac:dyDescent="0.2">
      <c r="A12" s="129" t="s">
        <v>80</v>
      </c>
      <c r="B12" s="293">
        <f>'BOBOT PEK'!B29</f>
        <v>0</v>
      </c>
      <c r="C12" s="293"/>
      <c r="D12" s="293"/>
      <c r="E12" s="293"/>
      <c r="F12" s="293"/>
      <c r="G12" s="293"/>
      <c r="H12" s="293"/>
      <c r="I12" s="293"/>
      <c r="J12" s="293"/>
      <c r="K12" s="293"/>
      <c r="L12" s="130">
        <f>'BOBOT PEK'!I40</f>
        <v>3908731694</v>
      </c>
      <c r="M12" s="131"/>
      <c r="N12" s="125"/>
      <c r="O12" s="126">
        <f>L12/2</f>
        <v>1954365847</v>
      </c>
      <c r="P12" s="126">
        <f>O12</f>
        <v>1954365847</v>
      </c>
      <c r="Q12" s="127"/>
      <c r="R12" s="125"/>
      <c r="S12" s="126"/>
      <c r="T12" s="126"/>
      <c r="U12" s="126"/>
      <c r="V12" s="127"/>
      <c r="W12" s="125"/>
      <c r="X12" s="126"/>
      <c r="Y12" s="126"/>
      <c r="Z12" s="127"/>
      <c r="AA12" s="128"/>
    </row>
    <row r="13" spans="1:27" ht="12.75" customHeight="1" x14ac:dyDescent="0.2">
      <c r="A13" s="129" t="s">
        <v>100</v>
      </c>
      <c r="B13" s="293">
        <f>'BOBOT PEK'!B42</f>
        <v>0</v>
      </c>
      <c r="C13" s="293"/>
      <c r="D13" s="293"/>
      <c r="E13" s="293"/>
      <c r="F13" s="293"/>
      <c r="G13" s="293"/>
      <c r="H13" s="293"/>
      <c r="I13" s="293"/>
      <c r="J13" s="293"/>
      <c r="K13" s="293"/>
      <c r="L13" s="130">
        <f>'BOBOT PEK'!I48</f>
        <v>3908731694</v>
      </c>
      <c r="M13" s="131"/>
      <c r="N13" s="125"/>
      <c r="O13" s="126"/>
      <c r="P13" s="126">
        <f>L13/4</f>
        <v>977182923.5</v>
      </c>
      <c r="Q13" s="127">
        <f>P13</f>
        <v>977182923.5</v>
      </c>
      <c r="R13" s="125">
        <f>Q13</f>
        <v>977182923.5</v>
      </c>
      <c r="S13" s="126">
        <f>R13</f>
        <v>977182923.5</v>
      </c>
      <c r="T13" s="126"/>
      <c r="U13" s="126"/>
      <c r="V13" s="127"/>
      <c r="W13" s="125"/>
      <c r="X13" s="126"/>
      <c r="Y13" s="126"/>
      <c r="Z13" s="127"/>
      <c r="AA13" s="128"/>
    </row>
    <row r="14" spans="1:27" ht="12.75" customHeight="1" x14ac:dyDescent="0.2">
      <c r="A14" s="129" t="s">
        <v>112</v>
      </c>
      <c r="B14" s="267">
        <f>'BOBOT PEK'!B50</f>
        <v>0</v>
      </c>
      <c r="C14" s="267"/>
      <c r="D14" s="267"/>
      <c r="E14" s="267"/>
      <c r="F14" s="267"/>
      <c r="G14" s="267"/>
      <c r="H14" s="267"/>
      <c r="I14" s="267"/>
      <c r="J14" s="267"/>
      <c r="K14" s="267"/>
      <c r="L14" s="130">
        <f>'BOBOT PEK'!I57</f>
        <v>3908731694</v>
      </c>
      <c r="M14" s="131"/>
      <c r="N14" s="125"/>
      <c r="O14" s="126"/>
      <c r="P14" s="126"/>
      <c r="Q14" s="127">
        <f>L14/2</f>
        <v>1954365847</v>
      </c>
      <c r="R14" s="125">
        <f>Q14</f>
        <v>1954365847</v>
      </c>
      <c r="S14" s="126"/>
      <c r="T14" s="126"/>
      <c r="U14" s="126"/>
      <c r="V14" s="127"/>
      <c r="W14" s="125"/>
      <c r="X14" s="126"/>
      <c r="Y14" s="126"/>
      <c r="Z14" s="127"/>
      <c r="AA14" s="128"/>
    </row>
    <row r="15" spans="1:27" ht="12.75" customHeight="1" x14ac:dyDescent="0.2">
      <c r="A15" s="129" t="s">
        <v>122</v>
      </c>
      <c r="B15" s="267">
        <f>'BOBOT PEK'!B59</f>
        <v>0</v>
      </c>
      <c r="C15" s="267"/>
      <c r="D15" s="267"/>
      <c r="E15" s="267"/>
      <c r="F15" s="267"/>
      <c r="G15" s="267"/>
      <c r="H15" s="267"/>
      <c r="I15" s="267"/>
      <c r="J15" s="267"/>
      <c r="K15" s="267"/>
      <c r="L15" s="130">
        <f>'BOBOT PEK'!I62</f>
        <v>3908731694</v>
      </c>
      <c r="M15" s="131"/>
      <c r="N15" s="125"/>
      <c r="O15" s="126"/>
      <c r="P15" s="126"/>
      <c r="Q15" s="127"/>
      <c r="R15" s="125">
        <f>L15/2</f>
        <v>1954365847</v>
      </c>
      <c r="S15" s="126">
        <f>R15</f>
        <v>1954365847</v>
      </c>
      <c r="T15" s="126"/>
      <c r="U15" s="126"/>
      <c r="V15" s="127"/>
      <c r="W15" s="125"/>
      <c r="X15" s="126"/>
      <c r="Y15" s="126"/>
      <c r="Z15" s="127"/>
      <c r="AA15" s="128"/>
    </row>
    <row r="16" spans="1:27" ht="12.75" customHeight="1" x14ac:dyDescent="0.2">
      <c r="A16" s="129" t="s">
        <v>126</v>
      </c>
      <c r="B16" s="267">
        <f>'BOBOT PEK'!B64</f>
        <v>0</v>
      </c>
      <c r="C16" s="267"/>
      <c r="D16" s="267"/>
      <c r="E16" s="267"/>
      <c r="F16" s="267"/>
      <c r="G16" s="267"/>
      <c r="H16" s="267"/>
      <c r="I16" s="267"/>
      <c r="J16" s="267"/>
      <c r="K16" s="267"/>
      <c r="L16" s="130">
        <f>'BOBOT PEK'!I70</f>
        <v>3908731694</v>
      </c>
      <c r="M16" s="131"/>
      <c r="N16" s="125"/>
      <c r="O16" s="126"/>
      <c r="P16" s="126">
        <f>L16/2</f>
        <v>1954365847</v>
      </c>
      <c r="Q16" s="127">
        <f>P16</f>
        <v>1954365847</v>
      </c>
      <c r="R16" s="125"/>
      <c r="S16" s="126"/>
      <c r="T16" s="126"/>
      <c r="U16" s="126"/>
      <c r="V16" s="127"/>
      <c r="W16" s="125"/>
      <c r="X16" s="126"/>
      <c r="Y16" s="126"/>
      <c r="Z16" s="127"/>
      <c r="AA16" s="128"/>
    </row>
    <row r="17" spans="1:27" ht="12.75" customHeight="1" x14ac:dyDescent="0.2">
      <c r="A17" s="129" t="s">
        <v>138</v>
      </c>
      <c r="B17" s="267">
        <f>'BOBOT PEK'!B72</f>
        <v>0</v>
      </c>
      <c r="C17" s="267"/>
      <c r="D17" s="267"/>
      <c r="E17" s="267"/>
      <c r="F17" s="267"/>
      <c r="G17" s="267"/>
      <c r="H17" s="267"/>
      <c r="I17" s="267"/>
      <c r="J17" s="267"/>
      <c r="K17" s="267"/>
      <c r="L17" s="130">
        <f>'BOBOT PEK'!I80</f>
        <v>3908731694</v>
      </c>
      <c r="M17" s="131"/>
      <c r="N17" s="125">
        <f>L17/13</f>
        <v>300671668.76923078</v>
      </c>
      <c r="O17" s="126">
        <f>N17</f>
        <v>300671668.76923078</v>
      </c>
      <c r="P17" s="126">
        <f>O17</f>
        <v>300671668.76923078</v>
      </c>
      <c r="Q17" s="127">
        <f>P17</f>
        <v>300671668.76923078</v>
      </c>
      <c r="R17" s="125">
        <f>Q17</f>
        <v>300671668.76923078</v>
      </c>
      <c r="S17" s="126">
        <f>R17</f>
        <v>300671668.76923078</v>
      </c>
      <c r="T17" s="126">
        <f>S17</f>
        <v>300671668.76923078</v>
      </c>
      <c r="U17" s="126">
        <f>T17</f>
        <v>300671668.76923078</v>
      </c>
      <c r="V17" s="127">
        <f>U17</f>
        <v>300671668.76923078</v>
      </c>
      <c r="W17" s="125">
        <f>U17</f>
        <v>300671668.76923078</v>
      </c>
      <c r="X17" s="126">
        <f>W17</f>
        <v>300671668.76923078</v>
      </c>
      <c r="Y17" s="126">
        <f>X17</f>
        <v>300671668.76923078</v>
      </c>
      <c r="Z17" s="127">
        <f>Y17</f>
        <v>300671668.76923078</v>
      </c>
      <c r="AA17" s="128"/>
    </row>
    <row r="18" spans="1:27" ht="12.75" customHeight="1" x14ac:dyDescent="0.2">
      <c r="A18" s="129" t="s">
        <v>591</v>
      </c>
      <c r="B18" s="267">
        <f>'BOBOT PEK'!B82</f>
        <v>0</v>
      </c>
      <c r="C18" s="267"/>
      <c r="D18" s="267"/>
      <c r="E18" s="267"/>
      <c r="F18" s="267"/>
      <c r="G18" s="267"/>
      <c r="H18" s="267"/>
      <c r="I18" s="267"/>
      <c r="J18" s="267"/>
      <c r="K18" s="267"/>
      <c r="L18" s="130">
        <f>'BOBOT PEK'!I85</f>
        <v>3908731694</v>
      </c>
      <c r="M18" s="131"/>
      <c r="N18" s="125"/>
      <c r="O18" s="126"/>
      <c r="P18" s="126"/>
      <c r="Q18" s="127"/>
      <c r="R18" s="125">
        <f>L18/2</f>
        <v>1954365847</v>
      </c>
      <c r="S18" s="126">
        <f>R18</f>
        <v>1954365847</v>
      </c>
      <c r="T18" s="126"/>
      <c r="U18" s="126"/>
      <c r="V18" s="127"/>
      <c r="W18" s="125"/>
      <c r="X18" s="126"/>
      <c r="Y18" s="126"/>
      <c r="Z18" s="127"/>
      <c r="AA18" s="128"/>
    </row>
    <row r="19" spans="1:27" ht="12.75" customHeight="1" x14ac:dyDescent="0.2">
      <c r="A19" s="129" t="s">
        <v>158</v>
      </c>
      <c r="B19" s="267">
        <f>'BOBOT PEK'!B87:F87</f>
        <v>0</v>
      </c>
      <c r="C19" s="267"/>
      <c r="D19" s="267"/>
      <c r="E19" s="267"/>
      <c r="F19" s="267"/>
      <c r="G19" s="267"/>
      <c r="H19" s="267"/>
      <c r="I19" s="267"/>
      <c r="J19" s="267"/>
      <c r="K19" s="267"/>
      <c r="L19" s="130">
        <f>'BOBOT PEK'!I104</f>
        <v>3908731694</v>
      </c>
      <c r="M19" s="131"/>
      <c r="N19" s="125"/>
      <c r="O19" s="126"/>
      <c r="P19" s="126">
        <f>L19/8</f>
        <v>488591461.75</v>
      </c>
      <c r="Q19" s="127">
        <f>P19</f>
        <v>488591461.75</v>
      </c>
      <c r="R19" s="125">
        <f>Q19</f>
        <v>488591461.75</v>
      </c>
      <c r="S19" s="126">
        <f>R19</f>
        <v>488591461.75</v>
      </c>
      <c r="T19" s="126">
        <f t="shared" ref="T19:V20" si="1">S19</f>
        <v>488591461.75</v>
      </c>
      <c r="U19" s="126">
        <f t="shared" si="1"/>
        <v>488591461.75</v>
      </c>
      <c r="V19" s="127">
        <f t="shared" si="1"/>
        <v>488591461.75</v>
      </c>
      <c r="W19" s="125">
        <f>U19</f>
        <v>488591461.75</v>
      </c>
      <c r="X19" s="126"/>
      <c r="Y19" s="126"/>
      <c r="Z19" s="127"/>
      <c r="AA19" s="128"/>
    </row>
    <row r="20" spans="1:27" ht="12.75" customHeight="1" x14ac:dyDescent="0.2">
      <c r="A20" s="129" t="s">
        <v>163</v>
      </c>
      <c r="B20" s="267">
        <f>'BOBOT PEK'!B107</f>
        <v>0</v>
      </c>
      <c r="C20" s="267"/>
      <c r="D20" s="267"/>
      <c r="E20" s="267"/>
      <c r="F20" s="267"/>
      <c r="G20" s="267"/>
      <c r="H20" s="267"/>
      <c r="I20" s="267"/>
      <c r="J20" s="267"/>
      <c r="K20" s="267"/>
      <c r="L20" s="130">
        <f>'BOBOT PEK'!I113</f>
        <v>3908731694</v>
      </c>
      <c r="M20" s="131"/>
      <c r="N20" s="125"/>
      <c r="O20" s="126"/>
      <c r="P20" s="126"/>
      <c r="Q20" s="127"/>
      <c r="R20" s="125">
        <f>L20/6</f>
        <v>651455282.33333337</v>
      </c>
      <c r="S20" s="126">
        <f>R20</f>
        <v>651455282.33333337</v>
      </c>
      <c r="T20" s="126">
        <f t="shared" si="1"/>
        <v>651455282.33333337</v>
      </c>
      <c r="U20" s="126">
        <f t="shared" si="1"/>
        <v>651455282.33333337</v>
      </c>
      <c r="V20" s="127">
        <f t="shared" si="1"/>
        <v>651455282.33333337</v>
      </c>
      <c r="W20" s="125">
        <f>V20</f>
        <v>651455282.33333337</v>
      </c>
      <c r="X20" s="126"/>
      <c r="Y20" s="126"/>
      <c r="Z20" s="127"/>
      <c r="AA20" s="128"/>
    </row>
    <row r="21" spans="1:27" ht="12.75" customHeight="1" x14ac:dyDescent="0.2">
      <c r="A21" s="129" t="s">
        <v>196</v>
      </c>
      <c r="B21" s="267">
        <f>'BOBOT PEK'!B115</f>
        <v>0</v>
      </c>
      <c r="C21" s="267"/>
      <c r="D21" s="267"/>
      <c r="E21" s="267"/>
      <c r="F21" s="267"/>
      <c r="G21" s="267"/>
      <c r="H21" s="267"/>
      <c r="I21" s="267"/>
      <c r="J21" s="267"/>
      <c r="K21" s="267"/>
      <c r="L21" s="130">
        <f>'BOBOT PEK'!I119</f>
        <v>3908731694</v>
      </c>
      <c r="M21" s="131"/>
      <c r="N21" s="125"/>
      <c r="O21" s="126"/>
      <c r="P21" s="126"/>
      <c r="Q21" s="127"/>
      <c r="R21" s="125">
        <f>L21/2</f>
        <v>1954365847</v>
      </c>
      <c r="S21" s="126">
        <f>R21</f>
        <v>1954365847</v>
      </c>
      <c r="T21" s="126"/>
      <c r="U21" s="126"/>
      <c r="V21" s="127"/>
      <c r="W21" s="125"/>
      <c r="X21" s="126"/>
      <c r="Y21" s="126"/>
      <c r="Z21" s="127"/>
      <c r="AA21" s="128"/>
    </row>
    <row r="22" spans="1:27" ht="12.75" customHeight="1" x14ac:dyDescent="0.2">
      <c r="A22" s="129" t="s">
        <v>206</v>
      </c>
      <c r="B22" s="267">
        <f>'BOBOT PEK'!B121</f>
        <v>0</v>
      </c>
      <c r="C22" s="267"/>
      <c r="D22" s="267"/>
      <c r="E22" s="267"/>
      <c r="F22" s="267"/>
      <c r="G22" s="267"/>
      <c r="H22" s="267"/>
      <c r="I22" s="267"/>
      <c r="J22" s="267"/>
      <c r="K22" s="267"/>
      <c r="L22" s="130">
        <f>'BOBOT PEK'!I125</f>
        <v>3908731694</v>
      </c>
      <c r="M22" s="131"/>
      <c r="N22" s="125"/>
      <c r="O22" s="126"/>
      <c r="P22" s="126">
        <f>L22/4</f>
        <v>977182923.5</v>
      </c>
      <c r="Q22" s="127">
        <f>P22</f>
        <v>977182923.5</v>
      </c>
      <c r="R22" s="125">
        <f>Q22</f>
        <v>977182923.5</v>
      </c>
      <c r="S22" s="126">
        <f>R22</f>
        <v>977182923.5</v>
      </c>
      <c r="T22" s="126"/>
      <c r="U22" s="126"/>
      <c r="V22" s="127"/>
      <c r="W22" s="125"/>
      <c r="X22" s="126"/>
      <c r="Y22" s="126"/>
      <c r="Z22" s="127"/>
      <c r="AA22" s="128"/>
    </row>
    <row r="23" spans="1:27" ht="12.75" customHeight="1" x14ac:dyDescent="0.2">
      <c r="A23" s="129" t="s">
        <v>215</v>
      </c>
      <c r="B23" s="267">
        <f>'BOBOT PEK'!B127</f>
        <v>0</v>
      </c>
      <c r="C23" s="267"/>
      <c r="D23" s="267"/>
      <c r="E23" s="267"/>
      <c r="F23" s="267"/>
      <c r="G23" s="267"/>
      <c r="H23" s="267"/>
      <c r="I23" s="267"/>
      <c r="J23" s="267"/>
      <c r="K23" s="267"/>
      <c r="L23" s="130">
        <f>'BOBOT PEK'!I131</f>
        <v>3908731694</v>
      </c>
      <c r="M23" s="131"/>
      <c r="N23" s="125"/>
      <c r="O23" s="126"/>
      <c r="P23" s="126"/>
      <c r="Q23" s="127"/>
      <c r="R23" s="125"/>
      <c r="S23" s="126"/>
      <c r="T23" s="126">
        <f>L23</f>
        <v>3908731694</v>
      </c>
      <c r="U23" s="126"/>
      <c r="V23" s="127"/>
      <c r="W23" s="125"/>
      <c r="X23" s="126"/>
      <c r="Y23" s="126"/>
      <c r="Z23" s="127"/>
      <c r="AA23" s="128"/>
    </row>
    <row r="24" spans="1:27" ht="12.75" customHeight="1" x14ac:dyDescent="0.2">
      <c r="A24" s="129" t="s">
        <v>232</v>
      </c>
      <c r="B24" s="267">
        <f>'BOBOT PEK'!B133</f>
        <v>0</v>
      </c>
      <c r="C24" s="267"/>
      <c r="D24" s="267"/>
      <c r="E24" s="267"/>
      <c r="F24" s="267"/>
      <c r="G24" s="267"/>
      <c r="H24" s="267"/>
      <c r="I24" s="267"/>
      <c r="J24" s="267"/>
      <c r="K24" s="267"/>
      <c r="L24" s="130">
        <f>'BOBOT PEK'!I142</f>
        <v>3908731694</v>
      </c>
      <c r="M24" s="131"/>
      <c r="N24" s="125"/>
      <c r="O24" s="126"/>
      <c r="P24" s="126"/>
      <c r="Q24" s="127"/>
      <c r="R24" s="125">
        <f>L24/4</f>
        <v>977182923.5</v>
      </c>
      <c r="S24" s="126">
        <f>R24</f>
        <v>977182923.5</v>
      </c>
      <c r="T24" s="126">
        <f>S24</f>
        <v>977182923.5</v>
      </c>
      <c r="U24" s="126">
        <f>T24</f>
        <v>977182923.5</v>
      </c>
      <c r="V24" s="127"/>
      <c r="W24" s="125"/>
      <c r="X24" s="126"/>
      <c r="Y24" s="126"/>
      <c r="Z24" s="127"/>
      <c r="AA24" s="128"/>
    </row>
    <row r="25" spans="1:27" ht="12.75" customHeight="1" x14ac:dyDescent="0.2">
      <c r="A25" s="122" t="s">
        <v>592</v>
      </c>
      <c r="B25" s="132">
        <f>'BOBOT PEK'!B144</f>
        <v>0</v>
      </c>
      <c r="C25" s="133"/>
      <c r="D25" s="133"/>
      <c r="E25" s="133"/>
      <c r="F25" s="133"/>
      <c r="G25" s="133"/>
      <c r="H25" s="133"/>
      <c r="I25" s="133"/>
      <c r="J25" s="133"/>
      <c r="K25" s="134"/>
      <c r="L25" s="135"/>
      <c r="M25" s="124"/>
      <c r="N25" s="125"/>
      <c r="O25" s="126"/>
      <c r="P25" s="126"/>
      <c r="Q25" s="127"/>
      <c r="R25" s="125"/>
      <c r="S25" s="126"/>
      <c r="T25" s="126"/>
      <c r="U25" s="126"/>
      <c r="V25" s="127"/>
      <c r="W25" s="125"/>
      <c r="X25" s="126"/>
      <c r="Y25" s="126"/>
      <c r="Z25" s="127"/>
      <c r="AA25" s="128"/>
    </row>
    <row r="26" spans="1:27" ht="12.75" customHeight="1" x14ac:dyDescent="0.2">
      <c r="A26" s="129" t="s">
        <v>38</v>
      </c>
      <c r="B26" s="292">
        <f>'BOBOT PEK'!B145</f>
        <v>0</v>
      </c>
      <c r="C26" s="292"/>
      <c r="D26" s="292"/>
      <c r="E26" s="292"/>
      <c r="F26" s="292"/>
      <c r="G26" s="292"/>
      <c r="H26" s="292"/>
      <c r="I26" s="292"/>
      <c r="J26" s="137"/>
      <c r="K26" s="138"/>
      <c r="L26" s="130">
        <f>'BOBOT PEK'!I151</f>
        <v>0</v>
      </c>
      <c r="M26" s="131"/>
      <c r="N26" s="125"/>
      <c r="O26" s="126"/>
      <c r="P26" s="126">
        <f>L26</f>
        <v>0</v>
      </c>
      <c r="Q26" s="127"/>
      <c r="R26" s="125"/>
      <c r="S26" s="126"/>
      <c r="T26" s="126"/>
      <c r="U26" s="126"/>
      <c r="V26" s="127"/>
      <c r="W26" s="125"/>
      <c r="X26" s="126"/>
      <c r="Y26" s="126"/>
      <c r="Z26" s="127"/>
      <c r="AA26" s="128"/>
    </row>
    <row r="27" spans="1:27" ht="12.75" customHeight="1" x14ac:dyDescent="0.2">
      <c r="A27" s="129" t="s">
        <v>49</v>
      </c>
      <c r="B27" s="292">
        <f>'BOBOT PEK'!B153</f>
        <v>0</v>
      </c>
      <c r="C27" s="292"/>
      <c r="D27" s="292"/>
      <c r="E27" s="292"/>
      <c r="F27" s="292"/>
      <c r="G27" s="292"/>
      <c r="H27" s="292"/>
      <c r="I27" s="292"/>
      <c r="J27" s="137"/>
      <c r="K27" s="138"/>
      <c r="L27" s="130">
        <f>'BOBOT PEK'!I159</f>
        <v>0</v>
      </c>
      <c r="M27" s="131"/>
      <c r="N27" s="125"/>
      <c r="O27" s="126"/>
      <c r="P27" s="126"/>
      <c r="Q27" s="127">
        <f>L27/4</f>
        <v>0</v>
      </c>
      <c r="R27" s="125">
        <f>Q27</f>
        <v>0</v>
      </c>
      <c r="S27" s="126">
        <f>R27</f>
        <v>0</v>
      </c>
      <c r="T27" s="126">
        <f>S27</f>
        <v>0</v>
      </c>
      <c r="U27" s="126"/>
      <c r="V27" s="127"/>
      <c r="W27" s="125"/>
      <c r="X27" s="126"/>
      <c r="Y27" s="126"/>
      <c r="Z27" s="127"/>
      <c r="AA27" s="128"/>
    </row>
    <row r="28" spans="1:27" ht="12.75" customHeight="1" x14ac:dyDescent="0.2">
      <c r="A28" s="129" t="s">
        <v>100</v>
      </c>
      <c r="B28" s="292" t="str">
        <f>'BOBOT PEK'!B161</f>
        <v>opsi 1 = Gym Ac Split</v>
      </c>
      <c r="C28" s="292"/>
      <c r="D28" s="292"/>
      <c r="E28" s="292"/>
      <c r="F28" s="292"/>
      <c r="G28" s="292"/>
      <c r="H28" s="292"/>
      <c r="I28" s="292"/>
      <c r="J28" s="137"/>
      <c r="K28" s="138"/>
      <c r="L28" s="130">
        <f>'BOBOT PEK'!I173</f>
        <v>0</v>
      </c>
      <c r="M28" s="131"/>
      <c r="N28" s="125"/>
      <c r="O28" s="126"/>
      <c r="P28" s="126"/>
      <c r="Q28" s="127"/>
      <c r="R28" s="125"/>
      <c r="S28" s="126">
        <f>L28/8</f>
        <v>0</v>
      </c>
      <c r="T28" s="126">
        <f>S28</f>
        <v>0</v>
      </c>
      <c r="U28" s="126">
        <f>T28</f>
        <v>0</v>
      </c>
      <c r="V28" s="127">
        <f>U28</f>
        <v>0</v>
      </c>
      <c r="W28" s="125">
        <f>U28</f>
        <v>0</v>
      </c>
      <c r="X28" s="126">
        <f>W28</f>
        <v>0</v>
      </c>
      <c r="Y28" s="126">
        <f>X28</f>
        <v>0</v>
      </c>
      <c r="Z28" s="127">
        <f>Y28</f>
        <v>0</v>
      </c>
      <c r="AA28" s="128"/>
    </row>
    <row r="29" spans="1:27" ht="12.75" customHeight="1" x14ac:dyDescent="0.2">
      <c r="A29" s="122" t="s">
        <v>593</v>
      </c>
      <c r="B29" s="290">
        <f>'BOBOT PEK'!B175</f>
        <v>1</v>
      </c>
      <c r="C29" s="290"/>
      <c r="D29" s="290"/>
      <c r="E29" s="290"/>
      <c r="F29" s="290"/>
      <c r="G29" s="290"/>
      <c r="H29" s="290"/>
      <c r="I29" s="290"/>
      <c r="J29" s="137"/>
      <c r="K29" s="138"/>
      <c r="L29" s="130"/>
      <c r="M29" s="131"/>
      <c r="N29" s="125"/>
      <c r="O29" s="126"/>
      <c r="P29" s="126"/>
      <c r="Q29" s="127"/>
      <c r="R29" s="125"/>
      <c r="S29" s="126"/>
      <c r="T29" s="126"/>
      <c r="U29" s="126"/>
      <c r="V29" s="127"/>
      <c r="W29" s="125"/>
      <c r="X29" s="126"/>
      <c r="Y29" s="126"/>
      <c r="Z29" s="127"/>
      <c r="AA29" s="128"/>
    </row>
    <row r="30" spans="1:27" ht="12.75" customHeight="1" x14ac:dyDescent="0.2">
      <c r="A30" s="129" t="s">
        <v>38</v>
      </c>
      <c r="B30" s="291">
        <f>'BOBOT PEK'!B176</f>
        <v>2</v>
      </c>
      <c r="C30" s="291"/>
      <c r="D30" s="291"/>
      <c r="E30" s="291"/>
      <c r="F30" s="291"/>
      <c r="G30" s="291"/>
      <c r="H30" s="291"/>
      <c r="I30" s="291"/>
      <c r="J30" s="137"/>
      <c r="K30" s="138"/>
      <c r="L30" s="130">
        <f>'BOBOT PEK'!I181</f>
        <v>0</v>
      </c>
      <c r="M30" s="131"/>
      <c r="N30" s="125"/>
      <c r="O30" s="126"/>
      <c r="P30" s="126">
        <f>L30</f>
        <v>0</v>
      </c>
      <c r="Q30" s="127"/>
      <c r="R30" s="125"/>
      <c r="S30" s="126"/>
      <c r="T30" s="126"/>
      <c r="U30" s="126"/>
      <c r="V30" s="127"/>
      <c r="W30" s="125"/>
      <c r="X30" s="126"/>
      <c r="Y30" s="126"/>
      <c r="Z30" s="127"/>
      <c r="AA30" s="128"/>
    </row>
    <row r="31" spans="1:27" ht="12.75" customHeight="1" x14ac:dyDescent="0.2">
      <c r="A31" s="129" t="s">
        <v>49</v>
      </c>
      <c r="B31" s="139" t="str">
        <f>'BOBOT PEK'!B182</f>
        <v>C</v>
      </c>
      <c r="C31" s="137"/>
      <c r="D31" s="137"/>
      <c r="E31" s="137"/>
      <c r="F31" s="137"/>
      <c r="G31" s="137"/>
      <c r="H31" s="137"/>
      <c r="I31" s="137"/>
      <c r="J31" s="137"/>
      <c r="K31" s="138"/>
      <c r="L31" s="130">
        <f>'BOBOT PEK'!I188</f>
        <v>0</v>
      </c>
      <c r="M31" s="131"/>
      <c r="N31" s="125"/>
      <c r="O31" s="126"/>
      <c r="P31" s="126"/>
      <c r="Q31" s="127">
        <f>L31/3</f>
        <v>0</v>
      </c>
      <c r="R31" s="125">
        <f>Q31</f>
        <v>0</v>
      </c>
      <c r="S31" s="126">
        <f>R31</f>
        <v>0</v>
      </c>
      <c r="T31" s="126"/>
      <c r="U31" s="126"/>
      <c r="V31" s="127"/>
      <c r="W31" s="125"/>
      <c r="X31" s="126"/>
      <c r="Y31" s="126"/>
      <c r="Z31" s="127"/>
      <c r="AA31" s="128"/>
    </row>
    <row r="32" spans="1:27" ht="12.75" customHeight="1" x14ac:dyDescent="0.2">
      <c r="A32" s="129" t="s">
        <v>80</v>
      </c>
      <c r="B32" s="139">
        <f>'BOBOT PEK'!B189</f>
        <v>7</v>
      </c>
      <c r="C32" s="137"/>
      <c r="D32" s="137"/>
      <c r="E32" s="137"/>
      <c r="F32" s="137"/>
      <c r="G32" s="137"/>
      <c r="H32" s="137"/>
      <c r="I32" s="137"/>
      <c r="J32" s="137"/>
      <c r="K32" s="138"/>
      <c r="L32" s="130">
        <f>'BOBOT PEK'!I192</f>
        <v>0</v>
      </c>
      <c r="M32" s="131"/>
      <c r="N32" s="125"/>
      <c r="O32" s="126"/>
      <c r="P32" s="126"/>
      <c r="Q32" s="127"/>
      <c r="R32" s="125"/>
      <c r="S32" s="126">
        <f>L32</f>
        <v>0</v>
      </c>
      <c r="T32" s="126"/>
      <c r="U32" s="126"/>
      <c r="V32" s="127"/>
      <c r="W32" s="125"/>
      <c r="X32" s="126"/>
      <c r="Y32" s="126"/>
      <c r="Z32" s="127"/>
      <c r="AA32" s="128"/>
    </row>
    <row r="33" spans="1:27" ht="12.75" customHeight="1" x14ac:dyDescent="0.2">
      <c r="A33" s="129" t="s">
        <v>100</v>
      </c>
      <c r="B33" s="139">
        <f>'BOBOT PEK'!B193</f>
        <v>1</v>
      </c>
      <c r="C33" s="137"/>
      <c r="D33" s="137"/>
      <c r="E33" s="137"/>
      <c r="F33" s="137"/>
      <c r="G33" s="137"/>
      <c r="H33" s="137"/>
      <c r="I33" s="137"/>
      <c r="J33" s="137"/>
      <c r="K33" s="138"/>
      <c r="L33" s="130">
        <f>'BOBOT PEK'!I196</f>
        <v>0</v>
      </c>
      <c r="M33" s="131"/>
      <c r="N33" s="125"/>
      <c r="O33" s="126"/>
      <c r="P33" s="126"/>
      <c r="Q33" s="127"/>
      <c r="R33" s="125"/>
      <c r="S33" s="126"/>
      <c r="T33" s="126">
        <f>L33</f>
        <v>0</v>
      </c>
      <c r="U33" s="126"/>
      <c r="V33" s="127"/>
      <c r="W33" s="125"/>
      <c r="X33" s="126"/>
      <c r="Y33" s="126"/>
      <c r="Z33" s="127"/>
      <c r="AA33" s="128"/>
    </row>
    <row r="34" spans="1:27" ht="12.75" customHeight="1" x14ac:dyDescent="0.2">
      <c r="A34" s="129" t="s">
        <v>112</v>
      </c>
      <c r="B34" s="139">
        <f>'BOBOT PEK'!B197</f>
        <v>5</v>
      </c>
      <c r="C34" s="137"/>
      <c r="D34" s="137"/>
      <c r="E34" s="137"/>
      <c r="F34" s="137"/>
      <c r="G34" s="137"/>
      <c r="H34" s="137"/>
      <c r="I34" s="137"/>
      <c r="J34" s="137"/>
      <c r="K34" s="138"/>
      <c r="L34" s="130">
        <f>'BOBOT PEK'!I211</f>
        <v>0</v>
      </c>
      <c r="M34" s="131"/>
      <c r="N34" s="125"/>
      <c r="O34" s="126"/>
      <c r="P34" s="126"/>
      <c r="Q34" s="127"/>
      <c r="R34" s="125"/>
      <c r="S34" s="126"/>
      <c r="T34" s="126"/>
      <c r="U34" s="126">
        <f>L34/5</f>
        <v>0</v>
      </c>
      <c r="V34" s="127">
        <f>U34</f>
        <v>0</v>
      </c>
      <c r="W34" s="125">
        <f>U34</f>
        <v>0</v>
      </c>
      <c r="X34" s="126">
        <f>W34</f>
        <v>0</v>
      </c>
      <c r="Y34" s="126">
        <f>X34</f>
        <v>0</v>
      </c>
      <c r="Z34" s="127"/>
      <c r="AA34" s="128"/>
    </row>
    <row r="35" spans="1:27" ht="12.75" customHeight="1" x14ac:dyDescent="0.2">
      <c r="A35" s="129" t="s">
        <v>122</v>
      </c>
      <c r="B35" s="136">
        <f>'BOBOT PEK'!B212</f>
        <v>1</v>
      </c>
      <c r="C35" s="137"/>
      <c r="D35" s="137"/>
      <c r="E35" s="137"/>
      <c r="F35" s="137"/>
      <c r="G35" s="137"/>
      <c r="H35" s="137"/>
      <c r="I35" s="137"/>
      <c r="J35" s="137"/>
      <c r="K35" s="138"/>
      <c r="L35" s="130">
        <f>'BOBOT PEK'!I216</f>
        <v>3908731694</v>
      </c>
      <c r="M35" s="131"/>
      <c r="N35" s="125"/>
      <c r="O35" s="126"/>
      <c r="P35" s="126"/>
      <c r="Q35" s="127"/>
      <c r="R35" s="125"/>
      <c r="S35" s="126"/>
      <c r="T35" s="126"/>
      <c r="U35" s="126"/>
      <c r="V35" s="127"/>
      <c r="W35" s="125"/>
      <c r="X35" s="126"/>
      <c r="Y35" s="126">
        <f>L35/2</f>
        <v>1954365847</v>
      </c>
      <c r="Z35" s="127">
        <f>Y35</f>
        <v>1954365847</v>
      </c>
      <c r="AA35" s="128"/>
    </row>
    <row r="36" spans="1:27" ht="12.75" customHeight="1" x14ac:dyDescent="0.2">
      <c r="A36" s="129" t="s">
        <v>126</v>
      </c>
      <c r="B36" s="136" t="str">
        <f>'BOBOT PEK'!B217</f>
        <v>B</v>
      </c>
      <c r="C36" s="137"/>
      <c r="D36" s="137"/>
      <c r="E36" s="137"/>
      <c r="F36" s="137"/>
      <c r="G36" s="137"/>
      <c r="H36" s="137"/>
      <c r="I36" s="137"/>
      <c r="J36" s="137"/>
      <c r="K36" s="138"/>
      <c r="L36" s="130">
        <f>'BOBOT PEK'!I221</f>
        <v>3908731694</v>
      </c>
      <c r="M36" s="140"/>
      <c r="N36" s="141"/>
      <c r="O36" s="142"/>
      <c r="P36" s="142"/>
      <c r="Q36" s="143"/>
      <c r="R36" s="141"/>
      <c r="S36" s="142"/>
      <c r="T36" s="142"/>
      <c r="U36" s="142"/>
      <c r="V36" s="143"/>
      <c r="W36" s="141">
        <f>L36/4</f>
        <v>977182923.5</v>
      </c>
      <c r="X36" s="142">
        <f>W36</f>
        <v>977182923.5</v>
      </c>
      <c r="Y36" s="142">
        <f>X36</f>
        <v>977182923.5</v>
      </c>
      <c r="Z36" s="143">
        <f>Y36</f>
        <v>977182923.5</v>
      </c>
      <c r="AA36" s="128"/>
    </row>
    <row r="37" spans="1:27" ht="12.75" customHeight="1" x14ac:dyDescent="0.25">
      <c r="A37" s="129"/>
      <c r="B37" s="272" t="s">
        <v>594</v>
      </c>
      <c r="C37" s="272"/>
      <c r="D37" s="272"/>
      <c r="E37" s="272"/>
      <c r="F37" s="272"/>
      <c r="G37" s="272"/>
      <c r="H37" s="272"/>
      <c r="I37" s="272"/>
      <c r="J37" s="272"/>
      <c r="K37" s="272"/>
      <c r="L37" s="144">
        <f>SUM(L9:L36)</f>
        <v>66448438798</v>
      </c>
      <c r="M37" s="145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28"/>
    </row>
    <row r="38" spans="1:27" ht="12.75" customHeight="1" x14ac:dyDescent="0.2">
      <c r="A38" s="129"/>
      <c r="B38" s="267" t="s">
        <v>595</v>
      </c>
      <c r="C38" s="267"/>
      <c r="D38" s="267"/>
      <c r="E38" s="267"/>
      <c r="F38" s="267"/>
      <c r="G38" s="267"/>
      <c r="H38" s="267"/>
      <c r="I38" s="267"/>
      <c r="J38" s="267"/>
      <c r="K38" s="267"/>
      <c r="L38" s="135"/>
      <c r="M38" s="126">
        <f t="shared" ref="M38:Z38" si="2">SUM(M9:M36)</f>
        <v>1954365847</v>
      </c>
      <c r="N38" s="126">
        <f t="shared" si="2"/>
        <v>2255037515.7692308</v>
      </c>
      <c r="O38" s="126">
        <f t="shared" si="2"/>
        <v>2743628977.5192308</v>
      </c>
      <c r="P38" s="126">
        <f t="shared" si="2"/>
        <v>7140952133.2692308</v>
      </c>
      <c r="Q38" s="126">
        <f t="shared" si="2"/>
        <v>7140952133.2692308</v>
      </c>
      <c r="R38" s="126">
        <f t="shared" si="2"/>
        <v>12678322033.102564</v>
      </c>
      <c r="S38" s="126">
        <f t="shared" si="2"/>
        <v>10723956186.102564</v>
      </c>
      <c r="T38" s="126">
        <f t="shared" si="2"/>
        <v>6815224492.1025639</v>
      </c>
      <c r="U38" s="126">
        <f t="shared" si="2"/>
        <v>2906492798.1025643</v>
      </c>
      <c r="V38" s="126">
        <f t="shared" si="2"/>
        <v>1929309874.6025643</v>
      </c>
      <c r="W38" s="126">
        <f t="shared" si="2"/>
        <v>2417901336.3525643</v>
      </c>
      <c r="X38" s="126">
        <f t="shared" si="2"/>
        <v>1277854592.2692308</v>
      </c>
      <c r="Y38" s="126">
        <f t="shared" si="2"/>
        <v>3232220439.2692308</v>
      </c>
      <c r="Z38" s="126">
        <f t="shared" si="2"/>
        <v>3232220439.2692308</v>
      </c>
      <c r="AA38" s="128"/>
    </row>
    <row r="39" spans="1:27" ht="12.75" customHeight="1" x14ac:dyDescent="0.2">
      <c r="A39" s="129"/>
      <c r="B39" s="267" t="s">
        <v>596</v>
      </c>
      <c r="C39" s="267"/>
      <c r="D39" s="267"/>
      <c r="E39" s="267"/>
      <c r="F39" s="267"/>
      <c r="G39" s="267"/>
      <c r="H39" s="267"/>
      <c r="I39" s="267"/>
      <c r="J39" s="267"/>
      <c r="K39" s="267"/>
      <c r="L39" s="135"/>
      <c r="M39" s="126">
        <f>M38</f>
        <v>1954365847</v>
      </c>
      <c r="N39" s="147">
        <f t="shared" ref="N39:Z39" si="3">M39+N38</f>
        <v>4209403362.7692308</v>
      </c>
      <c r="O39" s="147">
        <f t="shared" si="3"/>
        <v>6953032340.2884617</v>
      </c>
      <c r="P39" s="147">
        <f t="shared" si="3"/>
        <v>14093984473.557693</v>
      </c>
      <c r="Q39" s="147">
        <f t="shared" si="3"/>
        <v>21234936606.826923</v>
      </c>
      <c r="R39" s="147">
        <f t="shared" si="3"/>
        <v>33913258639.929489</v>
      </c>
      <c r="S39" s="147">
        <f t="shared" si="3"/>
        <v>44637214826.032051</v>
      </c>
      <c r="T39" s="147">
        <f t="shared" si="3"/>
        <v>51452439318.134613</v>
      </c>
      <c r="U39" s="147">
        <f t="shared" si="3"/>
        <v>54358932116.237175</v>
      </c>
      <c r="V39" s="147">
        <f t="shared" si="3"/>
        <v>56288241990.839737</v>
      </c>
      <c r="W39" s="147">
        <f t="shared" si="3"/>
        <v>58706143327.192299</v>
      </c>
      <c r="X39" s="126">
        <f t="shared" si="3"/>
        <v>59983997919.461533</v>
      </c>
      <c r="Y39" s="126">
        <f t="shared" si="3"/>
        <v>63216218358.730766</v>
      </c>
      <c r="Z39" s="126">
        <f t="shared" si="3"/>
        <v>66448438798</v>
      </c>
      <c r="AA39" s="128"/>
    </row>
    <row r="40" spans="1:27" ht="12.75" customHeight="1" x14ac:dyDescent="0.2">
      <c r="A40" s="129"/>
      <c r="B40" s="267" t="s">
        <v>597</v>
      </c>
      <c r="C40" s="267"/>
      <c r="D40" s="267"/>
      <c r="E40" s="267"/>
      <c r="F40" s="267"/>
      <c r="G40" s="267"/>
      <c r="H40" s="267"/>
      <c r="I40" s="267"/>
      <c r="J40" s="267"/>
      <c r="K40" s="267"/>
      <c r="L40" s="135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8"/>
    </row>
    <row r="41" spans="1:27" ht="12.75" customHeight="1" x14ac:dyDescent="0.25">
      <c r="A41" s="129"/>
      <c r="B41" s="267" t="s">
        <v>598</v>
      </c>
      <c r="C41" s="267"/>
      <c r="D41" s="267"/>
      <c r="E41" s="267"/>
      <c r="F41" s="267"/>
      <c r="G41" s="267"/>
      <c r="H41" s="267"/>
      <c r="I41" s="267"/>
      <c r="J41" s="267"/>
      <c r="K41" s="267"/>
      <c r="L41" s="148"/>
      <c r="M41" s="75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50"/>
    </row>
    <row r="42" spans="1:27" ht="12.75" customHeight="1" x14ac:dyDescent="0.2"/>
    <row r="43" spans="1:27" ht="12.75" customHeight="1" x14ac:dyDescent="0.2"/>
    <row r="44" spans="1:27" ht="12.75" customHeight="1" x14ac:dyDescent="0.2"/>
    <row r="45" spans="1:27" ht="12.75" customHeight="1" x14ac:dyDescent="0.2"/>
    <row r="46" spans="1:27" ht="12.75" customHeight="1" x14ac:dyDescent="0.2"/>
    <row r="47" spans="1:27" ht="12.75" customHeight="1" x14ac:dyDescent="0.2"/>
    <row r="48" spans="1:2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32">
    <mergeCell ref="A7:A8"/>
    <mergeCell ref="B7:K8"/>
    <mergeCell ref="L7:L8"/>
    <mergeCell ref="N7:Q7"/>
    <mergeCell ref="R7:V7"/>
    <mergeCell ref="W7:Z7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B20:K20"/>
    <mergeCell ref="B21:K21"/>
    <mergeCell ref="B22:K22"/>
    <mergeCell ref="B23:K23"/>
    <mergeCell ref="B24:K24"/>
    <mergeCell ref="B26:I26"/>
    <mergeCell ref="B27:I27"/>
    <mergeCell ref="B28:I28"/>
    <mergeCell ref="B40:K40"/>
    <mergeCell ref="B41:K41"/>
    <mergeCell ref="B29:I29"/>
    <mergeCell ref="B30:I30"/>
    <mergeCell ref="B37:K37"/>
    <mergeCell ref="B38:K38"/>
    <mergeCell ref="B39:K39"/>
  </mergeCells>
  <pageMargins left="0.7" right="0.7" top="0.75" bottom="0.75" header="0.511811023622047" footer="0.511811023622047"/>
  <pageSetup paperSize="9" scale="43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5:AC151"/>
  <sheetViews>
    <sheetView showZeros="0" tabSelected="1" topLeftCell="A30" zoomScale="70" zoomScaleNormal="70" workbookViewId="0">
      <selection activeCell="U12" sqref="U12"/>
    </sheetView>
  </sheetViews>
  <sheetFormatPr defaultColWidth="14.42578125" defaultRowHeight="12.75" x14ac:dyDescent="0.2"/>
  <cols>
    <col min="1" max="1" width="5.140625" customWidth="1"/>
    <col min="2" max="2" width="9.140625" customWidth="1"/>
    <col min="3" max="3" width="15.42578125" bestFit="1" customWidth="1"/>
    <col min="4" max="4" width="17.42578125" bestFit="1" customWidth="1"/>
    <col min="5" max="5" width="3.42578125" customWidth="1"/>
    <col min="6" max="7" width="9.140625" customWidth="1"/>
    <col min="8" max="8" width="14" customWidth="1"/>
    <col min="9" max="9" width="8.5703125" customWidth="1"/>
    <col min="10" max="11" width="9.140625" hidden="1" customWidth="1"/>
    <col min="12" max="12" width="7.42578125" customWidth="1"/>
    <col min="13" max="28" width="11.85546875" customWidth="1"/>
    <col min="29" max="29" width="4.5703125" customWidth="1"/>
  </cols>
  <sheetData>
    <row r="5" spans="1:29" ht="12.75" customHeight="1" x14ac:dyDescent="0.2"/>
    <row r="6" spans="1:29" ht="18" customHeight="1" x14ac:dyDescent="0.25">
      <c r="A6" s="151" t="s">
        <v>566</v>
      </c>
    </row>
    <row r="7" spans="1:29" ht="12.75" customHeight="1" x14ac:dyDescent="0.25">
      <c r="A7" s="114" t="s">
        <v>567</v>
      </c>
      <c r="B7" s="114"/>
    </row>
    <row r="8" spans="1:29" ht="12.75" customHeight="1" x14ac:dyDescent="0.25">
      <c r="A8" s="114" t="s">
        <v>599</v>
      </c>
      <c r="F8" s="152" t="s">
        <v>600</v>
      </c>
      <c r="G8" t="s">
        <v>601</v>
      </c>
    </row>
    <row r="9" spans="1:29" ht="12.75" customHeight="1" x14ac:dyDescent="0.2"/>
    <row r="10" spans="1:29" ht="12.75" customHeight="1" x14ac:dyDescent="0.2">
      <c r="A10" s="279" t="s">
        <v>569</v>
      </c>
      <c r="B10" s="280" t="s">
        <v>570</v>
      </c>
      <c r="C10" s="280"/>
      <c r="D10" s="280"/>
      <c r="E10" s="280"/>
      <c r="F10" s="280"/>
      <c r="G10" s="280"/>
      <c r="H10" s="280"/>
      <c r="I10" s="280"/>
      <c r="J10" s="280"/>
      <c r="K10" s="280"/>
      <c r="L10" s="281" t="s">
        <v>571</v>
      </c>
      <c r="M10" s="115" t="s">
        <v>572</v>
      </c>
      <c r="N10" s="282" t="s">
        <v>573</v>
      </c>
      <c r="O10" s="282"/>
      <c r="P10" s="282"/>
      <c r="Q10" s="282"/>
      <c r="R10" s="282" t="s">
        <v>574</v>
      </c>
      <c r="S10" s="282"/>
      <c r="T10" s="282"/>
      <c r="U10" s="282"/>
      <c r="V10" s="282"/>
      <c r="W10" s="274" t="s">
        <v>575</v>
      </c>
      <c r="X10" s="274"/>
      <c r="Y10" s="274"/>
      <c r="Z10" s="274"/>
      <c r="AA10" s="275" t="s">
        <v>602</v>
      </c>
      <c r="AB10" s="275"/>
      <c r="AC10" s="116" t="s">
        <v>576</v>
      </c>
    </row>
    <row r="11" spans="1:29" ht="12.75" customHeight="1" x14ac:dyDescent="0.2">
      <c r="A11" s="279"/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1"/>
      <c r="M11" s="261" t="s">
        <v>577</v>
      </c>
      <c r="N11" s="262" t="s">
        <v>578</v>
      </c>
      <c r="O11" s="263" t="s">
        <v>579</v>
      </c>
      <c r="P11" s="263" t="s">
        <v>580</v>
      </c>
      <c r="Q11" s="264" t="s">
        <v>581</v>
      </c>
      <c r="R11" s="262" t="s">
        <v>582</v>
      </c>
      <c r="S11" s="263" t="s">
        <v>583</v>
      </c>
      <c r="T11" s="263" t="s">
        <v>584</v>
      </c>
      <c r="U11" s="263" t="s">
        <v>585</v>
      </c>
      <c r="V11" s="120" t="s">
        <v>586</v>
      </c>
      <c r="W11" s="118" t="s">
        <v>587</v>
      </c>
      <c r="X11" s="119" t="s">
        <v>588</v>
      </c>
      <c r="Y11" s="119" t="s">
        <v>589</v>
      </c>
      <c r="Z11" s="153" t="s">
        <v>590</v>
      </c>
      <c r="AA11" s="154" t="s">
        <v>603</v>
      </c>
      <c r="AB11" s="120" t="s">
        <v>604</v>
      </c>
      <c r="AC11" s="121"/>
    </row>
    <row r="12" spans="1:29" ht="12.75" customHeight="1" x14ac:dyDescent="0.2">
      <c r="A12" s="122" t="s">
        <v>591</v>
      </c>
      <c r="B12" s="276" t="str">
        <f>'BOBOT PEK'!B4:C4</f>
        <v>Pekerjaan Gudang Umum</v>
      </c>
      <c r="C12" s="276"/>
      <c r="D12" s="276"/>
      <c r="E12" s="276"/>
      <c r="F12" s="276"/>
      <c r="G12" s="276"/>
      <c r="H12" s="276"/>
      <c r="I12" s="276"/>
      <c r="J12" s="276"/>
      <c r="K12" s="276"/>
      <c r="L12" s="123"/>
      <c r="M12" s="124"/>
      <c r="N12" s="125"/>
      <c r="O12" s="126"/>
      <c r="P12" s="126"/>
      <c r="Q12" s="127"/>
      <c r="R12" s="125"/>
      <c r="S12" s="126"/>
      <c r="T12" s="126"/>
      <c r="U12" s="126"/>
      <c r="V12" s="127"/>
      <c r="W12" s="125"/>
      <c r="X12" s="126"/>
      <c r="Y12" s="126"/>
      <c r="Z12" s="135"/>
      <c r="AA12" s="125"/>
      <c r="AB12" s="127"/>
      <c r="AC12" s="128"/>
    </row>
    <row r="13" spans="1:29" ht="12.75" customHeight="1" x14ac:dyDescent="0.2">
      <c r="A13" s="129" t="s">
        <v>38</v>
      </c>
      <c r="B13" s="75" t="str">
        <f>'BOBOT PEK'!C8</f>
        <v>PEKERJAAN PERSIAPAN</v>
      </c>
      <c r="C13" s="155"/>
      <c r="D13" s="155"/>
      <c r="E13" s="155"/>
      <c r="F13" s="155"/>
      <c r="G13" s="155"/>
      <c r="H13" s="155"/>
      <c r="I13" s="156" t="s">
        <v>605</v>
      </c>
      <c r="J13" s="155"/>
      <c r="K13" s="157"/>
      <c r="L13" s="130">
        <f>'BOBOT PEK'!J14</f>
        <v>1.2791873148200794</v>
      </c>
      <c r="M13" s="158">
        <f>L13/4</f>
        <v>0.31979682870501985</v>
      </c>
      <c r="N13" s="159">
        <f>M13</f>
        <v>0.31979682870501985</v>
      </c>
      <c r="O13" s="160">
        <f>N13</f>
        <v>0.31979682870501985</v>
      </c>
      <c r="P13" s="160">
        <f>O13</f>
        <v>0.31979682870501985</v>
      </c>
      <c r="Q13" s="161"/>
      <c r="R13" s="159"/>
      <c r="S13" s="160"/>
      <c r="T13" s="160"/>
      <c r="U13" s="160"/>
      <c r="V13" s="161"/>
      <c r="W13" s="159"/>
      <c r="X13" s="160"/>
      <c r="Y13" s="160"/>
      <c r="Z13" s="162"/>
      <c r="AA13" s="159"/>
      <c r="AB13" s="161"/>
      <c r="AC13" s="128"/>
    </row>
    <row r="14" spans="1:29" s="175" customFormat="1" ht="12.75" customHeight="1" x14ac:dyDescent="0.2">
      <c r="A14" s="163"/>
      <c r="B14" s="164"/>
      <c r="C14" s="165"/>
      <c r="D14" s="165"/>
      <c r="E14" s="165"/>
      <c r="F14" s="165"/>
      <c r="G14" s="165"/>
      <c r="H14" s="165"/>
      <c r="I14" s="166" t="s">
        <v>606</v>
      </c>
      <c r="J14" s="165"/>
      <c r="K14" s="167"/>
      <c r="L14" s="168">
        <f>SUM(M14:AB14)</f>
        <v>1.2791873148200792</v>
      </c>
      <c r="M14" s="169">
        <f>SUM('PRODUKTIVITAS HARIAN'!DV4:DV9)</f>
        <v>1.0105579787078627</v>
      </c>
      <c r="N14" s="170">
        <f>SUM('PRODUKTIVITAS HARIAN'!DW4:DW9)</f>
        <v>0</v>
      </c>
      <c r="O14" s="171">
        <f>SUM('PRODUKTIVITAS HARIAN'!DX4:DX9)</f>
        <v>0</v>
      </c>
      <c r="P14" s="171">
        <f>SUM('PRODUKTIVITAS HARIAN'!DY4:DY9)</f>
        <v>7.6751238889204765E-2</v>
      </c>
      <c r="Q14" s="172">
        <f>SUM('PRODUKTIVITAS HARIAN'!DZ4:DZ9)</f>
        <v>3.8375619444602382E-2</v>
      </c>
      <c r="R14" s="170">
        <f>SUM('PRODUKTIVITAS HARIAN'!EA4:EA9)</f>
        <v>0.15350247777840953</v>
      </c>
      <c r="S14" s="171">
        <f>SUM('PRODUKTIVITAS HARIAN'!EB4:EB9)</f>
        <v>0</v>
      </c>
      <c r="T14" s="171">
        <f>SUM('PRODUKTIVITAS HARIAN'!EC4:EC9)</f>
        <v>0</v>
      </c>
      <c r="U14" s="171">
        <f>SUM('PRODUKTIVITAS HARIAN'!ED4:ED9)</f>
        <v>0</v>
      </c>
      <c r="V14" s="172">
        <f>SUM('PRODUKTIVITAS HARIAN'!EE4:EE9)</f>
        <v>0</v>
      </c>
      <c r="W14" s="170">
        <f>SUM('PRODUKTIVITAS HARIAN'!EF4:EF9)</f>
        <v>0</v>
      </c>
      <c r="X14" s="171">
        <f>SUM('PRODUKTIVITAS HARIAN'!EG4:EG9)</f>
        <v>0</v>
      </c>
      <c r="Y14" s="171">
        <f>SUM('PRODUKTIVITAS HARIAN'!EH4:EH9)</f>
        <v>0</v>
      </c>
      <c r="Z14" s="173">
        <f>SUM('PRODUKTIVITAS HARIAN'!EI4:EI9)</f>
        <v>0</v>
      </c>
      <c r="AA14" s="170">
        <f>SUM('PRODUKTIVITAS HARIAN'!EJ4:EJ9)</f>
        <v>0</v>
      </c>
      <c r="AB14" s="172">
        <f>SUM('PRODUKTIVITAS HARIAN'!EK4:EK9)</f>
        <v>0</v>
      </c>
      <c r="AC14" s="174"/>
    </row>
    <row r="15" spans="1:29" ht="12.75" customHeight="1" x14ac:dyDescent="0.2">
      <c r="A15" s="129" t="s">
        <v>49</v>
      </c>
      <c r="B15" s="75" t="str">
        <f>'BOBOT PEK'!C15</f>
        <v>PEKERJAAN AREA GUDANG UMUM+GUDANG SPM UK.46X54 M</v>
      </c>
      <c r="C15" s="155"/>
      <c r="D15" s="155"/>
      <c r="E15" s="155"/>
      <c r="F15" s="155"/>
      <c r="G15" s="155"/>
      <c r="H15" s="155"/>
      <c r="I15" s="156" t="s">
        <v>605</v>
      </c>
      <c r="J15" s="155"/>
      <c r="K15" s="157"/>
      <c r="L15" s="130">
        <f>'BOBOT PEK'!J29</f>
        <v>16.160561774286879</v>
      </c>
      <c r="M15" s="158"/>
      <c r="N15" s="159"/>
      <c r="O15" s="160">
        <f>L15/7</f>
        <v>2.3086516820409826</v>
      </c>
      <c r="P15" s="160">
        <f t="shared" ref="P15:U15" si="0">O15</f>
        <v>2.3086516820409826</v>
      </c>
      <c r="Q15" s="161">
        <f t="shared" si="0"/>
        <v>2.3086516820409826</v>
      </c>
      <c r="R15" s="159">
        <f t="shared" si="0"/>
        <v>2.3086516820409826</v>
      </c>
      <c r="S15" s="160">
        <f t="shared" si="0"/>
        <v>2.3086516820409826</v>
      </c>
      <c r="T15" s="160">
        <f t="shared" si="0"/>
        <v>2.3086516820409826</v>
      </c>
      <c r="U15" s="160">
        <f t="shared" si="0"/>
        <v>2.3086516820409826</v>
      </c>
      <c r="V15" s="161"/>
      <c r="W15" s="159"/>
      <c r="X15" s="160"/>
      <c r="Y15" s="160"/>
      <c r="Z15" s="162"/>
      <c r="AA15" s="159"/>
      <c r="AB15" s="161"/>
      <c r="AC15" s="128"/>
    </row>
    <row r="16" spans="1:29" s="175" customFormat="1" ht="12.75" customHeight="1" x14ac:dyDescent="0.2">
      <c r="A16" s="163"/>
      <c r="B16" s="164"/>
      <c r="C16" s="165"/>
      <c r="D16" s="165"/>
      <c r="E16" s="165"/>
      <c r="F16" s="165"/>
      <c r="G16" s="165"/>
      <c r="H16" s="165"/>
      <c r="I16" s="166" t="s">
        <v>606</v>
      </c>
      <c r="J16" s="165"/>
      <c r="K16" s="167"/>
      <c r="L16" s="168">
        <f>SUM(M16:AB16)</f>
        <v>6.5959630945188126</v>
      </c>
      <c r="M16" s="169">
        <f>SUM('PRODUKTIVITAS HARIAN'!DV10:DV22)</f>
        <v>0</v>
      </c>
      <c r="N16" s="170">
        <f>SUM('PRODUKTIVITAS HARIAN'!DW10:DW22)</f>
        <v>0</v>
      </c>
      <c r="O16" s="171">
        <f>SUM('PRODUKTIVITAS HARIAN'!DX10:DX22)</f>
        <v>0</v>
      </c>
      <c r="P16" s="171">
        <f>SUM('PRODUKTIVITAS HARIAN'!DY10:DY22)</f>
        <v>1.5350247777840952E-4</v>
      </c>
      <c r="Q16" s="172">
        <f>SUM('PRODUKTIVITAS HARIAN'!DZ10:DZ22)</f>
        <v>1.7652784944517095</v>
      </c>
      <c r="R16" s="170">
        <f>SUM('PRODUKTIVITAS HARIAN'!EA10:EA22)</f>
        <v>0.87496412333693419</v>
      </c>
      <c r="S16" s="171">
        <f>SUM('PRODUKTIVITAS HARIAN'!EB10:EB22)</f>
        <v>0.75830224022534298</v>
      </c>
      <c r="T16" s="171">
        <f>SUM('PRODUKTIVITAS HARIAN'!EC10:EC22)</f>
        <v>0.48174194276124183</v>
      </c>
      <c r="U16" s="171">
        <f>SUM('PRODUKTIVITAS HARIAN'!ED10:ED22)</f>
        <v>0.80051542161440559</v>
      </c>
      <c r="V16" s="172">
        <f>SUM('PRODUKTIVITAS HARIAN'!EE10:EE22)</f>
        <v>1.9150073696514001</v>
      </c>
      <c r="W16" s="170">
        <f>SUM('PRODUKTIVITAS HARIAN'!EF10:EF22)</f>
        <v>0</v>
      </c>
      <c r="X16" s="171">
        <f>SUM('PRODUKTIVITAS HARIAN'!EG10:EG22)</f>
        <v>0</v>
      </c>
      <c r="Y16" s="171">
        <f>SUM('PRODUKTIVITAS HARIAN'!EH10:EH22)</f>
        <v>0</v>
      </c>
      <c r="Z16" s="173">
        <f>SUM('PRODUKTIVITAS HARIAN'!EI10:EI22)</f>
        <v>0</v>
      </c>
      <c r="AA16" s="170">
        <f>SUM('PRODUKTIVITAS HARIAN'!EJ10:EJ22)</f>
        <v>0</v>
      </c>
      <c r="AB16" s="172">
        <f>SUM('PRODUKTIVITAS HARIAN'!EK10:EK22)</f>
        <v>0</v>
      </c>
      <c r="AC16" s="174"/>
    </row>
    <row r="17" spans="1:29" ht="12.75" customHeight="1" x14ac:dyDescent="0.2">
      <c r="A17" s="129" t="s">
        <v>80</v>
      </c>
      <c r="B17" s="75" t="str">
        <f>'BOBOT PEK'!C31</f>
        <v>PEKERJAAN AREA GUDANG PARKIR SISI SAMPING UK.4,75X37M</v>
      </c>
      <c r="C17" s="155"/>
      <c r="D17" s="155"/>
      <c r="E17" s="155"/>
      <c r="F17" s="155"/>
      <c r="G17" s="155"/>
      <c r="H17" s="155"/>
      <c r="I17" s="156" t="s">
        <v>605</v>
      </c>
      <c r="J17" s="155"/>
      <c r="K17" s="157"/>
      <c r="L17" s="130">
        <f>'BOBOT PEK'!J42</f>
        <v>1.9395038067302042</v>
      </c>
      <c r="M17" s="158"/>
      <c r="N17" s="159"/>
      <c r="O17" s="160">
        <f>L17/4</f>
        <v>0.48487595168255104</v>
      </c>
      <c r="P17" s="160">
        <f>O17</f>
        <v>0.48487595168255104</v>
      </c>
      <c r="Q17" s="161">
        <f>P17</f>
        <v>0.48487595168255104</v>
      </c>
      <c r="R17" s="159">
        <f>Q17</f>
        <v>0.48487595168255104</v>
      </c>
      <c r="S17" s="160"/>
      <c r="T17" s="160"/>
      <c r="U17" s="160"/>
      <c r="V17" s="161"/>
      <c r="W17" s="159"/>
      <c r="X17" s="160"/>
      <c r="Y17" s="160"/>
      <c r="Z17" s="162"/>
      <c r="AA17" s="159"/>
      <c r="AB17" s="161"/>
      <c r="AC17" s="128"/>
    </row>
    <row r="18" spans="1:29" s="175" customFormat="1" ht="12.75" customHeight="1" x14ac:dyDescent="0.2">
      <c r="A18" s="163"/>
      <c r="B18" s="164"/>
      <c r="C18" s="165"/>
      <c r="D18" s="165"/>
      <c r="E18" s="165"/>
      <c r="F18" s="165"/>
      <c r="G18" s="165"/>
      <c r="H18" s="165"/>
      <c r="I18" s="166" t="s">
        <v>606</v>
      </c>
      <c r="J18" s="165"/>
      <c r="K18" s="167"/>
      <c r="L18" s="168">
        <f>SUM(M18:AB18)</f>
        <v>2.9549226972343832E-2</v>
      </c>
      <c r="M18" s="169">
        <f>SUM('PRODUKTIVITAS HARIAN'!DV23:DV32)</f>
        <v>0</v>
      </c>
      <c r="N18" s="170">
        <f>SUM('PRODUKTIVITAS HARIAN'!DW23:DW32)</f>
        <v>0</v>
      </c>
      <c r="O18" s="171">
        <f>SUM('PRODUKTIVITAS HARIAN'!DX23:DX32)</f>
        <v>0</v>
      </c>
      <c r="P18" s="171">
        <f>SUM('PRODUKTIVITAS HARIAN'!DY23:DY32)</f>
        <v>0</v>
      </c>
      <c r="Q18" s="172">
        <f>SUM('PRODUKTIVITAS HARIAN'!DZ23:DZ32)</f>
        <v>0</v>
      </c>
      <c r="R18" s="170">
        <f>SUM('PRODUKTIVITAS HARIAN'!EA23:EA32)</f>
        <v>0</v>
      </c>
      <c r="S18" s="171">
        <f>SUM('PRODUKTIVITAS HARIAN'!EB23:EB32)</f>
        <v>0</v>
      </c>
      <c r="T18" s="171">
        <f>SUM('PRODUKTIVITAS HARIAN'!EC23:EC32)</f>
        <v>2.6862933611221666E-3</v>
      </c>
      <c r="U18" s="171">
        <f>SUM('PRODUKTIVITAS HARIAN'!ED23:ED32)</f>
        <v>0</v>
      </c>
      <c r="V18" s="172">
        <f>SUM('PRODUKTIVITAS HARIAN'!EE23:EE32)</f>
        <v>2.6862933611221666E-2</v>
      </c>
      <c r="W18" s="170">
        <f>SUM('PRODUKTIVITAS HARIAN'!EF23:EF32)</f>
        <v>0</v>
      </c>
      <c r="X18" s="171">
        <f>SUM('PRODUKTIVITAS HARIAN'!EG23:EG32)</f>
        <v>0</v>
      </c>
      <c r="Y18" s="171">
        <f>SUM('PRODUKTIVITAS HARIAN'!EH23:EH32)</f>
        <v>0</v>
      </c>
      <c r="Z18" s="173">
        <f>SUM('PRODUKTIVITAS HARIAN'!EI23:EI32)</f>
        <v>0</v>
      </c>
      <c r="AA18" s="170">
        <f>SUM('PRODUKTIVITAS HARIAN'!EJ23:EJ32)</f>
        <v>0</v>
      </c>
      <c r="AB18" s="172">
        <f>SUM('PRODUKTIVITAS HARIAN'!EK23:EK32)</f>
        <v>0</v>
      </c>
      <c r="AC18" s="174"/>
    </row>
    <row r="19" spans="1:29" ht="12.75" customHeight="1" x14ac:dyDescent="0.2">
      <c r="A19" s="129" t="s">
        <v>100</v>
      </c>
      <c r="B19" s="75" t="str">
        <f>'BOBOT PEK'!C44</f>
        <v>PEKERJAAN PAGAR SAMPING P 40M x T 2,1M</v>
      </c>
      <c r="C19" s="155"/>
      <c r="D19" s="155"/>
      <c r="E19" s="155"/>
      <c r="F19" s="155"/>
      <c r="G19" s="155"/>
      <c r="H19" s="155"/>
      <c r="I19" s="156" t="s">
        <v>605</v>
      </c>
      <c r="J19" s="155"/>
      <c r="K19" s="157"/>
      <c r="L19" s="130">
        <f>'BOBOT PEK'!J50</f>
        <v>3.3072108837358329</v>
      </c>
      <c r="M19" s="158"/>
      <c r="N19" s="159"/>
      <c r="O19" s="160"/>
      <c r="P19" s="160">
        <f>L19/4</f>
        <v>0.82680272093395824</v>
      </c>
      <c r="Q19" s="161">
        <f>P19</f>
        <v>0.82680272093395824</v>
      </c>
      <c r="R19" s="159">
        <f>Q19</f>
        <v>0.82680272093395824</v>
      </c>
      <c r="S19" s="160">
        <f>R19</f>
        <v>0.82680272093395824</v>
      </c>
      <c r="T19" s="160"/>
      <c r="U19" s="160"/>
      <c r="V19" s="161"/>
      <c r="W19" s="159"/>
      <c r="X19" s="160"/>
      <c r="Y19" s="160"/>
      <c r="Z19" s="162"/>
      <c r="AA19" s="159"/>
      <c r="AB19" s="161"/>
      <c r="AC19" s="128"/>
    </row>
    <row r="20" spans="1:29" s="175" customFormat="1" ht="12.75" customHeight="1" x14ac:dyDescent="0.2">
      <c r="A20" s="163"/>
      <c r="B20" s="164"/>
      <c r="C20" s="165"/>
      <c r="D20" s="165"/>
      <c r="E20" s="165"/>
      <c r="F20" s="165"/>
      <c r="G20" s="165"/>
      <c r="H20" s="165"/>
      <c r="I20" s="166" t="s">
        <v>606</v>
      </c>
      <c r="J20" s="165"/>
      <c r="K20" s="167"/>
      <c r="L20" s="168">
        <f>SUM(M20:AB20)</f>
        <v>0.75037127887345845</v>
      </c>
      <c r="M20" s="169">
        <f>SUM('PRODUKTIVITAS HARIAN'!DV33:DV37)</f>
        <v>0</v>
      </c>
      <c r="N20" s="170">
        <f>SUM('PRODUKTIVITAS HARIAN'!DW33:DW37)</f>
        <v>0</v>
      </c>
      <c r="O20" s="171">
        <f>SUM('PRODUKTIVITAS HARIAN'!DX33:DX37)</f>
        <v>2.8142120926041743E-2</v>
      </c>
      <c r="P20" s="171">
        <f>SUM('PRODUKTIVITAS HARIAN'!DY33:DY37)</f>
        <v>0</v>
      </c>
      <c r="Q20" s="172">
        <f>SUM('PRODUKTIVITAS HARIAN'!DZ33:DZ37)</f>
        <v>0.11589437072269917</v>
      </c>
      <c r="R20" s="170">
        <f>SUM('PRODUKTIVITAS HARIAN'!EA33:EA37)</f>
        <v>0</v>
      </c>
      <c r="S20" s="171">
        <f>SUM('PRODUKTIVITAS HARIAN'!EB33:EB37)</f>
        <v>0</v>
      </c>
      <c r="T20" s="171">
        <f>SUM('PRODUKTIVITAS HARIAN'!EC33:EC37)</f>
        <v>0.30316739361235878</v>
      </c>
      <c r="U20" s="171">
        <f>SUM('PRODUKTIVITAS HARIAN'!ED33:ED37)</f>
        <v>0</v>
      </c>
      <c r="V20" s="172">
        <f>SUM('PRODUKTIVITAS HARIAN'!EE33:EE37)</f>
        <v>0.30316739361235878</v>
      </c>
      <c r="W20" s="170">
        <f>SUM('PRODUKTIVITAS HARIAN'!EF33:EF37)</f>
        <v>0</v>
      </c>
      <c r="X20" s="171">
        <f>SUM('PRODUKTIVITAS HARIAN'!EG33:EG37)</f>
        <v>0</v>
      </c>
      <c r="Y20" s="171">
        <f>SUM('PRODUKTIVITAS HARIAN'!EH33:EH37)</f>
        <v>0</v>
      </c>
      <c r="Z20" s="173">
        <f>SUM('PRODUKTIVITAS HARIAN'!EI33:EI37)</f>
        <v>0</v>
      </c>
      <c r="AA20" s="170">
        <f>SUM('PRODUKTIVITAS HARIAN'!EJ33:EJ37)</f>
        <v>0</v>
      </c>
      <c r="AB20" s="172">
        <f>SUM('PRODUKTIVITAS HARIAN'!EK33:EK37)</f>
        <v>0</v>
      </c>
      <c r="AC20" s="174"/>
    </row>
    <row r="21" spans="1:29" ht="12.75" customHeight="1" x14ac:dyDescent="0.2">
      <c r="A21" s="129" t="s">
        <v>112</v>
      </c>
      <c r="B21" s="75" t="str">
        <f>'BOBOT PEK'!C52</f>
        <v>PEKERJAAN PAGAR DEPAN PJ,70 M, TINGGI 150 CM</v>
      </c>
      <c r="C21" s="155"/>
      <c r="D21" s="155"/>
      <c r="E21" s="155"/>
      <c r="F21" s="155"/>
      <c r="G21" s="155"/>
      <c r="H21" s="155"/>
      <c r="I21" s="156" t="s">
        <v>605</v>
      </c>
      <c r="J21" s="155"/>
      <c r="K21" s="157"/>
      <c r="L21" s="130">
        <f>'BOBOT PEK'!J59</f>
        <v>1.2841377697284331</v>
      </c>
      <c r="M21" s="158"/>
      <c r="N21" s="159"/>
      <c r="O21" s="160"/>
      <c r="P21" s="160"/>
      <c r="Q21" s="161"/>
      <c r="R21" s="159"/>
      <c r="S21" s="160"/>
      <c r="T21" s="160"/>
      <c r="U21" s="160"/>
      <c r="V21" s="161"/>
      <c r="W21" s="159"/>
      <c r="X21" s="160"/>
      <c r="Y21" s="160">
        <f>L21/2</f>
        <v>0.64206888486421654</v>
      </c>
      <c r="Z21" s="162">
        <f>Y21</f>
        <v>0.64206888486421654</v>
      </c>
      <c r="AA21" s="159"/>
      <c r="AB21" s="161"/>
      <c r="AC21" s="128"/>
    </row>
    <row r="22" spans="1:29" s="175" customFormat="1" ht="12.75" customHeight="1" x14ac:dyDescent="0.2">
      <c r="A22" s="163"/>
      <c r="B22" s="164"/>
      <c r="C22" s="165"/>
      <c r="D22" s="165"/>
      <c r="E22" s="165"/>
      <c r="F22" s="165"/>
      <c r="G22" s="165"/>
      <c r="H22" s="165"/>
      <c r="I22" s="166" t="s">
        <v>606</v>
      </c>
      <c r="J22" s="165"/>
      <c r="K22" s="167"/>
      <c r="L22" s="168">
        <f>SUM(M22:AB22)</f>
        <v>0.3139739680479588</v>
      </c>
      <c r="M22" s="169">
        <f>SUM('PRODUKTIVITAS HARIAN'!DV38:DV43)</f>
        <v>0</v>
      </c>
      <c r="N22" s="170">
        <f>SUM('PRODUKTIVITAS HARIAN'!DW38:DW43)</f>
        <v>0</v>
      </c>
      <c r="O22" s="171">
        <f>SUM('PRODUKTIVITAS HARIAN'!DX38:DX43)</f>
        <v>0</v>
      </c>
      <c r="P22" s="171">
        <f>SUM('PRODUKTIVITAS HARIAN'!DY38:DY43)</f>
        <v>0</v>
      </c>
      <c r="Q22" s="172">
        <f>SUM('PRODUKTIVITAS HARIAN'!DZ38:DZ43)</f>
        <v>0</v>
      </c>
      <c r="R22" s="170">
        <f>SUM('PRODUKTIVITAS HARIAN'!EA38:EA43)</f>
        <v>0</v>
      </c>
      <c r="S22" s="171">
        <f>SUM('PRODUKTIVITAS HARIAN'!EB38:EB43)</f>
        <v>4.1184714787947274E-2</v>
      </c>
      <c r="T22" s="171">
        <f>SUM('PRODUKTIVITAS HARIAN'!EC38:EC43)</f>
        <v>0.14366808570207273</v>
      </c>
      <c r="U22" s="171">
        <f>SUM('PRODUKTIVITAS HARIAN'!ED38:ED43)</f>
        <v>6.9997129866954735E-2</v>
      </c>
      <c r="V22" s="172">
        <f>SUM('PRODUKTIVITAS HARIAN'!EE38:EE43)</f>
        <v>5.9124037690984066E-2</v>
      </c>
      <c r="W22" s="170">
        <f>SUM('PRODUKTIVITAS HARIAN'!EF38:EF43)</f>
        <v>0</v>
      </c>
      <c r="X22" s="171">
        <f>SUM('PRODUKTIVITAS HARIAN'!EG38:EG43)</f>
        <v>0</v>
      </c>
      <c r="Y22" s="171">
        <f>SUM('PRODUKTIVITAS HARIAN'!EH38:EH43)</f>
        <v>0</v>
      </c>
      <c r="Z22" s="173">
        <f>SUM('PRODUKTIVITAS HARIAN'!EI38:EI43)</f>
        <v>0</v>
      </c>
      <c r="AA22" s="170">
        <f>SUM('PRODUKTIVITAS HARIAN'!EJ38:EJ43)</f>
        <v>0</v>
      </c>
      <c r="AB22" s="172">
        <f>SUM('PRODUKTIVITAS HARIAN'!EK38:EK43)</f>
        <v>0</v>
      </c>
      <c r="AC22" s="174"/>
    </row>
    <row r="23" spans="1:29" ht="12.75" customHeight="1" x14ac:dyDescent="0.2">
      <c r="A23" s="129" t="s">
        <v>122</v>
      </c>
      <c r="B23" s="75" t="str">
        <f>'BOBOT PEK'!C61</f>
        <v xml:space="preserve">PEKERJAAN KANOPI GENSET UK. 5.5 X4 M DAN JEMBATAN TIMBANG </v>
      </c>
      <c r="C23" s="155"/>
      <c r="D23" s="155"/>
      <c r="E23" s="155"/>
      <c r="F23" s="155"/>
      <c r="G23" s="155"/>
      <c r="H23" s="155"/>
      <c r="I23" s="156" t="s">
        <v>605</v>
      </c>
      <c r="J23" s="155"/>
      <c r="K23" s="157"/>
      <c r="L23" s="130">
        <f>'BOBOT PEK'!J64</f>
        <v>0.37032472764041297</v>
      </c>
      <c r="M23" s="158"/>
      <c r="N23" s="159"/>
      <c r="O23" s="160"/>
      <c r="P23" s="160"/>
      <c r="Q23" s="161"/>
      <c r="R23" s="159"/>
      <c r="S23" s="160">
        <f>L23/2</f>
        <v>0.18516236382020648</v>
      </c>
      <c r="T23" s="160">
        <f>S23</f>
        <v>0.18516236382020648</v>
      </c>
      <c r="U23" s="160"/>
      <c r="V23" s="161"/>
      <c r="W23" s="159"/>
      <c r="X23" s="160"/>
      <c r="Y23" s="160"/>
      <c r="Z23" s="162"/>
      <c r="AA23" s="159"/>
      <c r="AB23" s="161"/>
      <c r="AC23" s="128"/>
    </row>
    <row r="24" spans="1:29" s="175" customFormat="1" ht="12.75" customHeight="1" x14ac:dyDescent="0.2">
      <c r="A24" s="163"/>
      <c r="B24" s="164"/>
      <c r="C24" s="165"/>
      <c r="D24" s="165"/>
      <c r="E24" s="165"/>
      <c r="F24" s="165"/>
      <c r="G24" s="165"/>
      <c r="H24" s="165"/>
      <c r="I24" s="166" t="s">
        <v>606</v>
      </c>
      <c r="J24" s="165"/>
      <c r="K24" s="167"/>
      <c r="L24" s="168">
        <f>SUM(M24:AB24)</f>
        <v>5.9482210139133684E-2</v>
      </c>
      <c r="M24" s="169">
        <f>SUM('PRODUKTIVITAS HARIAN'!DV44:DV45)</f>
        <v>0</v>
      </c>
      <c r="N24" s="170">
        <f>SUM('PRODUKTIVITAS HARIAN'!DW44:DW45)</f>
        <v>0</v>
      </c>
      <c r="O24" s="171">
        <f>SUM('PRODUKTIVITAS HARIAN'!DX44:DX45)</f>
        <v>0</v>
      </c>
      <c r="P24" s="171">
        <f>SUM('PRODUKTIVITAS HARIAN'!DY44:DY45)</f>
        <v>0</v>
      </c>
      <c r="Q24" s="172">
        <f>SUM('PRODUKTIVITAS HARIAN'!DZ44:DZ45)</f>
        <v>0</v>
      </c>
      <c r="R24" s="170">
        <f>SUM('PRODUKTIVITAS HARIAN'!EA44:EA45)</f>
        <v>0</v>
      </c>
      <c r="S24" s="171">
        <f>SUM('PRODUKTIVITAS HARIAN'!EB44:EB45)</f>
        <v>0</v>
      </c>
      <c r="T24" s="171">
        <f>SUM('PRODUKTIVITAS HARIAN'!EC44:EC45)</f>
        <v>1.9187809722301191E-2</v>
      </c>
      <c r="U24" s="171">
        <f>SUM('PRODUKTIVITAS HARIAN'!ED44:ED45)</f>
        <v>2.6862933611221666E-2</v>
      </c>
      <c r="V24" s="172">
        <f>SUM('PRODUKTIVITAS HARIAN'!EE44:EE45)</f>
        <v>1.3431466805610835E-2</v>
      </c>
      <c r="W24" s="170">
        <f>SUM('PRODUKTIVITAS HARIAN'!EF44:EF45)</f>
        <v>0</v>
      </c>
      <c r="X24" s="171">
        <f>SUM('PRODUKTIVITAS HARIAN'!EG44:EG45)</f>
        <v>0</v>
      </c>
      <c r="Y24" s="171">
        <f>SUM('PRODUKTIVITAS HARIAN'!EH44:EH45)</f>
        <v>0</v>
      </c>
      <c r="Z24" s="173">
        <f>SUM('PRODUKTIVITAS HARIAN'!EI44:EI45)</f>
        <v>0</v>
      </c>
      <c r="AA24" s="170">
        <f>SUM('PRODUKTIVITAS HARIAN'!EJ44:EJ45)</f>
        <v>0</v>
      </c>
      <c r="AB24" s="172">
        <f>SUM('PRODUKTIVITAS HARIAN'!EK44:EK45)</f>
        <v>0</v>
      </c>
      <c r="AC24" s="174"/>
    </row>
    <row r="25" spans="1:29" ht="12.75" customHeight="1" x14ac:dyDescent="0.2">
      <c r="A25" s="129" t="s">
        <v>126</v>
      </c>
      <c r="B25" s="75" t="str">
        <f>'BOBOT PEK'!C66</f>
        <v>PEKERJAAN TAMAN DEPAN UK. 5X8 / 17X8 M, 17X30M, BELAKANG 21X28 / 5X36 M</v>
      </c>
      <c r="C25" s="155"/>
      <c r="D25" s="155"/>
      <c r="E25" s="155"/>
      <c r="F25" s="155"/>
      <c r="G25" s="155"/>
      <c r="H25" s="155"/>
      <c r="I25" s="156" t="s">
        <v>605</v>
      </c>
      <c r="J25" s="155"/>
      <c r="K25" s="157"/>
      <c r="L25" s="130">
        <f>'BOBOT PEK'!J72</f>
        <v>1.0275711699949697</v>
      </c>
      <c r="M25" s="158"/>
      <c r="N25" s="159"/>
      <c r="O25" s="160"/>
      <c r="P25" s="160">
        <f>L25/2</f>
        <v>0.51378558499748483</v>
      </c>
      <c r="Q25" s="161">
        <f>P25</f>
        <v>0.51378558499748483</v>
      </c>
      <c r="R25" s="159"/>
      <c r="S25" s="160"/>
      <c r="T25" s="160"/>
      <c r="U25" s="160"/>
      <c r="V25" s="161"/>
      <c r="W25" s="159"/>
      <c r="X25" s="160"/>
      <c r="Y25" s="160"/>
      <c r="Z25" s="162"/>
      <c r="AA25" s="159"/>
      <c r="AB25" s="161"/>
      <c r="AC25" s="128"/>
    </row>
    <row r="26" spans="1:29" s="175" customFormat="1" ht="12.75" customHeight="1" x14ac:dyDescent="0.2">
      <c r="A26" s="163"/>
      <c r="B26" s="164"/>
      <c r="C26" s="165"/>
      <c r="D26" s="165"/>
      <c r="E26" s="165"/>
      <c r="F26" s="165"/>
      <c r="G26" s="165"/>
      <c r="H26" s="165"/>
      <c r="I26" s="166" t="s">
        <v>606</v>
      </c>
      <c r="J26" s="165"/>
      <c r="K26" s="167"/>
      <c r="L26" s="168">
        <f>SUM(M26:AB26)</f>
        <v>0.73681189333636576</v>
      </c>
      <c r="M26" s="169">
        <f>SUM('PRODUKTIVITAS HARIAN'!DV46:DV50)</f>
        <v>2.0466997037121272E-2</v>
      </c>
      <c r="N26" s="170">
        <f>SUM('PRODUKTIVITAS HARIAN'!DW46:DW50)</f>
        <v>0.15861922703768985</v>
      </c>
      <c r="O26" s="171">
        <f>SUM('PRODUKTIVITAS HARIAN'!DX46:DX50)</f>
        <v>0.16814917253309944</v>
      </c>
      <c r="P26" s="171">
        <f>SUM('PRODUKTIVITAS HARIAN'!DY46:DY50)</f>
        <v>0</v>
      </c>
      <c r="Q26" s="172">
        <f>SUM('PRODUKTIVITAS HARIAN'!DZ46:DZ50)</f>
        <v>5.1167492592803177E-2</v>
      </c>
      <c r="R26" s="170">
        <f>SUM('PRODUKTIVITAS HARIAN'!EA46:EA50)</f>
        <v>5.1167492592803177E-2</v>
      </c>
      <c r="S26" s="171">
        <f>SUM('PRODUKTIVITAS HARIAN'!EB46:EB50)</f>
        <v>0</v>
      </c>
      <c r="T26" s="171">
        <f>SUM('PRODUKTIVITAS HARIAN'!EC46:EC50)</f>
        <v>8.257154117163612E-2</v>
      </c>
      <c r="U26" s="171">
        <f>SUM('PRODUKTIVITAS HARIAN'!ED46:ED50)</f>
        <v>7.6751238889204765E-2</v>
      </c>
      <c r="V26" s="172">
        <f>SUM('PRODUKTIVITAS HARIAN'!EE46:EE50)</f>
        <v>0.12791873148200794</v>
      </c>
      <c r="W26" s="170">
        <f>SUM('PRODUKTIVITAS HARIAN'!EF46:EF50)</f>
        <v>0</v>
      </c>
      <c r="X26" s="171">
        <f>SUM('PRODUKTIVITAS HARIAN'!EG46:EG50)</f>
        <v>0</v>
      </c>
      <c r="Y26" s="171">
        <f>SUM('PRODUKTIVITAS HARIAN'!EH46:EH50)</f>
        <v>0</v>
      </c>
      <c r="Z26" s="173">
        <f>SUM('PRODUKTIVITAS HARIAN'!EI46:EI50)</f>
        <v>0</v>
      </c>
      <c r="AA26" s="170">
        <f>SUM('PRODUKTIVITAS HARIAN'!EJ46:EJ50)</f>
        <v>0</v>
      </c>
      <c r="AB26" s="172">
        <f>SUM('PRODUKTIVITAS HARIAN'!EK46:EK50)</f>
        <v>0</v>
      </c>
      <c r="AC26" s="174"/>
    </row>
    <row r="27" spans="1:29" ht="12.75" customHeight="1" x14ac:dyDescent="0.2">
      <c r="A27" s="129" t="s">
        <v>138</v>
      </c>
      <c r="B27" s="75" t="str">
        <f>'BOBOT PEK'!C74</f>
        <v>PEKERJAAN JALAN</v>
      </c>
      <c r="C27" s="155"/>
      <c r="D27" s="155"/>
      <c r="E27" s="155"/>
      <c r="F27" s="155"/>
      <c r="G27" s="155"/>
      <c r="H27" s="155"/>
      <c r="I27" s="156" t="s">
        <v>605</v>
      </c>
      <c r="J27" s="155"/>
      <c r="K27" s="157"/>
      <c r="L27" s="130">
        <f>'BOBOT PEK'!J82</f>
        <v>42.786709996279541</v>
      </c>
      <c r="M27" s="158">
        <f>L27/16</f>
        <v>2.6741693747674713</v>
      </c>
      <c r="N27" s="159">
        <f t="shared" ref="N27:V27" si="1">M27</f>
        <v>2.6741693747674713</v>
      </c>
      <c r="O27" s="160">
        <f t="shared" si="1"/>
        <v>2.6741693747674713</v>
      </c>
      <c r="P27" s="160">
        <f t="shared" si="1"/>
        <v>2.6741693747674713</v>
      </c>
      <c r="Q27" s="161">
        <f t="shared" si="1"/>
        <v>2.6741693747674713</v>
      </c>
      <c r="R27" s="159">
        <f t="shared" si="1"/>
        <v>2.6741693747674713</v>
      </c>
      <c r="S27" s="160">
        <f t="shared" si="1"/>
        <v>2.6741693747674713</v>
      </c>
      <c r="T27" s="160">
        <f t="shared" si="1"/>
        <v>2.6741693747674713</v>
      </c>
      <c r="U27" s="160">
        <f t="shared" si="1"/>
        <v>2.6741693747674713</v>
      </c>
      <c r="V27" s="161">
        <f t="shared" si="1"/>
        <v>2.6741693747674713</v>
      </c>
      <c r="W27" s="159">
        <f>U27</f>
        <v>2.6741693747674713</v>
      </c>
      <c r="X27" s="160">
        <f>W27</f>
        <v>2.6741693747674713</v>
      </c>
      <c r="Y27" s="160">
        <f>X27</f>
        <v>2.6741693747674713</v>
      </c>
      <c r="Z27" s="162">
        <f>Y27</f>
        <v>2.6741693747674713</v>
      </c>
      <c r="AA27" s="159">
        <f>Z27</f>
        <v>2.6741693747674713</v>
      </c>
      <c r="AB27" s="161">
        <f>AA27</f>
        <v>2.6741693747674713</v>
      </c>
      <c r="AC27" s="128"/>
    </row>
    <row r="28" spans="1:29" s="175" customFormat="1" ht="12.75" customHeight="1" x14ac:dyDescent="0.2">
      <c r="A28" s="163"/>
      <c r="B28" s="164"/>
      <c r="C28" s="165"/>
      <c r="D28" s="165"/>
      <c r="E28" s="165"/>
      <c r="F28" s="165"/>
      <c r="G28" s="165"/>
      <c r="H28" s="165"/>
      <c r="I28" s="166" t="s">
        <v>606</v>
      </c>
      <c r="J28" s="165"/>
      <c r="K28" s="167"/>
      <c r="L28" s="168">
        <f>SUM(M28:AB28)</f>
        <v>41.967482196228175</v>
      </c>
      <c r="M28" s="169">
        <f>SUM('PRODUKTIVITAS HARIAN'!DV51:DV55)</f>
        <v>0.84682200241089267</v>
      </c>
      <c r="N28" s="170">
        <f>SUM('PRODUKTIVITAS HARIAN'!DW51:DW55)</f>
        <v>5.6667998046529515</v>
      </c>
      <c r="O28" s="171">
        <f>SUM('PRODUKTIVITAS HARIAN'!DX51:DX55)</f>
        <v>2.9011968300119406</v>
      </c>
      <c r="P28" s="171">
        <f>SUM('PRODUKTIVITAS HARIAN'!DY51:DY55)</f>
        <v>10.553295347265655</v>
      </c>
      <c r="Q28" s="172">
        <f>SUM('PRODUKTIVITAS HARIAN'!DZ51:DZ55)</f>
        <v>4.1957343926098602E-2</v>
      </c>
      <c r="R28" s="170">
        <f>SUM('PRODUKTIVITAS HARIAN'!EA51:EA55)</f>
        <v>0</v>
      </c>
      <c r="S28" s="171">
        <f>SUM('PRODUKTIVITAS HARIAN'!EB51:EB55)</f>
        <v>1.12696402435649</v>
      </c>
      <c r="T28" s="171">
        <f>SUM('PRODUKTIVITAS HARIAN'!EC51:EC55)</f>
        <v>9.3330856742549759</v>
      </c>
      <c r="U28" s="171">
        <f>SUM('PRODUKTIVITAS HARIAN'!ED51:ED55)</f>
        <v>11.497361169349169</v>
      </c>
      <c r="V28" s="172">
        <f>SUM('PRODUKTIVITAS HARIAN'!EE51:EE55)</f>
        <v>0</v>
      </c>
      <c r="W28" s="170">
        <f>SUM('PRODUKTIVITAS HARIAN'!EF51:EF55)</f>
        <v>0</v>
      </c>
      <c r="X28" s="171">
        <f>SUM('PRODUKTIVITAS HARIAN'!EG51:EG55)</f>
        <v>0</v>
      </c>
      <c r="Y28" s="171">
        <f>SUM('PRODUKTIVITAS HARIAN'!EH51:EH55)</f>
        <v>0</v>
      </c>
      <c r="Z28" s="173">
        <f>SUM('PRODUKTIVITAS HARIAN'!EI51:EI55)</f>
        <v>0</v>
      </c>
      <c r="AA28" s="170">
        <f>SUM('PRODUKTIVITAS HARIAN'!EJ51:EJ55)</f>
        <v>0</v>
      </c>
      <c r="AB28" s="172">
        <f>SUM('PRODUKTIVITAS HARIAN'!EK51:EK55)</f>
        <v>0</v>
      </c>
      <c r="AC28" s="174"/>
    </row>
    <row r="29" spans="1:29" ht="12.75" customHeight="1" x14ac:dyDescent="0.2">
      <c r="A29" s="129" t="s">
        <v>158</v>
      </c>
      <c r="B29" s="75" t="str">
        <f>'BOBOT PEK'!C84</f>
        <v>PEKERJAAN PAGAR PERIMETER P 215M + 91M x T 2,4M</v>
      </c>
      <c r="C29" s="155"/>
      <c r="D29" s="155"/>
      <c r="E29" s="155"/>
      <c r="F29" s="155"/>
      <c r="G29" s="155"/>
      <c r="H29" s="155"/>
      <c r="I29" s="156" t="s">
        <v>605</v>
      </c>
      <c r="J29" s="155"/>
      <c r="K29" s="157"/>
      <c r="L29" s="130">
        <f>'BOBOT PEK'!J87</f>
        <v>1.8394201912186812</v>
      </c>
      <c r="M29" s="158"/>
      <c r="N29" s="159"/>
      <c r="O29" s="160"/>
      <c r="P29" s="160"/>
      <c r="Q29" s="161"/>
      <c r="R29" s="159"/>
      <c r="S29" s="160"/>
      <c r="T29" s="160"/>
      <c r="U29" s="160"/>
      <c r="V29" s="161"/>
      <c r="W29" s="159"/>
      <c r="X29" s="160"/>
      <c r="Y29" s="160">
        <f>L29/2</f>
        <v>0.91971009560934058</v>
      </c>
      <c r="Z29" s="162">
        <f>Y29</f>
        <v>0.91971009560934058</v>
      </c>
      <c r="AA29" s="159"/>
      <c r="AB29" s="161"/>
      <c r="AC29" s="128"/>
    </row>
    <row r="30" spans="1:29" s="175" customFormat="1" ht="12.75" customHeight="1" x14ac:dyDescent="0.2">
      <c r="A30" s="163"/>
      <c r="B30" s="164"/>
      <c r="C30" s="165"/>
      <c r="D30" s="165"/>
      <c r="E30" s="165"/>
      <c r="F30" s="165"/>
      <c r="G30" s="165"/>
      <c r="H30" s="165"/>
      <c r="I30" s="166" t="s">
        <v>606</v>
      </c>
      <c r="J30" s="165"/>
      <c r="K30" s="167"/>
      <c r="L30" s="168">
        <f>SUM(M30:AB30)</f>
        <v>1.5681557292379353</v>
      </c>
      <c r="M30" s="169">
        <f>SUM('PRODUKTIVITAS HARIAN'!DV56:DV57)</f>
        <v>0</v>
      </c>
      <c r="N30" s="170">
        <f>SUM('PRODUKTIVITAS HARIAN'!DW56:DW57)</f>
        <v>0</v>
      </c>
      <c r="O30" s="171">
        <f>SUM('PRODUKTIVITAS HARIAN'!DX56:DX57)</f>
        <v>5.8842616481723647E-3</v>
      </c>
      <c r="P30" s="171">
        <f>SUM('PRODUKTIVITAS HARIAN'!DY56:DY57)</f>
        <v>1.4710654120430914E-2</v>
      </c>
      <c r="Q30" s="172">
        <f>SUM('PRODUKTIVITAS HARIAN'!DZ56:DZ57)</f>
        <v>0.41189831537206556</v>
      </c>
      <c r="R30" s="170">
        <f>SUM('PRODUKTIVITAS HARIAN'!EA56:EA57)</f>
        <v>0.40601405372389321</v>
      </c>
      <c r="S30" s="171">
        <f>SUM('PRODUKTIVITAS HARIAN'!EB56:EB57)</f>
        <v>0.41925364243228103</v>
      </c>
      <c r="T30" s="171">
        <f>SUM('PRODUKTIVITAS HARIAN'!EC56:EC57)</f>
        <v>0.24272579298711006</v>
      </c>
      <c r="U30" s="171">
        <f>SUM('PRODUKTIVITAS HARIAN'!ED56:ED57)</f>
        <v>4.4131962361292743E-2</v>
      </c>
      <c r="V30" s="172">
        <f>SUM('PRODUKTIVITAS HARIAN'!EE56:EE57)</f>
        <v>2.3537046592689459E-2</v>
      </c>
      <c r="W30" s="170">
        <f>SUM('PRODUKTIVITAS HARIAN'!EF56:EF57)</f>
        <v>0</v>
      </c>
      <c r="X30" s="171">
        <f>SUM('PRODUKTIVITAS HARIAN'!EG56:EG57)</f>
        <v>0</v>
      </c>
      <c r="Y30" s="171">
        <f>SUM('PRODUKTIVITAS HARIAN'!EH56:EH57)</f>
        <v>0</v>
      </c>
      <c r="Z30" s="173">
        <f>SUM('PRODUKTIVITAS HARIAN'!EI56:EI57)</f>
        <v>0</v>
      </c>
      <c r="AA30" s="170">
        <f>SUM('PRODUKTIVITAS HARIAN'!EJ56:EJ57)</f>
        <v>0</v>
      </c>
      <c r="AB30" s="172">
        <f>SUM('PRODUKTIVITAS HARIAN'!EK56:EK57)</f>
        <v>0</v>
      </c>
      <c r="AC30" s="174"/>
    </row>
    <row r="31" spans="1:29" ht="12.75" customHeight="1" x14ac:dyDescent="0.2">
      <c r="A31" s="129" t="s">
        <v>163</v>
      </c>
      <c r="B31" s="277" t="s">
        <v>164</v>
      </c>
      <c r="C31" s="277"/>
      <c r="D31" s="277"/>
      <c r="E31" s="277"/>
      <c r="F31" s="277"/>
      <c r="G31" s="277"/>
      <c r="H31" s="277"/>
      <c r="I31" s="156" t="s">
        <v>605</v>
      </c>
      <c r="J31" s="155"/>
      <c r="K31" s="157"/>
      <c r="L31" s="130">
        <f>'BOBOT PEK'!J106</f>
        <v>7.1510280541655407</v>
      </c>
      <c r="M31" s="158"/>
      <c r="N31" s="159"/>
      <c r="O31" s="160"/>
      <c r="P31" s="160">
        <f>L31/8</f>
        <v>0.89387850677069258</v>
      </c>
      <c r="Q31" s="161">
        <f t="shared" ref="Q31:V31" si="2">P31</f>
        <v>0.89387850677069258</v>
      </c>
      <c r="R31" s="159">
        <f t="shared" si="2"/>
        <v>0.89387850677069258</v>
      </c>
      <c r="S31" s="160">
        <f t="shared" si="2"/>
        <v>0.89387850677069258</v>
      </c>
      <c r="T31" s="160">
        <f t="shared" si="2"/>
        <v>0.89387850677069258</v>
      </c>
      <c r="U31" s="160">
        <f t="shared" si="2"/>
        <v>0.89387850677069258</v>
      </c>
      <c r="V31" s="161">
        <f t="shared" si="2"/>
        <v>0.89387850677069258</v>
      </c>
      <c r="W31" s="159">
        <f>U31</f>
        <v>0.89387850677069258</v>
      </c>
      <c r="X31" s="160"/>
      <c r="Y31" s="160"/>
      <c r="Z31" s="162"/>
      <c r="AA31" s="159"/>
      <c r="AB31" s="161"/>
      <c r="AC31" s="128"/>
    </row>
    <row r="32" spans="1:29" s="175" customFormat="1" ht="12.75" customHeight="1" x14ac:dyDescent="0.2">
      <c r="A32" s="163"/>
      <c r="B32" s="176"/>
      <c r="C32" s="165"/>
      <c r="D32" s="165"/>
      <c r="E32" s="165"/>
      <c r="F32" s="165"/>
      <c r="G32" s="165"/>
      <c r="H32" s="165"/>
      <c r="I32" s="166" t="s">
        <v>606</v>
      </c>
      <c r="J32" s="165"/>
      <c r="K32" s="167"/>
      <c r="L32" s="168">
        <f>SUM(M32:AB32)</f>
        <v>5.0290891109703271</v>
      </c>
      <c r="M32" s="169">
        <f>SUM('PRODUKTIVITAS HARIAN'!DV58:DV73)</f>
        <v>0.36840594666818283</v>
      </c>
      <c r="N32" s="170">
        <f>SUM('PRODUKTIVITAS HARIAN'!DW58:DW73)</f>
        <v>0.14736237866727314</v>
      </c>
      <c r="O32" s="171">
        <f>SUM('PRODUKTIVITAS HARIAN'!DX58:DX73)</f>
        <v>0</v>
      </c>
      <c r="P32" s="171">
        <f>SUM('PRODUKTIVITAS HARIAN'!DY58:DY73)</f>
        <v>6.1400991111363809E-3</v>
      </c>
      <c r="Q32" s="172">
        <f>SUM('PRODUKTIVITAS HARIAN'!DZ58:DZ73)</f>
        <v>1.5913857708750678</v>
      </c>
      <c r="R32" s="170">
        <f>SUM('PRODUKTIVITAS HARIAN'!EA58:EA73)</f>
        <v>1.2052656382712565</v>
      </c>
      <c r="S32" s="171">
        <f>SUM('PRODUKTIVITAS HARIAN'!EB58:EB73)</f>
        <v>0.98599758226331713</v>
      </c>
      <c r="T32" s="171">
        <f>SUM('PRODUKTIVITAS HARIAN'!EC58:EC73)</f>
        <v>5.6540079315047502E-2</v>
      </c>
      <c r="U32" s="171">
        <f>SUM('PRODUKTIVITAS HARIAN'!ED58:ED73)</f>
        <v>0.24854609526954141</v>
      </c>
      <c r="V32" s="172">
        <f>SUM('PRODUKTIVITAS HARIAN'!EE58:EE73)</f>
        <v>0.41944552052950401</v>
      </c>
      <c r="W32" s="170">
        <f>SUM('PRODUKTIVITAS HARIAN'!EF58:EF73)</f>
        <v>0</v>
      </c>
      <c r="X32" s="171">
        <f>SUM('PRODUKTIVITAS HARIAN'!EG58:EG73)</f>
        <v>0</v>
      </c>
      <c r="Y32" s="171">
        <f>SUM('PRODUKTIVITAS HARIAN'!EH58:EH73)</f>
        <v>0</v>
      </c>
      <c r="Z32" s="173">
        <f>SUM('PRODUKTIVITAS HARIAN'!EI58:EI73)</f>
        <v>0</v>
      </c>
      <c r="AA32" s="170">
        <f>SUM('PRODUKTIVITAS HARIAN'!EJ58:EJ73)</f>
        <v>0</v>
      </c>
      <c r="AB32" s="172">
        <f>SUM('PRODUKTIVITAS HARIAN'!EK58:EK73)</f>
        <v>0</v>
      </c>
      <c r="AC32" s="174"/>
    </row>
    <row r="33" spans="1:29" ht="12.75" customHeight="1" x14ac:dyDescent="0.2">
      <c r="A33" s="129" t="s">
        <v>196</v>
      </c>
      <c r="B33" s="75" t="str">
        <f>'BOBOT PEK'!C109</f>
        <v>PEKERJAAN PAVING BLOCK UK. 1,85X169 M DAN SALURAN GOT Timur P 215M</v>
      </c>
      <c r="C33" s="155"/>
      <c r="D33" s="155"/>
      <c r="E33" s="155"/>
      <c r="F33" s="155"/>
      <c r="G33" s="155"/>
      <c r="H33" s="155"/>
      <c r="I33" s="156" t="s">
        <v>605</v>
      </c>
      <c r="J33" s="155"/>
      <c r="K33" s="157"/>
      <c r="L33" s="130">
        <f>'BOBOT PEK'!J115</f>
        <v>2.1298468791754321</v>
      </c>
      <c r="M33" s="158"/>
      <c r="N33" s="159"/>
      <c r="O33" s="160"/>
      <c r="P33" s="160">
        <f>L33/6</f>
        <v>0.35497447986257202</v>
      </c>
      <c r="Q33" s="161">
        <f>P33</f>
        <v>0.35497447986257202</v>
      </c>
      <c r="R33" s="159">
        <f>Q33</f>
        <v>0.35497447986257202</v>
      </c>
      <c r="S33" s="160">
        <f>R33</f>
        <v>0.35497447986257202</v>
      </c>
      <c r="T33" s="160">
        <f>S33</f>
        <v>0.35497447986257202</v>
      </c>
      <c r="U33" s="160">
        <f>T33</f>
        <v>0.35497447986257202</v>
      </c>
      <c r="V33" s="161"/>
      <c r="W33" s="159"/>
      <c r="X33" s="160"/>
      <c r="Y33" s="160"/>
      <c r="Z33" s="162"/>
      <c r="AA33" s="159"/>
      <c r="AB33" s="161"/>
      <c r="AC33" s="128"/>
    </row>
    <row r="34" spans="1:29" s="175" customFormat="1" ht="12.75" customHeight="1" x14ac:dyDescent="0.2">
      <c r="A34" s="163"/>
      <c r="B34" s="164"/>
      <c r="C34" s="165"/>
      <c r="D34" s="165"/>
      <c r="E34" s="165"/>
      <c r="F34" s="165"/>
      <c r="G34" s="165"/>
      <c r="H34" s="165"/>
      <c r="I34" s="166" t="s">
        <v>606</v>
      </c>
      <c r="J34" s="165"/>
      <c r="K34" s="167"/>
      <c r="L34" s="168">
        <f>SUM(M34:AB34)</f>
        <v>1.8804053527855169</v>
      </c>
      <c r="M34" s="169">
        <f>SUM('PRODUKTIVITAS HARIAN'!DV74:DV78)</f>
        <v>0.11052178400045486</v>
      </c>
      <c r="N34" s="170">
        <f>SUM('PRODUKTIVITAS HARIAN'!DW74:DW78)</f>
        <v>0.18880804766744372</v>
      </c>
      <c r="O34" s="171">
        <f>SUM('PRODUKTIVITAS HARIAN'!DX74:DX78)</f>
        <v>0.12894208133386401</v>
      </c>
      <c r="P34" s="171">
        <f>SUM('PRODUKTIVITAS HARIAN'!DY74:DY78)</f>
        <v>0.24151056503803098</v>
      </c>
      <c r="Q34" s="172">
        <f>SUM('PRODUKTIVITAS HARIAN'!DZ74:DZ78)</f>
        <v>0.33872880096435704</v>
      </c>
      <c r="R34" s="170">
        <f>SUM('PRODUKTIVITAS HARIAN'!EA74:EA78)</f>
        <v>0.22718366711204613</v>
      </c>
      <c r="S34" s="171">
        <f>SUM('PRODUKTIVITAS HARIAN'!EB74:EB78)</f>
        <v>0.3300303272235805</v>
      </c>
      <c r="T34" s="171">
        <f>SUM('PRODUKTIVITAS HARIAN'!EC74:EC78)</f>
        <v>0.17908622407481112</v>
      </c>
      <c r="U34" s="171">
        <f>SUM('PRODUKTIVITAS HARIAN'!ED74:ED78)</f>
        <v>0.11512685833380715</v>
      </c>
      <c r="V34" s="172">
        <f>SUM('PRODUKTIVITAS HARIAN'!EE74:EE78)</f>
        <v>2.0466997037121272E-2</v>
      </c>
      <c r="W34" s="170">
        <f>SUM('PRODUKTIVITAS HARIAN'!EF74:EF78)</f>
        <v>0</v>
      </c>
      <c r="X34" s="171">
        <f>SUM('PRODUKTIVITAS HARIAN'!EG74:EG78)</f>
        <v>0</v>
      </c>
      <c r="Y34" s="171">
        <f>SUM('PRODUKTIVITAS HARIAN'!EH74:EH78)</f>
        <v>0</v>
      </c>
      <c r="Z34" s="173">
        <f>SUM('PRODUKTIVITAS HARIAN'!EI74:EI78)</f>
        <v>0</v>
      </c>
      <c r="AA34" s="170">
        <f>SUM('PRODUKTIVITAS HARIAN'!EJ74:EJ78)</f>
        <v>0</v>
      </c>
      <c r="AB34" s="172">
        <f>SUM('PRODUKTIVITAS HARIAN'!EK74:EK78)</f>
        <v>0</v>
      </c>
      <c r="AC34" s="174"/>
    </row>
    <row r="35" spans="1:29" ht="12.75" customHeight="1" x14ac:dyDescent="0.2">
      <c r="A35" s="129" t="s">
        <v>206</v>
      </c>
      <c r="B35" s="75" t="str">
        <f>'BOBOT PEK'!C117</f>
        <v>PEKERJAAN PENERANGAN JALAN</v>
      </c>
      <c r="C35" s="155"/>
      <c r="D35" s="155"/>
      <c r="E35" s="155"/>
      <c r="F35" s="155"/>
      <c r="G35" s="155"/>
      <c r="H35" s="155"/>
      <c r="I35" s="156" t="s">
        <v>605</v>
      </c>
      <c r="J35" s="155"/>
      <c r="K35" s="157"/>
      <c r="L35" s="130">
        <f>'BOBOT PEK'!J121</f>
        <v>1.1594553821529199</v>
      </c>
      <c r="M35" s="158"/>
      <c r="N35" s="159"/>
      <c r="O35" s="160"/>
      <c r="P35" s="160"/>
      <c r="Q35" s="161"/>
      <c r="R35" s="159"/>
      <c r="S35" s="160"/>
      <c r="T35" s="160"/>
      <c r="U35" s="160"/>
      <c r="V35" s="161"/>
      <c r="W35" s="159"/>
      <c r="X35" s="160"/>
      <c r="Y35" s="160">
        <f>L35/2</f>
        <v>0.57972769107645994</v>
      </c>
      <c r="Z35" s="162">
        <f>Y35</f>
        <v>0.57972769107645994</v>
      </c>
      <c r="AA35" s="159"/>
      <c r="AB35" s="161"/>
      <c r="AC35" s="128"/>
    </row>
    <row r="36" spans="1:29" s="175" customFormat="1" ht="12.75" customHeight="1" x14ac:dyDescent="0.2">
      <c r="A36" s="163"/>
      <c r="B36" s="164"/>
      <c r="C36" s="165"/>
      <c r="D36" s="165"/>
      <c r="E36" s="165"/>
      <c r="F36" s="165"/>
      <c r="G36" s="165"/>
      <c r="H36" s="165"/>
      <c r="I36" s="166" t="s">
        <v>606</v>
      </c>
      <c r="J36" s="165"/>
      <c r="K36" s="167"/>
      <c r="L36" s="168">
        <f>SUM(M36:AB36)</f>
        <v>1.1401350851730121</v>
      </c>
      <c r="M36" s="169">
        <f>SUM('PRODUKTIVITAS HARIAN'!DV79:DV81)</f>
        <v>0</v>
      </c>
      <c r="N36" s="170">
        <f>SUM('PRODUKTIVITAS HARIAN'!DW79:DW81)</f>
        <v>0</v>
      </c>
      <c r="O36" s="171">
        <f>SUM('PRODUKTIVITAS HARIAN'!DX79:DX81)</f>
        <v>0</v>
      </c>
      <c r="P36" s="171">
        <f>SUM('PRODUKTIVITAS HARIAN'!DY79:DY81)</f>
        <v>0</v>
      </c>
      <c r="Q36" s="172">
        <f>SUM('PRODUKTIVITAS HARIAN'!DZ79:DZ81)</f>
        <v>0</v>
      </c>
      <c r="R36" s="170">
        <f>SUM('PRODUKTIVITAS HARIAN'!EA79:EA81)</f>
        <v>0.55615409627477552</v>
      </c>
      <c r="S36" s="171">
        <f>SUM('PRODUKTIVITAS HARIAN'!EB79:EB81)</f>
        <v>0.36328919740890248</v>
      </c>
      <c r="T36" s="171">
        <f>SUM('PRODUKTIVITAS HARIAN'!EC79:EC81)</f>
        <v>7.6751238889204751E-2</v>
      </c>
      <c r="U36" s="171">
        <f>SUM('PRODUKTIVITAS HARIAN'!ED79:ED81)</f>
        <v>0.14375507043948049</v>
      </c>
      <c r="V36" s="172">
        <f>SUM('PRODUKTIVITAS HARIAN'!EE79:EE81)</f>
        <v>1.8548216064891152E-4</v>
      </c>
      <c r="W36" s="170">
        <f>SUM('PRODUKTIVITAS HARIAN'!EF79:EF81)</f>
        <v>0</v>
      </c>
      <c r="X36" s="171">
        <f>SUM('PRODUKTIVITAS HARIAN'!EG79:EG81)</f>
        <v>0</v>
      </c>
      <c r="Y36" s="171">
        <f>SUM('PRODUKTIVITAS HARIAN'!EH79:EH81)</f>
        <v>0</v>
      </c>
      <c r="Z36" s="173">
        <f>SUM('PRODUKTIVITAS HARIAN'!EI79:EI81)</f>
        <v>0</v>
      </c>
      <c r="AA36" s="170">
        <f>SUM('PRODUKTIVITAS HARIAN'!EJ79:EJ81)</f>
        <v>0</v>
      </c>
      <c r="AB36" s="172">
        <f>SUM('PRODUKTIVITAS HARIAN'!EK79:EK81)</f>
        <v>0</v>
      </c>
      <c r="AC36" s="174"/>
    </row>
    <row r="37" spans="1:29" ht="12.75" customHeight="1" x14ac:dyDescent="0.2">
      <c r="A37" s="129" t="s">
        <v>215</v>
      </c>
      <c r="B37" s="75" t="str">
        <f>'BOBOT PEK'!C123</f>
        <v>PEKERJAAN SALURAN GOT UTAMA (SEKELILING GUDANG) P156+46+98+17</v>
      </c>
      <c r="C37" s="155"/>
      <c r="D37" s="155"/>
      <c r="E37" s="155"/>
      <c r="F37" s="155"/>
      <c r="G37" s="155"/>
      <c r="H37" s="155"/>
      <c r="I37" s="156" t="s">
        <v>605</v>
      </c>
      <c r="J37" s="155"/>
      <c r="K37" s="157"/>
      <c r="L37" s="130">
        <f>'BOBOT PEK'!J127</f>
        <v>1.4889740344505722</v>
      </c>
      <c r="M37" s="158"/>
      <c r="N37" s="159"/>
      <c r="O37" s="160"/>
      <c r="P37" s="160"/>
      <c r="Q37" s="161"/>
      <c r="R37" s="159"/>
      <c r="S37" s="160"/>
      <c r="T37" s="160"/>
      <c r="U37" s="160"/>
      <c r="V37" s="161"/>
      <c r="W37" s="159">
        <f>L37/2</f>
        <v>0.7444870172252861</v>
      </c>
      <c r="X37" s="160">
        <f>W37</f>
        <v>0.7444870172252861</v>
      </c>
      <c r="Y37" s="160"/>
      <c r="Z37" s="162"/>
      <c r="AA37" s="159"/>
      <c r="AB37" s="161"/>
      <c r="AC37" s="128"/>
    </row>
    <row r="38" spans="1:29" s="175" customFormat="1" ht="12.75" customHeight="1" x14ac:dyDescent="0.2">
      <c r="A38" s="163"/>
      <c r="B38" s="164"/>
      <c r="C38" s="165"/>
      <c r="D38" s="165"/>
      <c r="E38" s="165"/>
      <c r="F38" s="165"/>
      <c r="G38" s="165"/>
      <c r="H38" s="165"/>
      <c r="I38" s="166" t="s">
        <v>606</v>
      </c>
      <c r="J38" s="165"/>
      <c r="K38" s="167"/>
      <c r="L38" s="168">
        <f>SUM(M38:AB38)</f>
        <v>2.3025371666761427E-2</v>
      </c>
      <c r="M38" s="169">
        <f>SUM('PRODUKTIVITAS HARIAN'!DV82:DV84)</f>
        <v>0</v>
      </c>
      <c r="N38" s="170">
        <f>SUM('PRODUKTIVITAS HARIAN'!DW82:DW84)</f>
        <v>0</v>
      </c>
      <c r="O38" s="171">
        <f>SUM('PRODUKTIVITAS HARIAN'!DX82:DX84)</f>
        <v>0</v>
      </c>
      <c r="P38" s="171">
        <f>SUM('PRODUKTIVITAS HARIAN'!DY82:DY84)</f>
        <v>0</v>
      </c>
      <c r="Q38" s="172">
        <f>SUM('PRODUKTIVITAS HARIAN'!DZ82:DZ84)</f>
        <v>2.3025371666761427E-2</v>
      </c>
      <c r="R38" s="170">
        <f>SUM('PRODUKTIVITAS HARIAN'!EA82:EA84)</f>
        <v>0</v>
      </c>
      <c r="S38" s="171">
        <f>SUM('PRODUKTIVITAS HARIAN'!EB82:EB84)</f>
        <v>0</v>
      </c>
      <c r="T38" s="171">
        <f>SUM('PRODUKTIVITAS HARIAN'!EC82:EC84)</f>
        <v>0</v>
      </c>
      <c r="U38" s="171">
        <f>SUM('PRODUKTIVITAS HARIAN'!ED82:ED84)</f>
        <v>0</v>
      </c>
      <c r="V38" s="172">
        <f>SUM('PRODUKTIVITAS HARIAN'!EE82:EE84)</f>
        <v>0</v>
      </c>
      <c r="W38" s="170">
        <f>SUM('PRODUKTIVITAS HARIAN'!EF82:EF84)</f>
        <v>0</v>
      </c>
      <c r="X38" s="171">
        <f>SUM('PRODUKTIVITAS HARIAN'!EG82:EG84)</f>
        <v>0</v>
      </c>
      <c r="Y38" s="171">
        <f>SUM('PRODUKTIVITAS HARIAN'!EH82:EH84)</f>
        <v>0</v>
      </c>
      <c r="Z38" s="173">
        <f>SUM('PRODUKTIVITAS HARIAN'!EI82:EI84)</f>
        <v>0</v>
      </c>
      <c r="AA38" s="170">
        <f>SUM('PRODUKTIVITAS HARIAN'!EJ82:EJ84)</f>
        <v>0</v>
      </c>
      <c r="AB38" s="172">
        <f>SUM('PRODUKTIVITAS HARIAN'!EK82:EK84)</f>
        <v>0</v>
      </c>
      <c r="AC38" s="174"/>
    </row>
    <row r="39" spans="1:29" ht="12.75" customHeight="1" x14ac:dyDescent="0.2">
      <c r="A39" s="129" t="s">
        <v>232</v>
      </c>
      <c r="B39" s="75" t="str">
        <f>'BOBOT PEK'!C129</f>
        <v>PEKERJAAN LAIN LAIN</v>
      </c>
      <c r="C39" s="155"/>
      <c r="D39" s="155"/>
      <c r="E39" s="155"/>
      <c r="F39" s="155"/>
      <c r="G39" s="155"/>
      <c r="H39" s="155"/>
      <c r="I39" s="156" t="s">
        <v>605</v>
      </c>
      <c r="J39" s="155"/>
      <c r="K39" s="157"/>
      <c r="L39" s="130">
        <f>'BOBOT PEK'!J133</f>
        <v>0.47969524305752975</v>
      </c>
      <c r="M39" s="158"/>
      <c r="N39" s="159"/>
      <c r="O39" s="160"/>
      <c r="P39" s="160"/>
      <c r="Q39" s="161"/>
      <c r="R39" s="159"/>
      <c r="S39" s="160">
        <f>L39/2</f>
        <v>0.23984762152876488</v>
      </c>
      <c r="T39" s="160">
        <f>S39</f>
        <v>0.23984762152876488</v>
      </c>
      <c r="U39" s="160"/>
      <c r="V39" s="161"/>
      <c r="W39" s="159"/>
      <c r="X39" s="160"/>
      <c r="Y39" s="160"/>
      <c r="Z39" s="162"/>
      <c r="AA39" s="159"/>
      <c r="AB39" s="161"/>
      <c r="AC39" s="128"/>
    </row>
    <row r="40" spans="1:29" s="175" customFormat="1" ht="12.75" customHeight="1" x14ac:dyDescent="0.2">
      <c r="A40" s="163"/>
      <c r="B40" s="164"/>
      <c r="C40" s="165"/>
      <c r="D40" s="165"/>
      <c r="E40" s="165"/>
      <c r="F40" s="165"/>
      <c r="G40" s="165"/>
      <c r="H40" s="165"/>
      <c r="I40" s="166" t="s">
        <v>606</v>
      </c>
      <c r="J40" s="165"/>
      <c r="K40" s="167"/>
      <c r="L40" s="168">
        <f>SUM(M40:AB40)</f>
        <v>2.558374629640159E-3</v>
      </c>
      <c r="M40" s="169">
        <f>SUM('PRODUKTIVITAS HARIAN'!DV85:DV87)</f>
        <v>0</v>
      </c>
      <c r="N40" s="170">
        <f>SUM('PRODUKTIVITAS HARIAN'!DW85:DW87)</f>
        <v>0</v>
      </c>
      <c r="O40" s="171">
        <f>SUM('PRODUKTIVITAS HARIAN'!DX85:DX87)</f>
        <v>0</v>
      </c>
      <c r="P40" s="171">
        <f>SUM('PRODUKTIVITAS HARIAN'!DY85:DY87)</f>
        <v>0</v>
      </c>
      <c r="Q40" s="172">
        <f>SUM('PRODUKTIVITAS HARIAN'!DZ85:DZ87)</f>
        <v>0</v>
      </c>
      <c r="R40" s="170">
        <f>SUM('PRODUKTIVITAS HARIAN'!EA85:EA87)</f>
        <v>0</v>
      </c>
      <c r="S40" s="171">
        <f>SUM('PRODUKTIVITAS HARIAN'!EB85:EB87)</f>
        <v>0</v>
      </c>
      <c r="T40" s="171">
        <f>SUM('PRODUKTIVITAS HARIAN'!EC85:EC87)</f>
        <v>0</v>
      </c>
      <c r="U40" s="171">
        <f>SUM('PRODUKTIVITAS HARIAN'!ED85:ED87)</f>
        <v>2.558374629640159E-3</v>
      </c>
      <c r="V40" s="172">
        <f>SUM('PRODUKTIVITAS HARIAN'!EE85:EE87)</f>
        <v>0</v>
      </c>
      <c r="W40" s="170">
        <f>SUM('PRODUKTIVITAS HARIAN'!EF85:EF87)</f>
        <v>0</v>
      </c>
      <c r="X40" s="171">
        <f>SUM('PRODUKTIVITAS HARIAN'!EG85:EG87)</f>
        <v>0</v>
      </c>
      <c r="Y40" s="171">
        <f>SUM('PRODUKTIVITAS HARIAN'!EH85:EH87)</f>
        <v>0</v>
      </c>
      <c r="Z40" s="173">
        <f>SUM('PRODUKTIVITAS HARIAN'!EI85:EI87)</f>
        <v>0</v>
      </c>
      <c r="AA40" s="170">
        <f>SUM('PRODUKTIVITAS HARIAN'!EJ85:EJ87)</f>
        <v>0</v>
      </c>
      <c r="AB40" s="172">
        <f>SUM('PRODUKTIVITAS HARIAN'!EK85:EK87)</f>
        <v>0</v>
      </c>
      <c r="AC40" s="174"/>
    </row>
    <row r="41" spans="1:29" ht="12.75" customHeight="1" x14ac:dyDescent="0.2">
      <c r="A41" s="129" t="s">
        <v>244</v>
      </c>
      <c r="B41" s="75" t="str">
        <f>'BOBOT PEK'!C135</f>
        <v>PEKERJAAN INTERIOR</v>
      </c>
      <c r="C41" s="155"/>
      <c r="D41" s="155"/>
      <c r="E41" s="155"/>
      <c r="F41" s="155"/>
      <c r="G41" s="155"/>
      <c r="H41" s="155"/>
      <c r="I41" s="156" t="s">
        <v>605</v>
      </c>
      <c r="J41" s="155"/>
      <c r="K41" s="157"/>
      <c r="L41" s="130">
        <f>'BOBOT PEK'!J144</f>
        <v>1.5227445795618224</v>
      </c>
      <c r="M41" s="158"/>
      <c r="N41" s="159"/>
      <c r="O41" s="160"/>
      <c r="P41" s="160"/>
      <c r="Q41" s="161"/>
      <c r="R41" s="159"/>
      <c r="S41" s="160">
        <f>L41/4</f>
        <v>0.3806861448904556</v>
      </c>
      <c r="T41" s="160">
        <f>S41</f>
        <v>0.3806861448904556</v>
      </c>
      <c r="U41" s="160">
        <f>T41</f>
        <v>0.3806861448904556</v>
      </c>
      <c r="V41" s="161">
        <f>U41</f>
        <v>0.3806861448904556</v>
      </c>
      <c r="W41" s="159"/>
      <c r="X41" s="160"/>
      <c r="Y41" s="160"/>
      <c r="Z41" s="162"/>
      <c r="AA41" s="159"/>
      <c r="AB41" s="161"/>
      <c r="AC41" s="128"/>
    </row>
    <row r="42" spans="1:29" s="175" customFormat="1" ht="12.75" customHeight="1" x14ac:dyDescent="0.2">
      <c r="A42" s="163"/>
      <c r="B42" s="177"/>
      <c r="C42" s="165"/>
      <c r="D42" s="165"/>
      <c r="E42" s="165"/>
      <c r="F42" s="165"/>
      <c r="G42" s="165"/>
      <c r="H42" s="165"/>
      <c r="I42" s="166" t="s">
        <v>606</v>
      </c>
      <c r="J42" s="165"/>
      <c r="K42" s="167"/>
      <c r="L42" s="168">
        <f>SUM(M42:AB42)</f>
        <v>0.54861785558003562</v>
      </c>
      <c r="M42" s="169">
        <f>SUM('PRODUKTIVITAS HARIAN'!DV88:DV95)</f>
        <v>0</v>
      </c>
      <c r="N42" s="170">
        <f>SUM('PRODUKTIVITAS HARIAN'!DW88:DW95)</f>
        <v>0</v>
      </c>
      <c r="O42" s="171">
        <f>SUM('PRODUKTIVITAS HARIAN'!DX88:DX95)</f>
        <v>0</v>
      </c>
      <c r="P42" s="171">
        <f>SUM('PRODUKTIVITAS HARIAN'!DY88:DY95)</f>
        <v>0</v>
      </c>
      <c r="Q42" s="172">
        <f>SUM('PRODUKTIVITAS HARIAN'!DZ88:DZ95)</f>
        <v>0</v>
      </c>
      <c r="R42" s="170">
        <f>SUM('PRODUKTIVITAS HARIAN'!EA88:EA95)</f>
        <v>0</v>
      </c>
      <c r="S42" s="171">
        <f>SUM('PRODUKTIVITAS HARIAN'!EB88:EB95)</f>
        <v>0.35085549670885141</v>
      </c>
      <c r="T42" s="171">
        <f>SUM('PRODUKTIVITAS HARIAN'!EC88:EC95)</f>
        <v>0</v>
      </c>
      <c r="U42" s="171">
        <f>SUM('PRODUKTIVITAS HARIAN'!ED88:ED95)</f>
        <v>0.19776235887118426</v>
      </c>
      <c r="V42" s="172">
        <f>SUM('PRODUKTIVITAS HARIAN'!EE88:EE95)</f>
        <v>0</v>
      </c>
      <c r="W42" s="170">
        <f>SUM('PRODUKTIVITAS HARIAN'!EF88:EF95)</f>
        <v>0</v>
      </c>
      <c r="X42" s="171">
        <f>SUM('PRODUKTIVITAS HARIAN'!EG88:EG95)</f>
        <v>0</v>
      </c>
      <c r="Y42" s="171">
        <f>SUM('PRODUKTIVITAS HARIAN'!EH88:EH95)</f>
        <v>0</v>
      </c>
      <c r="Z42" s="173">
        <f>SUM('PRODUKTIVITAS HARIAN'!EI88:EI95)</f>
        <v>0</v>
      </c>
      <c r="AA42" s="170">
        <f>SUM('PRODUKTIVITAS HARIAN'!EJ88:EJ95)</f>
        <v>0</v>
      </c>
      <c r="AB42" s="172">
        <f>SUM('PRODUKTIVITAS HARIAN'!EK88:EK95)</f>
        <v>0</v>
      </c>
      <c r="AC42" s="174"/>
    </row>
    <row r="43" spans="1:29" ht="12.75" customHeight="1" x14ac:dyDescent="0.2">
      <c r="A43" s="122" t="s">
        <v>592</v>
      </c>
      <c r="B43" s="132" t="str">
        <f>'BOBOT PEK'!B160</f>
        <v>Pekerjaan Gudang Atas</v>
      </c>
      <c r="C43" s="133"/>
      <c r="D43" s="133"/>
      <c r="E43" s="133"/>
      <c r="F43" s="133"/>
      <c r="G43" s="133"/>
      <c r="H43" s="133"/>
      <c r="I43" s="133"/>
      <c r="J43" s="133"/>
      <c r="K43" s="134"/>
      <c r="L43" s="135"/>
      <c r="M43" s="158"/>
      <c r="N43" s="159"/>
      <c r="O43" s="160"/>
      <c r="P43" s="160"/>
      <c r="Q43" s="161"/>
      <c r="R43" s="159"/>
      <c r="S43" s="160"/>
      <c r="T43" s="160"/>
      <c r="U43" s="160"/>
      <c r="V43" s="161"/>
      <c r="W43" s="159"/>
      <c r="X43" s="160"/>
      <c r="Y43" s="160"/>
      <c r="Z43" s="162"/>
      <c r="AA43" s="159"/>
      <c r="AB43" s="161"/>
      <c r="AC43" s="128"/>
    </row>
    <row r="44" spans="1:29" ht="12.75" customHeight="1" x14ac:dyDescent="0.2">
      <c r="A44" s="129" t="s">
        <v>38</v>
      </c>
      <c r="B44" s="148" t="str">
        <f>'BOBOT PEK'!C166</f>
        <v>PEKERJAAN PERSIAPAN</v>
      </c>
      <c r="C44" s="155"/>
      <c r="D44" s="155"/>
      <c r="E44" s="155"/>
      <c r="F44" s="155"/>
      <c r="G44" s="155"/>
      <c r="H44" s="155"/>
      <c r="I44" s="156" t="s">
        <v>605</v>
      </c>
      <c r="J44" s="137"/>
      <c r="K44" s="138"/>
      <c r="L44" s="130">
        <f>'BOBOT PEK'!J172</f>
        <v>0.3080283054086751</v>
      </c>
      <c r="M44" s="158"/>
      <c r="N44" s="159"/>
      <c r="O44" s="160"/>
      <c r="P44" s="160"/>
      <c r="Q44" s="161"/>
      <c r="R44" s="159"/>
      <c r="S44" s="160"/>
      <c r="T44" s="160"/>
      <c r="U44" s="160">
        <f>L44</f>
        <v>0.3080283054086751</v>
      </c>
      <c r="V44" s="161"/>
      <c r="W44" s="159"/>
      <c r="X44" s="160"/>
      <c r="Y44" s="160"/>
      <c r="Z44" s="162"/>
      <c r="AA44" s="159"/>
      <c r="AB44" s="161"/>
      <c r="AC44" s="128"/>
    </row>
    <row r="45" spans="1:29" s="175" customFormat="1" ht="12.75" customHeight="1" x14ac:dyDescent="0.2">
      <c r="A45" s="163"/>
      <c r="B45" s="177"/>
      <c r="C45" s="165"/>
      <c r="D45" s="165"/>
      <c r="E45" s="165"/>
      <c r="F45" s="165"/>
      <c r="G45" s="165"/>
      <c r="H45" s="165"/>
      <c r="I45" s="166" t="s">
        <v>606</v>
      </c>
      <c r="J45" s="178"/>
      <c r="K45" s="179"/>
      <c r="L45" s="168">
        <f>SUM(M45:AB45)</f>
        <v>0.29953450163826978</v>
      </c>
      <c r="M45" s="169">
        <f>SUM('PRODUKTIVITAS HARIAN'!DV97:DV101)</f>
        <v>0</v>
      </c>
      <c r="N45" s="170">
        <f>SUM('PRODUKTIVITAS HARIAN'!DW97:DW101)</f>
        <v>0</v>
      </c>
      <c r="O45" s="171">
        <f>SUM('PRODUKTIVITAS HARIAN'!DX97:DX101)</f>
        <v>0</v>
      </c>
      <c r="P45" s="171">
        <f>SUM('PRODUKTIVITAS HARIAN'!DY97:DY101)</f>
        <v>0</v>
      </c>
      <c r="Q45" s="172">
        <f>SUM('PRODUKTIVITAS HARIAN'!DZ97:DZ101)</f>
        <v>0</v>
      </c>
      <c r="R45" s="170">
        <f>SUM('PRODUKTIVITAS HARIAN'!EA97:EA101)</f>
        <v>0.21766651348978472</v>
      </c>
      <c r="S45" s="171">
        <f>SUM('PRODUKTIVITAS HARIAN'!EB97:EB101)</f>
        <v>2.5583746296401588E-2</v>
      </c>
      <c r="T45" s="171">
        <f>SUM('PRODUKTIVITAS HARIAN'!EC97:EC101)</f>
        <v>2.5583746296401588E-2</v>
      </c>
      <c r="U45" s="171">
        <f>SUM('PRODUKTIVITAS HARIAN'!ED97:ED101)</f>
        <v>2.5583746296401588E-2</v>
      </c>
      <c r="V45" s="172">
        <f>SUM('PRODUKTIVITAS HARIAN'!EE97:EE101)</f>
        <v>5.1167492592803171E-3</v>
      </c>
      <c r="W45" s="170">
        <f>SUM('PRODUKTIVITAS HARIAN'!EF97:EF101)</f>
        <v>0</v>
      </c>
      <c r="X45" s="171">
        <f>SUM('PRODUKTIVITAS HARIAN'!EG97:EG101)</f>
        <v>0</v>
      </c>
      <c r="Y45" s="171">
        <f>SUM('PRODUKTIVITAS HARIAN'!EH97:EH101)</f>
        <v>0</v>
      </c>
      <c r="Z45" s="173">
        <f>SUM('PRODUKTIVITAS HARIAN'!EI97:EI101)</f>
        <v>0</v>
      </c>
      <c r="AA45" s="170">
        <f>SUM('PRODUKTIVITAS HARIAN'!EJ97:EJ101)</f>
        <v>0</v>
      </c>
      <c r="AB45" s="172">
        <f>SUM('PRODUKTIVITAS HARIAN'!EK97:EK101)</f>
        <v>0</v>
      </c>
      <c r="AC45" s="174"/>
    </row>
    <row r="46" spans="1:29" ht="12.75" customHeight="1" x14ac:dyDescent="0.2">
      <c r="A46" s="129" t="s">
        <v>49</v>
      </c>
      <c r="B46" s="148" t="str">
        <f>'BOBOT PEK'!C174</f>
        <v>LAPANGAN BADMINTOON</v>
      </c>
      <c r="C46" s="155"/>
      <c r="D46" s="155"/>
      <c r="E46" s="155"/>
      <c r="F46" s="155"/>
      <c r="G46" s="155"/>
      <c r="H46" s="155"/>
      <c r="I46" s="156" t="s">
        <v>605</v>
      </c>
      <c r="J46" s="137"/>
      <c r="K46" s="138"/>
      <c r="L46" s="130">
        <f>'BOBOT PEK'!J180</f>
        <v>1.4145253327280438</v>
      </c>
      <c r="M46" s="158"/>
      <c r="N46" s="159"/>
      <c r="O46" s="160"/>
      <c r="P46" s="160"/>
      <c r="Q46" s="161"/>
      <c r="R46" s="159"/>
      <c r="S46" s="160"/>
      <c r="T46" s="160"/>
      <c r="U46" s="160">
        <f>L46/4</f>
        <v>0.35363133318201095</v>
      </c>
      <c r="V46" s="161">
        <f>L46/4</f>
        <v>0.35363133318201095</v>
      </c>
      <c r="W46" s="159">
        <f>V46</f>
        <v>0.35363133318201095</v>
      </c>
      <c r="X46" s="160">
        <f>W46</f>
        <v>0.35363133318201095</v>
      </c>
      <c r="Y46" s="160"/>
      <c r="Z46" s="162"/>
      <c r="AA46" s="159"/>
      <c r="AB46" s="161"/>
      <c r="AC46" s="128"/>
    </row>
    <row r="47" spans="1:29" s="175" customFormat="1" ht="12.75" customHeight="1" x14ac:dyDescent="0.2">
      <c r="A47" s="163"/>
      <c r="B47" s="177"/>
      <c r="C47" s="165"/>
      <c r="D47" s="165"/>
      <c r="E47" s="165"/>
      <c r="F47" s="165"/>
      <c r="G47" s="165"/>
      <c r="H47" s="165"/>
      <c r="I47" s="166" t="s">
        <v>606</v>
      </c>
      <c r="J47" s="178"/>
      <c r="K47" s="179"/>
      <c r="L47" s="168">
        <f>SUM(M47:AB47)</f>
        <v>0.44745972272406376</v>
      </c>
      <c r="M47" s="169">
        <f>SUM('PRODUKTIVITAS HARIAN'!DV102:DV106)</f>
        <v>0</v>
      </c>
      <c r="N47" s="170">
        <f>SUM('PRODUKTIVITAS HARIAN'!DW102:DW106)</f>
        <v>0</v>
      </c>
      <c r="O47" s="171">
        <f>SUM('PRODUKTIVITAS HARIAN'!DX102:DX106)</f>
        <v>0</v>
      </c>
      <c r="P47" s="171">
        <f>SUM('PRODUKTIVITAS HARIAN'!DY102:DY106)</f>
        <v>0</v>
      </c>
      <c r="Q47" s="172">
        <f>SUM('PRODUKTIVITAS HARIAN'!DZ102:DZ106)</f>
        <v>0</v>
      </c>
      <c r="R47" s="170">
        <f>SUM('PRODUKTIVITAS HARIAN'!EA102:EA106)</f>
        <v>0</v>
      </c>
      <c r="S47" s="171">
        <f>SUM('PRODUKTIVITAS HARIAN'!EB102:EB106)</f>
        <v>7.393702679660058E-2</v>
      </c>
      <c r="T47" s="171">
        <f>SUM('PRODUKTIVITAS HARIAN'!EC102:EC106)</f>
        <v>0</v>
      </c>
      <c r="U47" s="171">
        <f>SUM('PRODUKTIVITAS HARIAN'!ED102:ED106)</f>
        <v>0</v>
      </c>
      <c r="V47" s="172">
        <f>SUM('PRODUKTIVITAS HARIAN'!EE102:EE106)</f>
        <v>0.37352269592746318</v>
      </c>
      <c r="W47" s="170">
        <f>SUM('PRODUKTIVITAS HARIAN'!EF102:EF106)</f>
        <v>0</v>
      </c>
      <c r="X47" s="171">
        <f>SUM('PRODUKTIVITAS HARIAN'!EG102:EG106)</f>
        <v>0</v>
      </c>
      <c r="Y47" s="171">
        <f>SUM('PRODUKTIVITAS HARIAN'!EH102:EH106)</f>
        <v>0</v>
      </c>
      <c r="Z47" s="173">
        <f>SUM('PRODUKTIVITAS HARIAN'!EI102:EI106)</f>
        <v>0</v>
      </c>
      <c r="AA47" s="170">
        <f>SUM('PRODUKTIVITAS HARIAN'!EJ102:EJ106)</f>
        <v>0</v>
      </c>
      <c r="AB47" s="172">
        <f>SUM('PRODUKTIVITAS HARIAN'!EK102:EK106)</f>
        <v>0</v>
      </c>
      <c r="AC47" s="174"/>
    </row>
    <row r="48" spans="1:29" ht="12.75" customHeight="1" x14ac:dyDescent="0.2">
      <c r="A48" s="129" t="s">
        <v>80</v>
      </c>
      <c r="B48" s="148" t="str">
        <f>'BOBOT PEK'!C192</f>
        <v>PEKERJAAN AREA GUDANG ATAS</v>
      </c>
      <c r="C48" s="155"/>
      <c r="D48" s="155"/>
      <c r="E48" s="155"/>
      <c r="F48" s="155"/>
      <c r="G48" s="155"/>
      <c r="H48" s="155"/>
      <c r="I48" s="156" t="s">
        <v>605</v>
      </c>
      <c r="J48" s="137"/>
      <c r="K48" s="138"/>
      <c r="L48" s="130">
        <f>'BOBOT PEK'!J204</f>
        <v>7.4696864061603714</v>
      </c>
      <c r="M48" s="158"/>
      <c r="N48" s="159"/>
      <c r="O48" s="160"/>
      <c r="P48" s="160"/>
      <c r="Q48" s="161"/>
      <c r="R48" s="159"/>
      <c r="S48" s="160"/>
      <c r="T48" s="160"/>
      <c r="U48" s="160">
        <f>L48/6</f>
        <v>1.2449477343600619</v>
      </c>
      <c r="V48" s="161">
        <f>U48</f>
        <v>1.2449477343600619</v>
      </c>
      <c r="W48" s="159">
        <f>L48/6</f>
        <v>1.2449477343600619</v>
      </c>
      <c r="X48" s="160">
        <f>W48</f>
        <v>1.2449477343600619</v>
      </c>
      <c r="Y48" s="160">
        <f>X48</f>
        <v>1.2449477343600619</v>
      </c>
      <c r="Z48" s="162">
        <f>Y48</f>
        <v>1.2449477343600619</v>
      </c>
      <c r="AA48" s="159"/>
      <c r="AB48" s="161"/>
      <c r="AC48" s="128"/>
    </row>
    <row r="49" spans="1:29" s="175" customFormat="1" ht="12.75" customHeight="1" x14ac:dyDescent="0.2">
      <c r="A49" s="163"/>
      <c r="B49" s="177"/>
      <c r="C49" s="165"/>
      <c r="D49" s="165"/>
      <c r="E49" s="165"/>
      <c r="F49" s="165"/>
      <c r="G49" s="165"/>
      <c r="H49" s="165"/>
      <c r="I49" s="166" t="s">
        <v>606</v>
      </c>
      <c r="J49" s="178"/>
      <c r="K49" s="179"/>
      <c r="L49" s="168">
        <f>SUM(M49:AB49)</f>
        <v>5.5140648392634333</v>
      </c>
      <c r="M49" s="169">
        <f>SUM('PRODUKTIVITAS HARIAN'!DV107:DV116)</f>
        <v>0</v>
      </c>
      <c r="N49" s="170">
        <f>SUM('PRODUKTIVITAS HARIAN'!DW107:DW116)</f>
        <v>0</v>
      </c>
      <c r="O49" s="171">
        <f>SUM('PRODUKTIVITAS HARIAN'!DX107:DX116)</f>
        <v>0</v>
      </c>
      <c r="P49" s="171">
        <f>SUM('PRODUKTIVITAS HARIAN'!DY107:DY116)</f>
        <v>0</v>
      </c>
      <c r="Q49" s="172">
        <f>SUM('PRODUKTIVITAS HARIAN'!DZ107:DZ116)</f>
        <v>1.1318249361528061</v>
      </c>
      <c r="R49" s="170">
        <f>SUM('PRODUKTIVITAS HARIAN'!EA107:EA116)</f>
        <v>1.2759893465330292</v>
      </c>
      <c r="S49" s="171">
        <f>SUM('PRODUKTIVITAS HARIAN'!EB107:EB116)</f>
        <v>2.4561675631860345</v>
      </c>
      <c r="T49" s="171">
        <f>SUM('PRODUKTIVITAS HARIAN'!EC107:EC116)</f>
        <v>0.51576832533545602</v>
      </c>
      <c r="U49" s="171">
        <f>SUM('PRODUKTIVITAS HARIAN'!ED107:ED116)</f>
        <v>0</v>
      </c>
      <c r="V49" s="172">
        <f>SUM('PRODUKTIVITAS HARIAN'!EE107:EE116)</f>
        <v>0.13431466805610834</v>
      </c>
      <c r="W49" s="170">
        <f>SUM('PRODUKTIVITAS HARIAN'!EF107:EF116)</f>
        <v>0</v>
      </c>
      <c r="X49" s="171">
        <f>SUM('PRODUKTIVITAS HARIAN'!EG107:EG116)</f>
        <v>0</v>
      </c>
      <c r="Y49" s="171">
        <f>SUM('PRODUKTIVITAS HARIAN'!EH107:EH116)</f>
        <v>0</v>
      </c>
      <c r="Z49" s="173">
        <f>SUM('PRODUKTIVITAS HARIAN'!EI107:EI116)</f>
        <v>0</v>
      </c>
      <c r="AA49" s="170">
        <f>SUM('PRODUKTIVITAS HARIAN'!EJ107:EJ116)</f>
        <v>0</v>
      </c>
      <c r="AB49" s="172">
        <f>SUM('PRODUKTIVITAS HARIAN'!EK107:EK116)</f>
        <v>0</v>
      </c>
      <c r="AC49" s="174"/>
    </row>
    <row r="50" spans="1:29" ht="12.75" customHeight="1" x14ac:dyDescent="0.2">
      <c r="A50" s="122" t="s">
        <v>593</v>
      </c>
      <c r="B50" s="278" t="str">
        <f>'BOBOT PEK'!B207</f>
        <v>Toko OT 24 Jam</v>
      </c>
      <c r="C50" s="278"/>
      <c r="D50" s="278"/>
      <c r="E50" s="278"/>
      <c r="F50" s="278"/>
      <c r="G50" s="278"/>
      <c r="H50" s="278"/>
      <c r="I50" s="278"/>
      <c r="J50" s="137"/>
      <c r="K50" s="138"/>
      <c r="L50" s="130"/>
      <c r="M50" s="158"/>
      <c r="N50" s="159"/>
      <c r="O50" s="160"/>
      <c r="P50" s="160"/>
      <c r="Q50" s="161"/>
      <c r="R50" s="159"/>
      <c r="S50" s="160"/>
      <c r="T50" s="160"/>
      <c r="U50" s="160"/>
      <c r="V50" s="161"/>
      <c r="W50" s="159"/>
      <c r="X50" s="160"/>
      <c r="Y50" s="160"/>
      <c r="Z50" s="162"/>
      <c r="AA50" s="159"/>
      <c r="AB50" s="161"/>
      <c r="AC50" s="128"/>
    </row>
    <row r="51" spans="1:29" ht="12.75" customHeight="1" x14ac:dyDescent="0.2">
      <c r="A51" s="129" t="s">
        <v>38</v>
      </c>
      <c r="B51" s="148" t="str">
        <f>'BOBOT PEK'!C211</f>
        <v>Pekerjaan Persiapan</v>
      </c>
      <c r="C51" s="155"/>
      <c r="D51" s="155"/>
      <c r="E51" s="155"/>
      <c r="F51" s="155"/>
      <c r="G51" s="155"/>
      <c r="H51" s="155"/>
      <c r="I51" s="156" t="s">
        <v>605</v>
      </c>
      <c r="J51" s="137"/>
      <c r="K51" s="138"/>
      <c r="L51" s="130">
        <f>'BOBOT PEK'!J216</f>
        <v>0.31263337974202737</v>
      </c>
      <c r="M51" s="158"/>
      <c r="N51" s="159"/>
      <c r="O51" s="160"/>
      <c r="P51" s="160"/>
      <c r="Q51" s="161"/>
      <c r="R51" s="159"/>
      <c r="S51" s="160"/>
      <c r="T51" s="160"/>
      <c r="U51" s="160">
        <f>L51</f>
        <v>0.31263337974202737</v>
      </c>
      <c r="V51" s="161"/>
      <c r="W51" s="159"/>
      <c r="X51" s="160"/>
      <c r="Y51" s="160"/>
      <c r="Z51" s="162"/>
      <c r="AA51" s="159"/>
      <c r="AB51" s="161"/>
      <c r="AC51" s="128"/>
    </row>
    <row r="52" spans="1:29" s="175" customFormat="1" ht="12.75" customHeight="1" x14ac:dyDescent="0.2">
      <c r="A52" s="163"/>
      <c r="B52" s="177"/>
      <c r="C52" s="165"/>
      <c r="D52" s="165"/>
      <c r="E52" s="165"/>
      <c r="F52" s="165"/>
      <c r="G52" s="165"/>
      <c r="H52" s="165"/>
      <c r="I52" s="166" t="s">
        <v>606</v>
      </c>
      <c r="J52" s="178"/>
      <c r="K52" s="179"/>
      <c r="L52" s="168">
        <f>SUM(M52:AB52)</f>
        <v>0.31263337974202737</v>
      </c>
      <c r="M52" s="169">
        <f>SUM('PRODUKTIVITAS HARIAN'!DV117:DV120)</f>
        <v>3.6584757203854269E-2</v>
      </c>
      <c r="N52" s="170">
        <f>SUM('PRODUKTIVITAS HARIAN'!DW117:DW120)</f>
        <v>0</v>
      </c>
      <c r="O52" s="171">
        <f>SUM('PRODUKTIVITAS HARIAN'!DX117:DX120)</f>
        <v>4.3236531240918681E-3</v>
      </c>
      <c r="P52" s="171">
        <f>SUM('PRODUKTIVITAS HARIAN'!DY117:DY120)</f>
        <v>5.48771358057814E-2</v>
      </c>
      <c r="Q52" s="172">
        <f>SUM('PRODUKTIVITAS HARIAN'!DZ117:DZ120)</f>
        <v>0</v>
      </c>
      <c r="R52" s="170">
        <f>SUM('PRODUKTIVITAS HARIAN'!EA117:EA120)</f>
        <v>0.21684783360829984</v>
      </c>
      <c r="S52" s="171">
        <f>SUM('PRODUKTIVITAS HARIAN'!EB117:EB120)</f>
        <v>0</v>
      </c>
      <c r="T52" s="171">
        <f>SUM('PRODUKTIVITAS HARIAN'!EC117:EC120)</f>
        <v>0</v>
      </c>
      <c r="U52" s="171">
        <f>SUM('PRODUKTIVITAS HARIAN'!ED117:ED120)</f>
        <v>0</v>
      </c>
      <c r="V52" s="172">
        <f>SUM('PRODUKTIVITAS HARIAN'!EE117:EE120)</f>
        <v>0</v>
      </c>
      <c r="W52" s="170">
        <f>SUM('PRODUKTIVITAS HARIAN'!EF117:EF120)</f>
        <v>0</v>
      </c>
      <c r="X52" s="171">
        <f>SUM('PRODUKTIVITAS HARIAN'!EG117:EG120)</f>
        <v>0</v>
      </c>
      <c r="Y52" s="171">
        <f>SUM('PRODUKTIVITAS HARIAN'!EH117:EH120)</f>
        <v>0</v>
      </c>
      <c r="Z52" s="173">
        <f>SUM('PRODUKTIVITAS HARIAN'!EI117:EI120)</f>
        <v>0</v>
      </c>
      <c r="AA52" s="170">
        <f>SUM('PRODUKTIVITAS HARIAN'!EJ117:EJ120)</f>
        <v>0</v>
      </c>
      <c r="AB52" s="172">
        <f>SUM('PRODUKTIVITAS HARIAN'!EK117:EK120)</f>
        <v>0</v>
      </c>
      <c r="AC52" s="174"/>
    </row>
    <row r="53" spans="1:29" ht="12.75" customHeight="1" x14ac:dyDescent="0.2">
      <c r="A53" s="129" t="s">
        <v>49</v>
      </c>
      <c r="B53" s="136" t="str">
        <f>'BOBOT PEK'!C217</f>
        <v>Pekerjaan Struktur - pondasi</v>
      </c>
      <c r="C53" s="137"/>
      <c r="D53" s="137"/>
      <c r="E53" s="137"/>
      <c r="F53" s="137"/>
      <c r="G53" s="137"/>
      <c r="H53" s="137"/>
      <c r="I53" s="156" t="s">
        <v>605</v>
      </c>
      <c r="J53" s="137"/>
      <c r="K53" s="138"/>
      <c r="L53" s="130">
        <f>'BOBOT PEK'!J223</f>
        <v>0.57269216084494956</v>
      </c>
      <c r="M53" s="158"/>
      <c r="N53" s="159"/>
      <c r="O53" s="160"/>
      <c r="P53" s="160"/>
      <c r="Q53" s="161"/>
      <c r="R53" s="159"/>
      <c r="S53" s="160"/>
      <c r="T53" s="160"/>
      <c r="U53" s="160"/>
      <c r="V53" s="161">
        <f>L53/3</f>
        <v>0.19089738694831651</v>
      </c>
      <c r="W53" s="159">
        <f>V53</f>
        <v>0.19089738694831651</v>
      </c>
      <c r="X53" s="160">
        <f>W53</f>
        <v>0.19089738694831651</v>
      </c>
      <c r="Y53" s="160"/>
      <c r="Z53" s="162"/>
      <c r="AA53" s="159"/>
      <c r="AB53" s="161"/>
      <c r="AC53" s="128"/>
    </row>
    <row r="54" spans="1:29" s="175" customFormat="1" ht="12.75" customHeight="1" x14ac:dyDescent="0.2">
      <c r="A54" s="163"/>
      <c r="B54" s="177"/>
      <c r="C54" s="178"/>
      <c r="D54" s="178"/>
      <c r="E54" s="178"/>
      <c r="F54" s="178"/>
      <c r="G54" s="178"/>
      <c r="H54" s="178"/>
      <c r="I54" s="166" t="s">
        <v>606</v>
      </c>
      <c r="J54" s="178"/>
      <c r="K54" s="179"/>
      <c r="L54" s="168">
        <f>SUM(M54:AB54)</f>
        <v>0.57269216084494956</v>
      </c>
      <c r="M54" s="169">
        <f>SUM('PRODUKTIVITAS HARIAN'!DV121:DV125)</f>
        <v>0</v>
      </c>
      <c r="N54" s="170">
        <f>SUM('PRODUKTIVITAS HARIAN'!DW121:DW125)</f>
        <v>0</v>
      </c>
      <c r="O54" s="171">
        <f>SUM('PRODUKTIVITAS HARIAN'!DX121:DX125)</f>
        <v>9.9776610555966198E-3</v>
      </c>
      <c r="P54" s="171">
        <f>SUM('PRODUKTIVITAS HARIAN'!DY121:DY125)</f>
        <v>0</v>
      </c>
      <c r="Q54" s="172">
        <f>SUM('PRODUKTIVITAS HARIAN'!DZ121:DZ125)</f>
        <v>7.1506570898442451E-2</v>
      </c>
      <c r="R54" s="170">
        <f>SUM('PRODUKTIVITAS HARIAN'!EA121:EA125)</f>
        <v>0</v>
      </c>
      <c r="S54" s="171">
        <f>SUM('PRODUKTIVITAS HARIAN'!EB121:EB125)</f>
        <v>0</v>
      </c>
      <c r="T54" s="171">
        <f>SUM('PRODUKTIVITAS HARIAN'!EC121:EC125)</f>
        <v>0</v>
      </c>
      <c r="U54" s="171">
        <f>SUM('PRODUKTIVITAS HARIAN'!ED121:ED125)</f>
        <v>0</v>
      </c>
      <c r="V54" s="172">
        <f>SUM('PRODUKTIVITAS HARIAN'!EE121:EE125)</f>
        <v>0.49120792889091047</v>
      </c>
      <c r="W54" s="170">
        <f>SUM('PRODUKTIVITAS HARIAN'!EF121:EF125)</f>
        <v>0</v>
      </c>
      <c r="X54" s="171">
        <f>SUM('PRODUKTIVITAS HARIAN'!EG121:EG125)</f>
        <v>0</v>
      </c>
      <c r="Y54" s="171">
        <f>SUM('PRODUKTIVITAS HARIAN'!EH121:EH125)</f>
        <v>0</v>
      </c>
      <c r="Z54" s="173">
        <f>SUM('PRODUKTIVITAS HARIAN'!EI121:EI125)</f>
        <v>0</v>
      </c>
      <c r="AA54" s="170">
        <f>SUM('PRODUKTIVITAS HARIAN'!EJ121:EJ125)</f>
        <v>0</v>
      </c>
      <c r="AB54" s="172">
        <f>SUM('PRODUKTIVITAS HARIAN'!EK121:EK125)</f>
        <v>0</v>
      </c>
      <c r="AC54" s="174"/>
    </row>
    <row r="55" spans="1:29" ht="12.75" customHeight="1" x14ac:dyDescent="0.2">
      <c r="A55" s="129" t="s">
        <v>80</v>
      </c>
      <c r="B55" s="136" t="str">
        <f>'BOBOT PEK'!C224</f>
        <v>Pekerjaan Struktur - kolom</v>
      </c>
      <c r="C55" s="137"/>
      <c r="D55" s="137"/>
      <c r="E55" s="137"/>
      <c r="F55" s="137"/>
      <c r="G55" s="137"/>
      <c r="H55" s="137"/>
      <c r="I55" s="156" t="s">
        <v>605</v>
      </c>
      <c r="J55" s="137"/>
      <c r="K55" s="138"/>
      <c r="L55" s="130">
        <f>'BOBOT PEK'!J227</f>
        <v>0.34384555022363733</v>
      </c>
      <c r="M55" s="158"/>
      <c r="N55" s="159"/>
      <c r="O55" s="160"/>
      <c r="P55" s="160"/>
      <c r="Q55" s="161"/>
      <c r="R55" s="159"/>
      <c r="S55" s="160"/>
      <c r="T55" s="160"/>
      <c r="U55" s="160"/>
      <c r="V55" s="161"/>
      <c r="W55" s="159">
        <f>L55/2</f>
        <v>0.17192277511181867</v>
      </c>
      <c r="X55" s="160">
        <f>W55</f>
        <v>0.17192277511181867</v>
      </c>
      <c r="Y55" s="160"/>
      <c r="Z55" s="162"/>
      <c r="AA55" s="159"/>
      <c r="AB55" s="161"/>
      <c r="AC55" s="128"/>
    </row>
    <row r="56" spans="1:29" s="175" customFormat="1" ht="12.75" customHeight="1" x14ac:dyDescent="0.2">
      <c r="A56" s="163"/>
      <c r="B56" s="177"/>
      <c r="C56" s="178"/>
      <c r="D56" s="178"/>
      <c r="E56" s="178"/>
      <c r="F56" s="178"/>
      <c r="G56" s="178"/>
      <c r="H56" s="178"/>
      <c r="I56" s="166" t="s">
        <v>606</v>
      </c>
      <c r="J56" s="178"/>
      <c r="K56" s="179"/>
      <c r="L56" s="168">
        <f>SUM(M56:AB56)</f>
        <v>0.34384555022363733</v>
      </c>
      <c r="M56" s="169">
        <f>SUM('PRODUKTIVITAS HARIAN'!DV126:DV127)</f>
        <v>0</v>
      </c>
      <c r="N56" s="170">
        <f>SUM('PRODUKTIVITAS HARIAN'!DW126:DW127)</f>
        <v>0</v>
      </c>
      <c r="O56" s="171">
        <f>SUM('PRODUKTIVITAS HARIAN'!DX126:DX127)</f>
        <v>0</v>
      </c>
      <c r="P56" s="171">
        <f>SUM('PRODUKTIVITAS HARIAN'!DY126:DY127)</f>
        <v>3.6840594666818285E-2</v>
      </c>
      <c r="Q56" s="172">
        <f>SUM('PRODUKTIVITAS HARIAN'!DZ126:DZ127)</f>
        <v>7.3681189333636571E-2</v>
      </c>
      <c r="R56" s="170">
        <f>SUM('PRODUKTIVITAS HARIAN'!EA126:EA127)</f>
        <v>0.23332376622318249</v>
      </c>
      <c r="S56" s="171">
        <f>SUM('PRODUKTIVITAS HARIAN'!EB126:EB127)</f>
        <v>0</v>
      </c>
      <c r="T56" s="171">
        <f>SUM('PRODUKTIVITAS HARIAN'!EC126:EC127)</f>
        <v>0</v>
      </c>
      <c r="U56" s="171">
        <f>SUM('PRODUKTIVITAS HARIAN'!ED126:ED127)</f>
        <v>0</v>
      </c>
      <c r="V56" s="172">
        <f>SUM('PRODUKTIVITAS HARIAN'!EE126:EE127)</f>
        <v>0</v>
      </c>
      <c r="W56" s="170">
        <f>SUM('PRODUKTIVITAS HARIAN'!EF126:EF127)</f>
        <v>0</v>
      </c>
      <c r="X56" s="171">
        <f>SUM('PRODUKTIVITAS HARIAN'!EG126:EG127)</f>
        <v>0</v>
      </c>
      <c r="Y56" s="171">
        <f>SUM('PRODUKTIVITAS HARIAN'!EH126:EH127)</f>
        <v>0</v>
      </c>
      <c r="Z56" s="173">
        <f>SUM('PRODUKTIVITAS HARIAN'!EI126:EI127)</f>
        <v>0</v>
      </c>
      <c r="AA56" s="170">
        <f>SUM('PRODUKTIVITAS HARIAN'!EJ126:EJ127)</f>
        <v>0</v>
      </c>
      <c r="AB56" s="172">
        <f>SUM('PRODUKTIVITAS HARIAN'!EK126:EK127)</f>
        <v>0</v>
      </c>
      <c r="AC56" s="174"/>
    </row>
    <row r="57" spans="1:29" ht="12.75" customHeight="1" x14ac:dyDescent="0.2">
      <c r="A57" s="129" t="s">
        <v>100</v>
      </c>
      <c r="B57" s="136" t="str">
        <f>'BOBOT PEK'!C228</f>
        <v>Pekerjaan Atap</v>
      </c>
      <c r="C57" s="137"/>
      <c r="D57" s="137"/>
      <c r="E57" s="137"/>
      <c r="F57" s="137"/>
      <c r="G57" s="137"/>
      <c r="H57" s="137"/>
      <c r="I57" s="156" t="s">
        <v>605</v>
      </c>
      <c r="J57" s="137"/>
      <c r="K57" s="138"/>
      <c r="L57" s="130">
        <f>'BOBOT PEK'!J231</f>
        <v>1.4490633902281858</v>
      </c>
      <c r="M57" s="158"/>
      <c r="N57" s="159"/>
      <c r="O57" s="160"/>
      <c r="P57" s="160"/>
      <c r="Q57" s="161"/>
      <c r="R57" s="159"/>
      <c r="S57" s="160"/>
      <c r="T57" s="160"/>
      <c r="U57" s="160"/>
      <c r="V57" s="161"/>
      <c r="W57" s="159">
        <f>L57/2</f>
        <v>0.72453169511409288</v>
      </c>
      <c r="X57" s="160">
        <f>W57</f>
        <v>0.72453169511409288</v>
      </c>
      <c r="Y57" s="160"/>
      <c r="Z57" s="162"/>
      <c r="AA57" s="159"/>
      <c r="AB57" s="161"/>
      <c r="AC57" s="128"/>
    </row>
    <row r="58" spans="1:29" s="175" customFormat="1" ht="12.75" customHeight="1" x14ac:dyDescent="0.2">
      <c r="A58" s="163"/>
      <c r="B58" s="177"/>
      <c r="C58" s="178"/>
      <c r="D58" s="178"/>
      <c r="E58" s="178"/>
      <c r="F58" s="178"/>
      <c r="G58" s="178"/>
      <c r="H58" s="178"/>
      <c r="I58" s="166" t="s">
        <v>606</v>
      </c>
      <c r="J58" s="178"/>
      <c r="K58" s="179"/>
      <c r="L58" s="168">
        <f>SUM(M58:AB58)</f>
        <v>0.83505347911454786</v>
      </c>
      <c r="M58" s="169">
        <f>SUM('PRODUKTIVITAS HARIAN'!DV128:DV129)</f>
        <v>0</v>
      </c>
      <c r="N58" s="170">
        <f>SUM('PRODUKTIVITAS HARIAN'!DW128:DW129)</f>
        <v>0</v>
      </c>
      <c r="O58" s="171">
        <f>SUM('PRODUKTIVITAS HARIAN'!DX128:DX129)</f>
        <v>0</v>
      </c>
      <c r="P58" s="171">
        <f>SUM('PRODUKTIVITAS HARIAN'!DY128:DY129)</f>
        <v>0</v>
      </c>
      <c r="Q58" s="172">
        <f>SUM('PRODUKTIVITAS HARIAN'!DZ128:DZ129)</f>
        <v>0</v>
      </c>
      <c r="R58" s="170">
        <f>SUM('PRODUKTIVITAS HARIAN'!EA128:EA129)</f>
        <v>0.50103208746872874</v>
      </c>
      <c r="S58" s="171">
        <f>SUM('PRODUKTIVITAS HARIAN'!EB128:EB129)</f>
        <v>0.17396947481553082</v>
      </c>
      <c r="T58" s="171">
        <f>SUM('PRODUKTIVITAS HARIAN'!EC128:EC129)</f>
        <v>0</v>
      </c>
      <c r="U58" s="171">
        <f>SUM('PRODUKTIVITAS HARIAN'!ED128:ED129)</f>
        <v>0</v>
      </c>
      <c r="V58" s="172">
        <f>SUM('PRODUKTIVITAS HARIAN'!EE128:EE129)</f>
        <v>0.16005191683028833</v>
      </c>
      <c r="W58" s="170">
        <f>SUM('PRODUKTIVITAS HARIAN'!EF128:EF129)</f>
        <v>0</v>
      </c>
      <c r="X58" s="171">
        <f>SUM('PRODUKTIVITAS HARIAN'!EG128:EG129)</f>
        <v>0</v>
      </c>
      <c r="Y58" s="171">
        <f>SUM('PRODUKTIVITAS HARIAN'!EH128:EH129)</f>
        <v>0</v>
      </c>
      <c r="Z58" s="173">
        <f>SUM('PRODUKTIVITAS HARIAN'!EI128:EI129)</f>
        <v>0</v>
      </c>
      <c r="AA58" s="170">
        <f>SUM('PRODUKTIVITAS HARIAN'!EJ128:EJ129)</f>
        <v>0</v>
      </c>
      <c r="AB58" s="172">
        <f>SUM('PRODUKTIVITAS HARIAN'!EK128:EK129)</f>
        <v>0</v>
      </c>
      <c r="AC58" s="174"/>
    </row>
    <row r="59" spans="1:29" ht="12.75" customHeight="1" x14ac:dyDescent="0.2">
      <c r="A59" s="129" t="s">
        <v>112</v>
      </c>
      <c r="B59" s="136" t="str">
        <f>'BOBOT PEK'!C232</f>
        <v>Pekerjaan Arsitektur</v>
      </c>
      <c r="C59" s="137"/>
      <c r="D59" s="137"/>
      <c r="E59" s="137"/>
      <c r="F59" s="137"/>
      <c r="G59" s="137"/>
      <c r="H59" s="137"/>
      <c r="I59" s="156" t="s">
        <v>605</v>
      </c>
      <c r="J59" s="137"/>
      <c r="K59" s="138"/>
      <c r="L59" s="130">
        <f>'BOBOT PEK'!J246</f>
        <v>3.7531355816821126</v>
      </c>
      <c r="M59" s="158"/>
      <c r="N59" s="159"/>
      <c r="O59" s="160"/>
      <c r="P59" s="160"/>
      <c r="Q59" s="161"/>
      <c r="R59" s="159"/>
      <c r="S59" s="160"/>
      <c r="T59" s="160"/>
      <c r="U59" s="160"/>
      <c r="V59" s="161"/>
      <c r="W59" s="159">
        <f>L59/4</f>
        <v>0.93828389542052815</v>
      </c>
      <c r="X59" s="160">
        <f>W59</f>
        <v>0.93828389542052815</v>
      </c>
      <c r="Y59" s="160">
        <f>X59</f>
        <v>0.93828389542052815</v>
      </c>
      <c r="Z59" s="162">
        <f>Y59</f>
        <v>0.93828389542052815</v>
      </c>
      <c r="AA59" s="159"/>
      <c r="AB59" s="161"/>
      <c r="AC59" s="128"/>
    </row>
    <row r="60" spans="1:29" s="175" customFormat="1" ht="12.75" customHeight="1" x14ac:dyDescent="0.2">
      <c r="A60" s="163"/>
      <c r="B60" s="177"/>
      <c r="C60" s="178"/>
      <c r="D60" s="178"/>
      <c r="E60" s="178"/>
      <c r="F60" s="178"/>
      <c r="G60" s="178"/>
      <c r="H60" s="178"/>
      <c r="I60" s="166" t="s">
        <v>606</v>
      </c>
      <c r="J60" s="178"/>
      <c r="K60" s="179"/>
      <c r="L60" s="168">
        <f>SUM(M60:AB60)</f>
        <v>1.6729723378142927</v>
      </c>
      <c r="M60" s="169">
        <f>SUM('PRODUKTIVITAS HARIAN'!DV130:DV142)</f>
        <v>0</v>
      </c>
      <c r="N60" s="170">
        <f>SUM('PRODUKTIVITAS HARIAN'!DW130:DW142)</f>
        <v>0</v>
      </c>
      <c r="O60" s="171">
        <f>SUM('PRODUKTIVITAS HARIAN'!DX130:DX142)</f>
        <v>0</v>
      </c>
      <c r="P60" s="171">
        <f>SUM('PRODUKTIVITAS HARIAN'!DY130:DY142)</f>
        <v>0</v>
      </c>
      <c r="Q60" s="172">
        <f>SUM('PRODUKTIVITAS HARIAN'!DZ130:DZ142)</f>
        <v>0.57038962367827339</v>
      </c>
      <c r="R60" s="170">
        <f>SUM('PRODUKTIVITAS HARIAN'!EA130:EA142)</f>
        <v>0.27937450955670534</v>
      </c>
      <c r="S60" s="171">
        <f>SUM('PRODUKTIVITAS HARIAN'!EB130:EB142)</f>
        <v>4.2213181389062618E-2</v>
      </c>
      <c r="T60" s="171">
        <f>SUM('PRODUKTIVITAS HARIAN'!EC130:EC142)</f>
        <v>0.33647743129027369</v>
      </c>
      <c r="U60" s="171">
        <f>SUM('PRODUKTIVITAS HARIAN'!ED130:ED142)</f>
        <v>0.16885272555625047</v>
      </c>
      <c r="V60" s="172">
        <f>SUM('PRODUKTIVITAS HARIAN'!EE130:EE142)</f>
        <v>0.27566486634372706</v>
      </c>
      <c r="W60" s="170">
        <f>SUM('PRODUKTIVITAS HARIAN'!EF130:EF142)</f>
        <v>0</v>
      </c>
      <c r="X60" s="171">
        <f>SUM('PRODUKTIVITAS HARIAN'!EG130:EG142)</f>
        <v>0</v>
      </c>
      <c r="Y60" s="171">
        <f>SUM('PRODUKTIVITAS HARIAN'!EH130:EH142)</f>
        <v>0</v>
      </c>
      <c r="Z60" s="173">
        <f>SUM('PRODUKTIVITAS HARIAN'!EI130:EI142)</f>
        <v>0</v>
      </c>
      <c r="AA60" s="170">
        <f>SUM('PRODUKTIVITAS HARIAN'!EJ130:EJ142)</f>
        <v>0</v>
      </c>
      <c r="AB60" s="172">
        <f>SUM('PRODUKTIVITAS HARIAN'!EK130:EK142)</f>
        <v>0</v>
      </c>
      <c r="AC60" s="174"/>
    </row>
    <row r="61" spans="1:29" ht="12.75" customHeight="1" x14ac:dyDescent="0.2">
      <c r="A61" s="129" t="s">
        <v>122</v>
      </c>
      <c r="B61" s="136" t="str">
        <f>'BOBOT PEK'!C247</f>
        <v>Pekerjaan Lain lain</v>
      </c>
      <c r="C61" s="137"/>
      <c r="D61" s="137"/>
      <c r="E61" s="137"/>
      <c r="F61" s="137"/>
      <c r="G61" s="137"/>
      <c r="H61" s="137"/>
      <c r="I61" s="156" t="s">
        <v>605</v>
      </c>
      <c r="J61" s="137"/>
      <c r="K61" s="138"/>
      <c r="L61" s="130">
        <f>'BOBOT PEK'!J251</f>
        <v>0.30419074346421487</v>
      </c>
      <c r="M61" s="158"/>
      <c r="N61" s="159"/>
      <c r="O61" s="160"/>
      <c r="P61" s="160"/>
      <c r="Q61" s="161"/>
      <c r="R61" s="159"/>
      <c r="S61" s="160"/>
      <c r="T61" s="160"/>
      <c r="U61" s="160">
        <f>L61/2</f>
        <v>0.15209537173210744</v>
      </c>
      <c r="V61" s="161">
        <f>U61</f>
        <v>0.15209537173210744</v>
      </c>
      <c r="W61" s="159"/>
      <c r="X61" s="160"/>
      <c r="Y61" s="160"/>
      <c r="Z61" s="162"/>
      <c r="AA61" s="159"/>
      <c r="AB61" s="161"/>
      <c r="AC61" s="128"/>
    </row>
    <row r="62" spans="1:29" s="175" customFormat="1" ht="12.75" customHeight="1" x14ac:dyDescent="0.2">
      <c r="A62" s="163"/>
      <c r="B62" s="177"/>
      <c r="C62" s="178"/>
      <c r="D62" s="178"/>
      <c r="E62" s="178"/>
      <c r="F62" s="178"/>
      <c r="G62" s="178"/>
      <c r="H62" s="178"/>
      <c r="I62" s="166" t="s">
        <v>606</v>
      </c>
      <c r="J62" s="178"/>
      <c r="K62" s="179"/>
      <c r="L62" s="168">
        <f>SUM(M62:AB62)</f>
        <v>1.8931972259337175E-2</v>
      </c>
      <c r="M62" s="180">
        <f>SUM('PRODUKTIVITAS HARIAN'!DV143:DV145)</f>
        <v>0</v>
      </c>
      <c r="N62" s="181">
        <f>SUM('PRODUKTIVITAS HARIAN'!DW143:DW145)</f>
        <v>0</v>
      </c>
      <c r="O62" s="182">
        <f>SUM('PRODUKTIVITAS HARIAN'!DX143:DX145)</f>
        <v>0</v>
      </c>
      <c r="P62" s="182">
        <f>SUM('PRODUKTIVITAS HARIAN'!DY143:DY145)</f>
        <v>0</v>
      </c>
      <c r="Q62" s="183">
        <f>SUM('PRODUKTIVITAS HARIAN'!DZ143:DZ145)</f>
        <v>1.8931972259337175E-2</v>
      </c>
      <c r="R62" s="181">
        <f>SUM('PRODUKTIVITAS HARIAN'!EA143:EA145)</f>
        <v>0</v>
      </c>
      <c r="S62" s="182">
        <f>SUM('PRODUKTIVITAS HARIAN'!EB143:EB145)</f>
        <v>0</v>
      </c>
      <c r="T62" s="182">
        <f>SUM('PRODUKTIVITAS HARIAN'!EC143:EC145)</f>
        <v>0</v>
      </c>
      <c r="U62" s="182">
        <f>SUM('PRODUKTIVITAS HARIAN'!ED143:ED145)</f>
        <v>0</v>
      </c>
      <c r="V62" s="183">
        <f>SUM('PRODUKTIVITAS HARIAN'!EE143:EE145)</f>
        <v>0</v>
      </c>
      <c r="W62" s="181">
        <f>SUM('PRODUKTIVITAS HARIAN'!EF143:EF145)</f>
        <v>0</v>
      </c>
      <c r="X62" s="182">
        <f>SUM('PRODUKTIVITAS HARIAN'!EG143:EG145)</f>
        <v>0</v>
      </c>
      <c r="Y62" s="182">
        <f>SUM('PRODUKTIVITAS HARIAN'!EH143:EH145)</f>
        <v>0</v>
      </c>
      <c r="Z62" s="184">
        <f>SUM('PRODUKTIVITAS HARIAN'!EI143:EI145)</f>
        <v>0</v>
      </c>
      <c r="AA62" s="181">
        <f>SUM('PRODUKTIVITAS HARIAN'!EJ143:EJ145)</f>
        <v>0</v>
      </c>
      <c r="AB62" s="183">
        <f>SUM('PRODUKTIVITAS HARIAN'!EK143:EK145)</f>
        <v>0</v>
      </c>
      <c r="AC62" s="185"/>
    </row>
    <row r="63" spans="1:29" ht="12.75" customHeight="1" x14ac:dyDescent="0.2">
      <c r="A63" s="129" t="s">
        <v>126</v>
      </c>
      <c r="B63" s="136" t="str">
        <f>'BOBOT PEK'!C252</f>
        <v>Pekerjaan Interior Pos Satpam</v>
      </c>
      <c r="C63" s="137"/>
      <c r="D63" s="137"/>
      <c r="E63" s="137"/>
      <c r="F63" s="137"/>
      <c r="G63" s="137"/>
      <c r="H63" s="137"/>
      <c r="I63" s="156" t="s">
        <v>605</v>
      </c>
      <c r="J63" s="137"/>
      <c r="K63" s="138"/>
      <c r="L63" s="130">
        <f>'BOBOT PEK'!J256</f>
        <v>0.14582735388948906</v>
      </c>
      <c r="M63" s="186"/>
      <c r="N63" s="187"/>
      <c r="O63" s="188"/>
      <c r="P63" s="188"/>
      <c r="Q63" s="189"/>
      <c r="R63" s="187"/>
      <c r="S63" s="188"/>
      <c r="T63" s="188"/>
      <c r="U63" s="188"/>
      <c r="V63" s="189"/>
      <c r="W63" s="187"/>
      <c r="X63" s="188"/>
      <c r="Y63" s="188">
        <f>L63/2</f>
        <v>7.2913676944744529E-2</v>
      </c>
      <c r="Z63" s="190">
        <f>Y63</f>
        <v>7.2913676944744529E-2</v>
      </c>
      <c r="AA63" s="187"/>
      <c r="AB63" s="189"/>
      <c r="AC63" s="191"/>
    </row>
    <row r="64" spans="1:29" s="175" customFormat="1" ht="12.75" customHeight="1" x14ac:dyDescent="0.2">
      <c r="A64" s="163"/>
      <c r="B64" s="177"/>
      <c r="C64" s="178"/>
      <c r="D64" s="178"/>
      <c r="E64" s="178"/>
      <c r="F64" s="178"/>
      <c r="G64" s="178"/>
      <c r="H64" s="178"/>
      <c r="I64" s="166" t="s">
        <v>606</v>
      </c>
      <c r="J64" s="178"/>
      <c r="K64" s="179"/>
      <c r="L64" s="168">
        <f>SUM(M64:AB64)</f>
        <v>0.14582735388948906</v>
      </c>
      <c r="M64" s="180">
        <f>SUM('PRODUKTIVITAS HARIAN'!DV146:DV148)</f>
        <v>0</v>
      </c>
      <c r="N64" s="181">
        <f>SUM('PRODUKTIVITAS HARIAN'!DW146:DW148)</f>
        <v>0</v>
      </c>
      <c r="O64" s="182">
        <f>SUM('PRODUKTIVITAS HARIAN'!DX146:DX148)</f>
        <v>0</v>
      </c>
      <c r="P64" s="182">
        <f>SUM('PRODUKTIVITAS HARIAN'!DY146:DY148)</f>
        <v>0</v>
      </c>
      <c r="Q64" s="183">
        <f>SUM('PRODUKTIVITAS HARIAN'!DZ146:DZ148)</f>
        <v>0</v>
      </c>
      <c r="R64" s="181">
        <f>SUM('PRODUKTIVITAS HARIAN'!EA146:EA148)</f>
        <v>0</v>
      </c>
      <c r="S64" s="182">
        <f>SUM('PRODUKTIVITAS HARIAN'!EB146:EB148)</f>
        <v>0.14582735388948906</v>
      </c>
      <c r="T64" s="182">
        <f>SUM('PRODUKTIVITAS HARIAN'!EC146:EC148)</f>
        <v>0</v>
      </c>
      <c r="U64" s="182">
        <f>SUM('PRODUKTIVITAS HARIAN'!ED146:ED148)</f>
        <v>0</v>
      </c>
      <c r="V64" s="183">
        <f>SUM('PRODUKTIVITAS HARIAN'!EE146:EE148)</f>
        <v>0</v>
      </c>
      <c r="W64" s="181">
        <f>SUM('PRODUKTIVITAS HARIAN'!EF146:EF148)</f>
        <v>0</v>
      </c>
      <c r="X64" s="182">
        <f>SUM('PRODUKTIVITAS HARIAN'!EG146:EG148)</f>
        <v>0</v>
      </c>
      <c r="Y64" s="182">
        <f>SUM('PRODUKTIVITAS HARIAN'!EH146:EH148)</f>
        <v>0</v>
      </c>
      <c r="Z64" s="184">
        <f>SUM('PRODUKTIVITAS HARIAN'!EI146:EI148)</f>
        <v>0</v>
      </c>
      <c r="AA64" s="181">
        <f>SUM('PRODUKTIVITAS HARIAN'!EJ146:EJ148)</f>
        <v>0</v>
      </c>
      <c r="AB64" s="183">
        <f>SUM('PRODUKTIVITAS HARIAN'!EK146:EK148)</f>
        <v>0</v>
      </c>
      <c r="AC64" s="185"/>
    </row>
    <row r="65" spans="1:29" ht="12.75" customHeight="1" x14ac:dyDescent="0.2"/>
    <row r="66" spans="1:29" ht="12.75" customHeight="1" x14ac:dyDescent="0.2"/>
    <row r="67" spans="1:29" ht="12.75" customHeight="1" x14ac:dyDescent="0.2"/>
    <row r="68" spans="1:29" ht="12.75" customHeight="1" x14ac:dyDescent="0.25">
      <c r="A68" s="129"/>
      <c r="B68" s="272" t="s">
        <v>594</v>
      </c>
      <c r="C68" s="272"/>
      <c r="D68" s="272"/>
      <c r="E68" s="272"/>
      <c r="F68" s="272"/>
      <c r="G68" s="272"/>
      <c r="H68" s="272"/>
      <c r="I68" s="272"/>
      <c r="J68" s="272"/>
      <c r="K68" s="272"/>
      <c r="L68" s="144">
        <f>SUMIF($I$12:$I$63,"plan",L12:L63)</f>
        <v>100.00000001137056</v>
      </c>
      <c r="M68" s="192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26"/>
    </row>
    <row r="69" spans="1:29" ht="12.75" customHeight="1" x14ac:dyDescent="0.2">
      <c r="A69" s="129"/>
      <c r="B69" s="267" t="s">
        <v>595</v>
      </c>
      <c r="C69" s="267"/>
      <c r="D69" s="267"/>
      <c r="E69" s="267"/>
      <c r="F69" s="267"/>
      <c r="G69" s="267"/>
      <c r="H69" s="267"/>
      <c r="I69" s="267"/>
      <c r="J69" s="267"/>
      <c r="K69" s="267"/>
      <c r="L69" s="135"/>
      <c r="M69" s="160">
        <f t="shared" ref="M69:AB69" si="3">SUMIF($I$12:$I$63,"plan",M12:M63)</f>
        <v>2.9939662034724912</v>
      </c>
      <c r="N69" s="160">
        <f t="shared" si="3"/>
        <v>2.9939662034724912</v>
      </c>
      <c r="O69" s="160">
        <f t="shared" si="3"/>
        <v>5.7874938371960249</v>
      </c>
      <c r="P69" s="160">
        <f t="shared" si="3"/>
        <v>8.3769351297607315</v>
      </c>
      <c r="Q69" s="160">
        <f t="shared" si="3"/>
        <v>8.057138301055712</v>
      </c>
      <c r="R69" s="160">
        <f t="shared" si="3"/>
        <v>7.5433527160582283</v>
      </c>
      <c r="S69" s="160">
        <f t="shared" si="3"/>
        <v>7.8641728946151046</v>
      </c>
      <c r="T69" s="160">
        <f t="shared" si="3"/>
        <v>7.037370173681146</v>
      </c>
      <c r="U69" s="160">
        <f t="shared" si="3"/>
        <v>8.9836963127570595</v>
      </c>
      <c r="V69" s="160">
        <f t="shared" si="3"/>
        <v>5.8903058526511156</v>
      </c>
      <c r="W69" s="160">
        <f t="shared" si="3"/>
        <v>7.9367497189002796</v>
      </c>
      <c r="X69" s="160">
        <f t="shared" si="3"/>
        <v>7.0428712121295867</v>
      </c>
      <c r="Y69" s="160">
        <f t="shared" si="3"/>
        <v>7.0718213530428233</v>
      </c>
      <c r="Z69" s="160">
        <f t="shared" si="3"/>
        <v>7.0718213530428233</v>
      </c>
      <c r="AA69" s="160">
        <f t="shared" si="3"/>
        <v>2.6741693747674713</v>
      </c>
      <c r="AB69" s="160">
        <f t="shared" si="3"/>
        <v>2.6741693747674713</v>
      </c>
      <c r="AC69" s="126"/>
    </row>
    <row r="70" spans="1:29" ht="12.75" customHeight="1" x14ac:dyDescent="0.2">
      <c r="A70" s="129"/>
      <c r="B70" s="267" t="s">
        <v>607</v>
      </c>
      <c r="C70" s="267"/>
      <c r="D70" s="267"/>
      <c r="E70" s="267"/>
      <c r="F70" s="267"/>
      <c r="G70" s="267"/>
      <c r="H70" s="267"/>
      <c r="I70" s="267"/>
      <c r="J70" s="267"/>
      <c r="K70" s="267"/>
      <c r="L70" s="135"/>
      <c r="M70" s="126">
        <f>M69</f>
        <v>2.9939662034724912</v>
      </c>
      <c r="N70" s="126">
        <f t="shared" ref="N70:AB70" si="4">M70+N69</f>
        <v>5.9879324069449824</v>
      </c>
      <c r="O70" s="126">
        <f t="shared" si="4"/>
        <v>11.775426244141007</v>
      </c>
      <c r="P70" s="126">
        <f t="shared" si="4"/>
        <v>20.152361373901741</v>
      </c>
      <c r="Q70" s="126">
        <f t="shared" si="4"/>
        <v>28.209499674957453</v>
      </c>
      <c r="R70" s="126">
        <f t="shared" si="4"/>
        <v>35.752852391015679</v>
      </c>
      <c r="S70" s="126">
        <f t="shared" si="4"/>
        <v>43.617025285630781</v>
      </c>
      <c r="T70" s="126">
        <f t="shared" si="4"/>
        <v>50.654395459311928</v>
      </c>
      <c r="U70" s="126">
        <f t="shared" si="4"/>
        <v>59.638091772068989</v>
      </c>
      <c r="V70" s="126">
        <f t="shared" si="4"/>
        <v>65.5283976247201</v>
      </c>
      <c r="W70" s="126">
        <f t="shared" si="4"/>
        <v>73.465147343620373</v>
      </c>
      <c r="X70" s="126">
        <f t="shared" si="4"/>
        <v>80.508018555749956</v>
      </c>
      <c r="Y70" s="126">
        <f t="shared" si="4"/>
        <v>87.579839908792778</v>
      </c>
      <c r="Z70" s="126">
        <f t="shared" si="4"/>
        <v>94.651661261835599</v>
      </c>
      <c r="AA70" s="126">
        <f t="shared" si="4"/>
        <v>97.325830636603072</v>
      </c>
      <c r="AB70" s="126">
        <f t="shared" si="4"/>
        <v>100.00000001137055</v>
      </c>
      <c r="AC70" s="126"/>
    </row>
    <row r="71" spans="1:29" ht="12.75" customHeight="1" x14ac:dyDescent="0.2">
      <c r="A71" s="129"/>
      <c r="B71" s="267" t="s">
        <v>597</v>
      </c>
      <c r="C71" s="267"/>
      <c r="D71" s="267"/>
      <c r="E71" s="267"/>
      <c r="F71" s="267"/>
      <c r="G71" s="267"/>
      <c r="H71" s="267"/>
      <c r="I71" s="267"/>
      <c r="J71" s="267"/>
      <c r="K71" s="267"/>
      <c r="L71" s="135"/>
      <c r="M71" s="160">
        <f>SUM('PRODUKTIVITAS HARIAN'!DV4:DV148)</f>
        <v>2.3933594660283681</v>
      </c>
      <c r="N71" s="160">
        <f>SUM('PRODUKTIVITAS HARIAN'!DW4:DW148)</f>
        <v>6.1615894580253583</v>
      </c>
      <c r="O71" s="160">
        <f>SUM('PRODUKTIVITAS HARIAN'!DX4:DX148)</f>
        <v>3.2466157806328066</v>
      </c>
      <c r="P71" s="160">
        <f>SUM('PRODUKTIVITAS HARIAN'!DY4:DY148)</f>
        <v>10.984279137374834</v>
      </c>
      <c r="Q71" s="160">
        <f>SUM('PRODUKTIVITAS HARIAN'!DZ4:DZ148)</f>
        <v>6.2440458723386616</v>
      </c>
      <c r="R71" s="160">
        <f>SUM('PRODUKTIVITAS HARIAN'!EA4:EA148)</f>
        <v>6.1984856059698474</v>
      </c>
      <c r="S71" s="160">
        <f>SUM('PRODUKTIVITAS HARIAN'!EB4:EB148)</f>
        <v>7.2935755717798312</v>
      </c>
      <c r="T71" s="160">
        <f>SUM('PRODUKTIVITAS HARIAN'!EC4:EC148)</f>
        <v>11.799041578774014</v>
      </c>
      <c r="U71" s="160">
        <f>SUM('PRODUKTIVITAS HARIAN'!ED4:ED148)</f>
        <v>13.417805085088554</v>
      </c>
      <c r="V71" s="160">
        <f>SUM('PRODUKTIVITAS HARIAN'!EE4:EE148)</f>
        <v>4.3490258044813244</v>
      </c>
      <c r="W71" s="160">
        <f>SUM('PRODUKTIVITAS HARIAN'!EF4:EF148)</f>
        <v>0</v>
      </c>
      <c r="X71" s="160">
        <f>SUM('PRODUKTIVITAS HARIAN'!EG4:EG148)</f>
        <v>0</v>
      </c>
      <c r="Y71" s="160">
        <f>SUM('PRODUKTIVITAS HARIAN'!EH4:EH148)</f>
        <v>0</v>
      </c>
      <c r="Z71" s="160">
        <f>SUM('PRODUKTIVITAS HARIAN'!EI4:EI148)</f>
        <v>0</v>
      </c>
      <c r="AA71" s="160">
        <f>SUM('PRODUKTIVITAS HARIAN'!EJ4:EJ148)</f>
        <v>0</v>
      </c>
      <c r="AB71" s="160">
        <f>SUM('PRODUKTIVITAS HARIAN'!EK4:EK148)</f>
        <v>0</v>
      </c>
      <c r="AC71" s="126"/>
    </row>
    <row r="72" spans="1:29" ht="12.75" customHeight="1" x14ac:dyDescent="0.2">
      <c r="A72" s="129"/>
      <c r="B72" s="273" t="s">
        <v>608</v>
      </c>
      <c r="C72" s="273"/>
      <c r="D72" s="273"/>
      <c r="E72" s="273"/>
      <c r="F72" s="273"/>
      <c r="G72" s="273"/>
      <c r="H72" s="273"/>
      <c r="I72" s="273"/>
      <c r="J72" s="273"/>
      <c r="K72" s="273"/>
      <c r="L72" s="193"/>
      <c r="M72" s="194">
        <f>M71</f>
        <v>2.3933594660283681</v>
      </c>
      <c r="N72" s="194">
        <f t="shared" ref="N72:AB72" si="5">M72+N71</f>
        <v>8.5549489240537255</v>
      </c>
      <c r="O72" s="195">
        <f t="shared" si="5"/>
        <v>11.801564704686532</v>
      </c>
      <c r="P72" s="195">
        <f t="shared" si="5"/>
        <v>22.785843842061368</v>
      </c>
      <c r="Q72" s="195">
        <f t="shared" si="5"/>
        <v>29.029889714400028</v>
      </c>
      <c r="R72" s="195">
        <f t="shared" si="5"/>
        <v>35.228375320369878</v>
      </c>
      <c r="S72" s="195">
        <f t="shared" si="5"/>
        <v>42.521950892149711</v>
      </c>
      <c r="T72" s="195">
        <f t="shared" si="5"/>
        <v>54.320992470923727</v>
      </c>
      <c r="U72" s="195">
        <f t="shared" si="5"/>
        <v>67.738797556012287</v>
      </c>
      <c r="V72" s="195">
        <f t="shared" si="5"/>
        <v>72.087823360493616</v>
      </c>
      <c r="W72" s="195">
        <f t="shared" si="5"/>
        <v>72.087823360493616</v>
      </c>
      <c r="X72" s="195">
        <f t="shared" si="5"/>
        <v>72.087823360493616</v>
      </c>
      <c r="Y72" s="195">
        <f t="shared" si="5"/>
        <v>72.087823360493616</v>
      </c>
      <c r="Z72" s="195">
        <f t="shared" si="5"/>
        <v>72.087823360493616</v>
      </c>
      <c r="AA72" s="195">
        <f t="shared" si="5"/>
        <v>72.087823360493616</v>
      </c>
      <c r="AB72" s="195">
        <f t="shared" si="5"/>
        <v>72.087823360493616</v>
      </c>
      <c r="AC72" s="126"/>
    </row>
    <row r="73" spans="1:29" ht="12.75" customHeight="1" x14ac:dyDescent="0.2">
      <c r="L73" t="s">
        <v>787</v>
      </c>
      <c r="M73" s="258">
        <f>M72-M70</f>
        <v>-0.60060673744412307</v>
      </c>
      <c r="N73" s="258">
        <f t="shared" ref="N73:AB73" si="6">N72-N70</f>
        <v>2.5670165171087431</v>
      </c>
      <c r="O73" s="258">
        <f t="shared" si="6"/>
        <v>2.6138460545524822E-2</v>
      </c>
      <c r="P73" s="258">
        <f t="shared" si="6"/>
        <v>2.6334824681596274</v>
      </c>
      <c r="Q73" s="258">
        <f t="shared" si="6"/>
        <v>0.82039003944257516</v>
      </c>
      <c r="R73" s="258">
        <f t="shared" si="6"/>
        <v>-0.52447707064580129</v>
      </c>
      <c r="S73" s="258">
        <f t="shared" si="6"/>
        <v>-1.0950743934810703</v>
      </c>
      <c r="T73" s="258">
        <f t="shared" si="6"/>
        <v>3.666597011611799</v>
      </c>
      <c r="U73" s="258">
        <f t="shared" si="6"/>
        <v>8.1007057839432974</v>
      </c>
      <c r="V73" s="258">
        <f t="shared" si="6"/>
        <v>6.559425735773516</v>
      </c>
      <c r="W73" s="258">
        <f t="shared" si="6"/>
        <v>-1.3773239831267574</v>
      </c>
      <c r="X73" s="258">
        <f t="shared" si="6"/>
        <v>-8.4201951952563405</v>
      </c>
      <c r="Y73" s="258">
        <f t="shared" si="6"/>
        <v>-15.492016548299162</v>
      </c>
      <c r="Z73" s="258">
        <f t="shared" si="6"/>
        <v>-22.563837901341984</v>
      </c>
      <c r="AA73" s="258">
        <f t="shared" si="6"/>
        <v>-25.238007276109457</v>
      </c>
      <c r="AB73" s="258">
        <f t="shared" si="6"/>
        <v>-27.91217665087693</v>
      </c>
    </row>
    <row r="74" spans="1:29" ht="12.75" customHeight="1" x14ac:dyDescent="0.25">
      <c r="B74" s="202" t="s">
        <v>643</v>
      </c>
      <c r="C74" s="202" t="s">
        <v>644</v>
      </c>
      <c r="D74" s="202" t="s">
        <v>645</v>
      </c>
      <c r="Q74" s="258"/>
    </row>
    <row r="75" spans="1:29" ht="12.75" customHeight="1" x14ac:dyDescent="0.2">
      <c r="B75" s="259" t="s">
        <v>577</v>
      </c>
      <c r="C75" s="204" t="e">
        <f>#REF!</f>
        <v>#REF!</v>
      </c>
      <c r="D75" s="204" t="e">
        <f t="shared" ref="D75:D90" si="7">C75+6</f>
        <v>#REF!</v>
      </c>
      <c r="Q75" s="258"/>
    </row>
    <row r="76" spans="1:29" ht="12.75" customHeight="1" x14ac:dyDescent="0.2">
      <c r="B76" s="259" t="s">
        <v>578</v>
      </c>
      <c r="C76" s="204" t="e">
        <f t="shared" ref="C76:C90" si="8">C75+7</f>
        <v>#REF!</v>
      </c>
      <c r="D76" s="204" t="e">
        <f t="shared" si="7"/>
        <v>#REF!</v>
      </c>
      <c r="Q76" s="258"/>
    </row>
    <row r="77" spans="1:29" ht="12.75" customHeight="1" x14ac:dyDescent="0.2">
      <c r="B77" s="259" t="s">
        <v>579</v>
      </c>
      <c r="C77" s="204" t="e">
        <f t="shared" si="8"/>
        <v>#REF!</v>
      </c>
      <c r="D77" s="204" t="e">
        <f t="shared" si="7"/>
        <v>#REF!</v>
      </c>
      <c r="Q77" s="258"/>
    </row>
    <row r="78" spans="1:29" ht="12.75" customHeight="1" x14ac:dyDescent="0.2">
      <c r="B78" s="259" t="s">
        <v>580</v>
      </c>
      <c r="C78" s="204" t="e">
        <f t="shared" si="8"/>
        <v>#REF!</v>
      </c>
      <c r="D78" s="204" t="e">
        <f t="shared" si="7"/>
        <v>#REF!</v>
      </c>
      <c r="Q78" s="258"/>
    </row>
    <row r="79" spans="1:29" ht="12.75" customHeight="1" x14ac:dyDescent="0.2">
      <c r="B79" s="260" t="s">
        <v>581</v>
      </c>
      <c r="C79" s="204" t="e">
        <f t="shared" si="8"/>
        <v>#REF!</v>
      </c>
      <c r="D79" s="204" t="e">
        <f t="shared" si="7"/>
        <v>#REF!</v>
      </c>
      <c r="Q79" s="258"/>
    </row>
    <row r="80" spans="1:29" ht="12.75" customHeight="1" x14ac:dyDescent="0.2">
      <c r="B80" s="259" t="s">
        <v>582</v>
      </c>
      <c r="C80" s="204" t="e">
        <f t="shared" si="8"/>
        <v>#REF!</v>
      </c>
      <c r="D80" s="204" t="e">
        <f t="shared" si="7"/>
        <v>#REF!</v>
      </c>
      <c r="Q80" s="258"/>
    </row>
    <row r="81" spans="1:21" ht="12.75" customHeight="1" x14ac:dyDescent="0.2">
      <c r="B81" s="203" t="s">
        <v>583</v>
      </c>
      <c r="C81" s="204" t="e">
        <f t="shared" si="8"/>
        <v>#REF!</v>
      </c>
      <c r="D81" s="204" t="e">
        <f t="shared" si="7"/>
        <v>#REF!</v>
      </c>
      <c r="Q81" s="258"/>
    </row>
    <row r="82" spans="1:21" ht="12.75" customHeight="1" x14ac:dyDescent="0.2">
      <c r="B82" s="203" t="s">
        <v>584</v>
      </c>
      <c r="C82" s="204" t="e">
        <f t="shared" si="8"/>
        <v>#REF!</v>
      </c>
      <c r="D82" s="204" t="e">
        <f t="shared" si="7"/>
        <v>#REF!</v>
      </c>
      <c r="Q82" s="258"/>
    </row>
    <row r="83" spans="1:21" ht="12.75" customHeight="1" x14ac:dyDescent="0.2">
      <c r="B83" s="203" t="s">
        <v>585</v>
      </c>
      <c r="C83" s="204" t="e">
        <f t="shared" si="8"/>
        <v>#REF!</v>
      </c>
      <c r="D83" s="204" t="e">
        <f t="shared" si="7"/>
        <v>#REF!</v>
      </c>
      <c r="Q83" s="258"/>
    </row>
    <row r="84" spans="1:21" ht="12.75" customHeight="1" x14ac:dyDescent="0.2">
      <c r="B84" s="203" t="s">
        <v>586</v>
      </c>
      <c r="C84" s="204" t="e">
        <f t="shared" si="8"/>
        <v>#REF!</v>
      </c>
      <c r="D84" s="204" t="e">
        <f t="shared" si="7"/>
        <v>#REF!</v>
      </c>
      <c r="Q84" s="258"/>
    </row>
    <row r="85" spans="1:21" ht="12.75" customHeight="1" x14ac:dyDescent="0.2">
      <c r="B85" s="203" t="s">
        <v>587</v>
      </c>
      <c r="C85" s="204" t="e">
        <f t="shared" si="8"/>
        <v>#REF!</v>
      </c>
      <c r="D85" s="204" t="e">
        <f t="shared" si="7"/>
        <v>#REF!</v>
      </c>
      <c r="Q85" s="258"/>
    </row>
    <row r="86" spans="1:21" ht="12.75" customHeight="1" x14ac:dyDescent="0.2">
      <c r="B86" s="203" t="s">
        <v>588</v>
      </c>
      <c r="C86" s="204" t="e">
        <f t="shared" si="8"/>
        <v>#REF!</v>
      </c>
      <c r="D86" s="204" t="e">
        <f t="shared" si="7"/>
        <v>#REF!</v>
      </c>
      <c r="Q86" s="258"/>
    </row>
    <row r="87" spans="1:21" ht="12.75" customHeight="1" x14ac:dyDescent="0.2">
      <c r="B87" s="203" t="s">
        <v>589</v>
      </c>
      <c r="C87" s="204" t="e">
        <f t="shared" si="8"/>
        <v>#REF!</v>
      </c>
      <c r="D87" s="204" t="e">
        <f t="shared" si="7"/>
        <v>#REF!</v>
      </c>
      <c r="Q87" s="258"/>
    </row>
    <row r="88" spans="1:21" ht="12.75" customHeight="1" x14ac:dyDescent="0.2">
      <c r="B88" s="203" t="s">
        <v>590</v>
      </c>
      <c r="C88" s="204" t="e">
        <f t="shared" si="8"/>
        <v>#REF!</v>
      </c>
      <c r="D88" s="204" t="e">
        <f t="shared" si="7"/>
        <v>#REF!</v>
      </c>
      <c r="Q88" s="258"/>
    </row>
    <row r="89" spans="1:21" ht="12.75" customHeight="1" x14ac:dyDescent="0.2">
      <c r="B89" s="203" t="s">
        <v>603</v>
      </c>
      <c r="C89" s="204" t="e">
        <f t="shared" si="8"/>
        <v>#REF!</v>
      </c>
      <c r="D89" s="204" t="e">
        <f t="shared" si="7"/>
        <v>#REF!</v>
      </c>
      <c r="Q89" s="258"/>
    </row>
    <row r="90" spans="1:21" ht="12.75" customHeight="1" x14ac:dyDescent="0.2">
      <c r="B90" s="203" t="s">
        <v>604</v>
      </c>
      <c r="C90" s="204" t="e">
        <f t="shared" si="8"/>
        <v>#REF!</v>
      </c>
      <c r="D90" s="204" t="e">
        <f t="shared" si="7"/>
        <v>#REF!</v>
      </c>
      <c r="Q90" s="258"/>
    </row>
    <row r="91" spans="1:21" ht="12.75" customHeight="1" x14ac:dyDescent="0.2">
      <c r="Q91" s="258"/>
    </row>
    <row r="92" spans="1:21" ht="12.75" customHeight="1" x14ac:dyDescent="0.2">
      <c r="Q92" s="258"/>
    </row>
    <row r="93" spans="1:21" ht="12.75" customHeight="1" x14ac:dyDescent="0.2"/>
    <row r="94" spans="1:21" ht="12.75" customHeight="1" x14ac:dyDescent="0.2"/>
    <row r="95" spans="1:21" ht="12.75" customHeight="1" x14ac:dyDescent="0.2">
      <c r="A95" s="196" t="s">
        <v>29</v>
      </c>
      <c r="B95" s="271" t="s">
        <v>609</v>
      </c>
      <c r="C95" s="271"/>
      <c r="D95" s="271" t="s">
        <v>37</v>
      </c>
      <c r="E95" s="271"/>
      <c r="F95" s="271"/>
      <c r="G95" s="271" t="s">
        <v>610</v>
      </c>
      <c r="H95" s="271"/>
      <c r="I95" s="271"/>
      <c r="J95" s="196"/>
      <c r="K95" s="196"/>
      <c r="L95" s="271" t="s">
        <v>611</v>
      </c>
      <c r="M95" s="271"/>
      <c r="N95" s="271"/>
      <c r="O95" s="271" t="s">
        <v>612</v>
      </c>
      <c r="P95" s="271"/>
      <c r="Q95" s="271"/>
      <c r="R95" s="271"/>
      <c r="S95" s="271" t="s">
        <v>613</v>
      </c>
      <c r="T95" s="271"/>
      <c r="U95" s="271"/>
    </row>
    <row r="96" spans="1:21" ht="12.75" customHeight="1" x14ac:dyDescent="0.2">
      <c r="A96" s="75"/>
      <c r="B96" s="266"/>
      <c r="C96" s="266"/>
      <c r="D96" s="266"/>
      <c r="E96" s="266"/>
      <c r="F96" s="266"/>
      <c r="G96" s="266"/>
      <c r="H96" s="266"/>
      <c r="I96" s="266"/>
      <c r="J96" s="75"/>
      <c r="K96" s="75"/>
      <c r="L96" s="266"/>
      <c r="M96" s="266"/>
      <c r="N96" s="266"/>
      <c r="O96" s="266"/>
      <c r="P96" s="266"/>
      <c r="Q96" s="266"/>
      <c r="R96" s="266"/>
      <c r="S96" s="266"/>
      <c r="T96" s="266"/>
      <c r="U96" s="266"/>
    </row>
    <row r="97" spans="1:21" ht="12.75" customHeight="1" x14ac:dyDescent="0.2">
      <c r="A97" s="197">
        <v>1</v>
      </c>
      <c r="B97" s="267" t="s">
        <v>614</v>
      </c>
      <c r="C97" s="267"/>
      <c r="D97" s="268">
        <v>0.1</v>
      </c>
      <c r="E97" s="268"/>
      <c r="F97" s="268"/>
      <c r="G97" s="269">
        <f>'BOBOT PEK'!H265</f>
        <v>3908731694.4444447</v>
      </c>
      <c r="H97" s="269"/>
      <c r="I97" s="269"/>
      <c r="J97" s="75"/>
      <c r="K97" s="75"/>
      <c r="L97" s="270">
        <f t="shared" ref="L97:L105" si="9">D97*G97</f>
        <v>390873169.44444448</v>
      </c>
      <c r="M97" s="270"/>
      <c r="N97" s="270"/>
      <c r="O97" s="267" t="s">
        <v>615</v>
      </c>
      <c r="P97" s="267"/>
      <c r="Q97" s="267"/>
      <c r="R97" s="267"/>
      <c r="S97" s="75" t="s">
        <v>616</v>
      </c>
      <c r="T97" s="75"/>
      <c r="U97" s="75"/>
    </row>
    <row r="98" spans="1:21" ht="12.75" customHeight="1" x14ac:dyDescent="0.2">
      <c r="A98" s="197">
        <v>2</v>
      </c>
      <c r="B98" s="267" t="s">
        <v>617</v>
      </c>
      <c r="C98" s="267"/>
      <c r="D98" s="268">
        <v>0.05</v>
      </c>
      <c r="E98" s="268"/>
      <c r="F98" s="268"/>
      <c r="G98" s="269">
        <f>G97</f>
        <v>3908731694.4444447</v>
      </c>
      <c r="H98" s="269"/>
      <c r="I98" s="269"/>
      <c r="J98" s="75"/>
      <c r="K98" s="75"/>
      <c r="L98" s="270">
        <f t="shared" si="9"/>
        <v>195436584.72222224</v>
      </c>
      <c r="M98" s="270"/>
      <c r="N98" s="270"/>
      <c r="O98" s="267" t="s">
        <v>618</v>
      </c>
      <c r="P98" s="267"/>
      <c r="Q98" s="267"/>
      <c r="R98" s="267"/>
      <c r="S98" s="75" t="s">
        <v>619</v>
      </c>
      <c r="T98" s="75"/>
      <c r="U98" s="75"/>
    </row>
    <row r="99" spans="1:21" ht="12.75" customHeight="1" x14ac:dyDescent="0.2">
      <c r="A99" s="197">
        <v>3</v>
      </c>
      <c r="B99" s="267" t="s">
        <v>620</v>
      </c>
      <c r="C99" s="267"/>
      <c r="D99" s="268">
        <v>0.05</v>
      </c>
      <c r="E99" s="268"/>
      <c r="F99" s="268"/>
      <c r="G99" s="269">
        <f>G98</f>
        <v>3908731694.4444447</v>
      </c>
      <c r="H99" s="269"/>
      <c r="I99" s="269"/>
      <c r="J99" s="75"/>
      <c r="K99" s="75"/>
      <c r="L99" s="270">
        <f t="shared" si="9"/>
        <v>195436584.72222224</v>
      </c>
      <c r="M99" s="270"/>
      <c r="N99" s="270"/>
      <c r="O99" s="267" t="s">
        <v>621</v>
      </c>
      <c r="P99" s="267"/>
      <c r="Q99" s="267"/>
      <c r="R99" s="267"/>
      <c r="S99" s="75" t="s">
        <v>622</v>
      </c>
      <c r="T99" s="75"/>
      <c r="U99" s="75"/>
    </row>
    <row r="100" spans="1:21" ht="12.75" customHeight="1" x14ac:dyDescent="0.2">
      <c r="A100" s="197">
        <v>4</v>
      </c>
      <c r="B100" s="267" t="s">
        <v>623</v>
      </c>
      <c r="C100" s="267"/>
      <c r="D100" s="268">
        <v>0.15</v>
      </c>
      <c r="E100" s="268"/>
      <c r="F100" s="268"/>
      <c r="G100" s="269">
        <f>G99</f>
        <v>3908731694.4444447</v>
      </c>
      <c r="H100" s="269"/>
      <c r="I100" s="269"/>
      <c r="J100" s="75"/>
      <c r="K100" s="75"/>
      <c r="L100" s="270">
        <f t="shared" si="9"/>
        <v>586309754.16666663</v>
      </c>
      <c r="M100" s="270"/>
      <c r="N100" s="270"/>
      <c r="O100" s="267" t="s">
        <v>624</v>
      </c>
      <c r="P100" s="267"/>
      <c r="Q100" s="267"/>
      <c r="R100" s="267"/>
      <c r="S100" s="75" t="s">
        <v>625</v>
      </c>
      <c r="T100" s="75"/>
      <c r="U100" s="75"/>
    </row>
    <row r="101" spans="1:21" ht="12.75" customHeight="1" x14ac:dyDescent="0.2">
      <c r="A101" s="197">
        <v>5</v>
      </c>
      <c r="B101" s="267" t="s">
        <v>626</v>
      </c>
      <c r="C101" s="267"/>
      <c r="D101" s="268">
        <v>0.15</v>
      </c>
      <c r="E101" s="268"/>
      <c r="F101" s="268"/>
      <c r="G101" s="269">
        <f>G100</f>
        <v>3908731694.4444447</v>
      </c>
      <c r="H101" s="269"/>
      <c r="I101" s="269"/>
      <c r="J101" s="75"/>
      <c r="K101" s="75"/>
      <c r="L101" s="270">
        <f t="shared" si="9"/>
        <v>586309754.16666663</v>
      </c>
      <c r="M101" s="270"/>
      <c r="N101" s="270"/>
      <c r="O101" s="267" t="s">
        <v>627</v>
      </c>
      <c r="P101" s="267"/>
      <c r="Q101" s="267"/>
      <c r="R101" s="267"/>
      <c r="S101" s="75" t="s">
        <v>628</v>
      </c>
      <c r="T101" s="75"/>
      <c r="U101" s="75"/>
    </row>
    <row r="102" spans="1:21" ht="12.75" customHeight="1" x14ac:dyDescent="0.2">
      <c r="A102" s="197">
        <v>6</v>
      </c>
      <c r="B102" s="267" t="s">
        <v>629</v>
      </c>
      <c r="C102" s="267"/>
      <c r="D102" s="268">
        <v>0.15</v>
      </c>
      <c r="E102" s="268"/>
      <c r="F102" s="268"/>
      <c r="G102" s="269">
        <f>G100</f>
        <v>3908731694.4444447</v>
      </c>
      <c r="H102" s="269"/>
      <c r="I102" s="269"/>
      <c r="J102" s="75"/>
      <c r="K102" s="75"/>
      <c r="L102" s="270">
        <f t="shared" si="9"/>
        <v>586309754.16666663</v>
      </c>
      <c r="M102" s="270"/>
      <c r="N102" s="270"/>
      <c r="O102" s="267" t="s">
        <v>630</v>
      </c>
      <c r="P102" s="267"/>
      <c r="Q102" s="267"/>
      <c r="R102" s="267"/>
      <c r="S102" s="75" t="s">
        <v>631</v>
      </c>
      <c r="T102" s="75"/>
      <c r="U102" s="75"/>
    </row>
    <row r="103" spans="1:21" ht="12.75" customHeight="1" x14ac:dyDescent="0.2">
      <c r="A103" s="197">
        <v>7</v>
      </c>
      <c r="B103" s="267" t="s">
        <v>632</v>
      </c>
      <c r="C103" s="267"/>
      <c r="D103" s="268">
        <v>0.15</v>
      </c>
      <c r="E103" s="268"/>
      <c r="F103" s="268"/>
      <c r="G103" s="269">
        <f>G102</f>
        <v>3908731694.4444447</v>
      </c>
      <c r="H103" s="269"/>
      <c r="I103" s="269"/>
      <c r="J103" s="75"/>
      <c r="K103" s="75"/>
      <c r="L103" s="270">
        <f t="shared" si="9"/>
        <v>586309754.16666663</v>
      </c>
      <c r="M103" s="270"/>
      <c r="N103" s="270"/>
      <c r="O103" s="267" t="s">
        <v>633</v>
      </c>
      <c r="P103" s="267"/>
      <c r="Q103" s="267"/>
      <c r="R103" s="267"/>
      <c r="S103" s="75" t="s">
        <v>634</v>
      </c>
      <c r="T103" s="75"/>
      <c r="U103" s="75"/>
    </row>
    <row r="104" spans="1:21" ht="12.75" customHeight="1" x14ac:dyDescent="0.2">
      <c r="A104" s="197">
        <v>8</v>
      </c>
      <c r="B104" s="267" t="s">
        <v>635</v>
      </c>
      <c r="C104" s="267"/>
      <c r="D104" s="268">
        <v>0.15</v>
      </c>
      <c r="E104" s="268"/>
      <c r="F104" s="268"/>
      <c r="G104" s="269">
        <f>G103</f>
        <v>3908731694.4444447</v>
      </c>
      <c r="H104" s="269"/>
      <c r="I104" s="269"/>
      <c r="J104" s="75"/>
      <c r="K104" s="75"/>
      <c r="L104" s="270">
        <f t="shared" si="9"/>
        <v>586309754.16666663</v>
      </c>
      <c r="M104" s="270"/>
      <c r="N104" s="270"/>
      <c r="O104" s="267" t="s">
        <v>636</v>
      </c>
      <c r="P104" s="267"/>
      <c r="Q104" s="267"/>
      <c r="R104" s="267"/>
      <c r="S104" s="75" t="s">
        <v>637</v>
      </c>
      <c r="T104" s="75"/>
      <c r="U104" s="75"/>
    </row>
    <row r="105" spans="1:21" ht="12.75" customHeight="1" x14ac:dyDescent="0.2">
      <c r="A105" s="197">
        <v>9</v>
      </c>
      <c r="B105" s="267" t="s">
        <v>638</v>
      </c>
      <c r="C105" s="267"/>
      <c r="D105" s="268">
        <v>0.05</v>
      </c>
      <c r="E105" s="268"/>
      <c r="F105" s="268"/>
      <c r="G105" s="269">
        <f>G104</f>
        <v>3908731694.4444447</v>
      </c>
      <c r="H105" s="269"/>
      <c r="I105" s="269"/>
      <c r="J105" s="75"/>
      <c r="K105" s="75"/>
      <c r="L105" s="270">
        <f t="shared" si="9"/>
        <v>195436584.72222224</v>
      </c>
      <c r="M105" s="270"/>
      <c r="N105" s="270"/>
      <c r="O105" s="267" t="s">
        <v>639</v>
      </c>
      <c r="P105" s="267"/>
      <c r="Q105" s="267"/>
      <c r="R105" s="267"/>
      <c r="S105" s="266"/>
      <c r="T105" s="266"/>
      <c r="U105" s="266"/>
    </row>
    <row r="106" spans="1:21" ht="12.75" customHeight="1" x14ac:dyDescent="0.2"/>
    <row r="107" spans="1:21" ht="12.75" customHeight="1" x14ac:dyDescent="0.2"/>
    <row r="108" spans="1:21" ht="12.75" customHeight="1" x14ac:dyDescent="0.2"/>
    <row r="109" spans="1:21" ht="12.75" customHeight="1" x14ac:dyDescent="0.2"/>
    <row r="110" spans="1:21" ht="12.75" customHeight="1" x14ac:dyDescent="0.2"/>
    <row r="111" spans="1:21" ht="12.75" customHeight="1" x14ac:dyDescent="0.2"/>
    <row r="112" spans="1:21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</sheetData>
  <mergeCells count="73">
    <mergeCell ref="A10:A11"/>
    <mergeCell ref="B10:K11"/>
    <mergeCell ref="L10:L11"/>
    <mergeCell ref="N10:Q10"/>
    <mergeCell ref="R10:V10"/>
    <mergeCell ref="W10:Z10"/>
    <mergeCell ref="AA10:AB10"/>
    <mergeCell ref="B12:K12"/>
    <mergeCell ref="B31:H31"/>
    <mergeCell ref="B50:I50"/>
    <mergeCell ref="B68:K68"/>
    <mergeCell ref="B69:K69"/>
    <mergeCell ref="B70:K70"/>
    <mergeCell ref="B71:K71"/>
    <mergeCell ref="B72:K72"/>
    <mergeCell ref="S95:U95"/>
    <mergeCell ref="B96:C96"/>
    <mergeCell ref="D96:F96"/>
    <mergeCell ref="G96:I96"/>
    <mergeCell ref="L96:N96"/>
    <mergeCell ref="O96:R96"/>
    <mergeCell ref="S96:U96"/>
    <mergeCell ref="B95:C95"/>
    <mergeCell ref="D95:F95"/>
    <mergeCell ref="G95:I95"/>
    <mergeCell ref="L95:N95"/>
    <mergeCell ref="O95:R95"/>
    <mergeCell ref="B97:C97"/>
    <mergeCell ref="D97:F97"/>
    <mergeCell ref="G97:I97"/>
    <mergeCell ref="L97:N97"/>
    <mergeCell ref="O97:R97"/>
    <mergeCell ref="B98:C98"/>
    <mergeCell ref="D98:F98"/>
    <mergeCell ref="G98:I98"/>
    <mergeCell ref="L98:N98"/>
    <mergeCell ref="O98:R98"/>
    <mergeCell ref="B99:C99"/>
    <mergeCell ref="D99:F99"/>
    <mergeCell ref="G99:I99"/>
    <mergeCell ref="L99:N99"/>
    <mergeCell ref="O99:R99"/>
    <mergeCell ref="B100:C100"/>
    <mergeCell ref="D100:F100"/>
    <mergeCell ref="G100:I100"/>
    <mergeCell ref="L100:N100"/>
    <mergeCell ref="O100:R100"/>
    <mergeCell ref="B101:C101"/>
    <mergeCell ref="D101:F101"/>
    <mergeCell ref="G101:I101"/>
    <mergeCell ref="L101:N101"/>
    <mergeCell ref="O101:R101"/>
    <mergeCell ref="B102:C102"/>
    <mergeCell ref="D102:F102"/>
    <mergeCell ref="G102:I102"/>
    <mergeCell ref="L102:N102"/>
    <mergeCell ref="O102:R102"/>
    <mergeCell ref="B103:C103"/>
    <mergeCell ref="D103:F103"/>
    <mergeCell ref="G103:I103"/>
    <mergeCell ref="L103:N103"/>
    <mergeCell ref="O103:R103"/>
    <mergeCell ref="B104:C104"/>
    <mergeCell ref="D104:F104"/>
    <mergeCell ref="G104:I104"/>
    <mergeCell ref="L104:N104"/>
    <mergeCell ref="O104:R104"/>
    <mergeCell ref="S105:U105"/>
    <mergeCell ref="B105:C105"/>
    <mergeCell ref="D105:F105"/>
    <mergeCell ref="G105:I105"/>
    <mergeCell ref="L105:N105"/>
    <mergeCell ref="O105:R105"/>
  </mergeCells>
  <printOptions horizontalCentered="1"/>
  <pageMargins left="0.25" right="0.25" top="0.75" bottom="0.75" header="0.511811023622047" footer="0.511811023622047"/>
  <pageSetup paperSize="8" scale="71" fitToHeight="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00"/>
  <sheetViews>
    <sheetView showGridLines="0" showZeros="0" zoomScaleNormal="100" workbookViewId="0">
      <selection activeCell="A15" sqref="A15"/>
    </sheetView>
  </sheetViews>
  <sheetFormatPr defaultColWidth="14.42578125" defaultRowHeight="12.75" x14ac:dyDescent="0.2"/>
  <cols>
    <col min="1" max="1" width="14" customWidth="1"/>
    <col min="2" max="3" width="16" customWidth="1"/>
    <col min="4" max="4" width="60" customWidth="1"/>
    <col min="5" max="11" width="8.7109375" customWidth="1"/>
  </cols>
  <sheetData>
    <row r="1" spans="1:4" ht="17.25" customHeight="1" x14ac:dyDescent="0.25">
      <c r="A1" s="198" t="s">
        <v>640</v>
      </c>
    </row>
    <row r="2" spans="1:4" ht="12.75" customHeight="1" x14ac:dyDescent="0.2"/>
    <row r="3" spans="1:4" ht="15" customHeight="1" x14ac:dyDescent="0.25">
      <c r="A3" s="199" t="s">
        <v>641</v>
      </c>
      <c r="B3" s="200">
        <v>46226</v>
      </c>
      <c r="D3" s="201" t="s">
        <v>642</v>
      </c>
    </row>
    <row r="4" spans="1:4" ht="12.75" customHeight="1" x14ac:dyDescent="0.2"/>
    <row r="5" spans="1:4" ht="15" customHeight="1" x14ac:dyDescent="0.25">
      <c r="A5" s="202" t="s">
        <v>643</v>
      </c>
      <c r="B5" s="202" t="s">
        <v>644</v>
      </c>
      <c r="C5" s="202" t="s">
        <v>645</v>
      </c>
    </row>
    <row r="6" spans="1:4" ht="15" customHeight="1" x14ac:dyDescent="0.2">
      <c r="A6" s="259" t="s">
        <v>577</v>
      </c>
      <c r="B6" s="204">
        <f>$B$3</f>
        <v>46226</v>
      </c>
      <c r="C6" s="204">
        <f t="shared" ref="C6:C21" si="0">B6+6</f>
        <v>46232</v>
      </c>
    </row>
    <row r="7" spans="1:4" ht="15" customHeight="1" x14ac:dyDescent="0.2">
      <c r="A7" s="259" t="s">
        <v>578</v>
      </c>
      <c r="B7" s="204">
        <f t="shared" ref="B7:B21" si="1">B6+7</f>
        <v>46233</v>
      </c>
      <c r="C7" s="204">
        <f t="shared" si="0"/>
        <v>46239</v>
      </c>
    </row>
    <row r="8" spans="1:4" ht="15" customHeight="1" x14ac:dyDescent="0.2">
      <c r="A8" s="259" t="s">
        <v>579</v>
      </c>
      <c r="B8" s="204">
        <f t="shared" si="1"/>
        <v>46240</v>
      </c>
      <c r="C8" s="204">
        <f t="shared" si="0"/>
        <v>46246</v>
      </c>
    </row>
    <row r="9" spans="1:4" ht="15" customHeight="1" x14ac:dyDescent="0.2">
      <c r="A9" s="259" t="s">
        <v>580</v>
      </c>
      <c r="B9" s="204">
        <f t="shared" si="1"/>
        <v>46247</v>
      </c>
      <c r="C9" s="204">
        <f t="shared" si="0"/>
        <v>46253</v>
      </c>
    </row>
    <row r="10" spans="1:4" ht="15" customHeight="1" x14ac:dyDescent="0.2">
      <c r="A10" s="260" t="s">
        <v>581</v>
      </c>
      <c r="B10" s="204">
        <f t="shared" si="1"/>
        <v>46254</v>
      </c>
      <c r="C10" s="204">
        <f t="shared" si="0"/>
        <v>46260</v>
      </c>
    </row>
    <row r="11" spans="1:4" ht="15" customHeight="1" x14ac:dyDescent="0.2">
      <c r="A11" s="259" t="s">
        <v>582</v>
      </c>
      <c r="B11" s="204">
        <f t="shared" si="1"/>
        <v>46261</v>
      </c>
      <c r="C11" s="204">
        <f t="shared" si="0"/>
        <v>46267</v>
      </c>
    </row>
    <row r="12" spans="1:4" ht="15" customHeight="1" x14ac:dyDescent="0.2">
      <c r="A12" s="259" t="s">
        <v>583</v>
      </c>
      <c r="B12" s="204">
        <f t="shared" si="1"/>
        <v>46268</v>
      </c>
      <c r="C12" s="204">
        <f t="shared" si="0"/>
        <v>46274</v>
      </c>
    </row>
    <row r="13" spans="1:4" ht="15" customHeight="1" x14ac:dyDescent="0.2">
      <c r="A13" s="203" t="s">
        <v>584</v>
      </c>
      <c r="B13" s="204">
        <f t="shared" si="1"/>
        <v>46275</v>
      </c>
      <c r="C13" s="204">
        <f t="shared" si="0"/>
        <v>46281</v>
      </c>
    </row>
    <row r="14" spans="1:4" ht="15" customHeight="1" x14ac:dyDescent="0.2">
      <c r="A14" s="203" t="s">
        <v>585</v>
      </c>
      <c r="B14" s="204">
        <f t="shared" si="1"/>
        <v>46282</v>
      </c>
      <c r="C14" s="204">
        <f t="shared" si="0"/>
        <v>46288</v>
      </c>
    </row>
    <row r="15" spans="1:4" ht="15" customHeight="1" x14ac:dyDescent="0.2">
      <c r="A15" s="203" t="s">
        <v>586</v>
      </c>
      <c r="B15" s="204">
        <f t="shared" si="1"/>
        <v>46289</v>
      </c>
      <c r="C15" s="204">
        <f t="shared" si="0"/>
        <v>46295</v>
      </c>
    </row>
    <row r="16" spans="1:4" ht="15" customHeight="1" x14ac:dyDescent="0.2">
      <c r="A16" s="203" t="s">
        <v>587</v>
      </c>
      <c r="B16" s="204">
        <f t="shared" si="1"/>
        <v>46296</v>
      </c>
      <c r="C16" s="204">
        <f t="shared" si="0"/>
        <v>46302</v>
      </c>
    </row>
    <row r="17" spans="1:3" ht="15" customHeight="1" x14ac:dyDescent="0.2">
      <c r="A17" s="203" t="s">
        <v>588</v>
      </c>
      <c r="B17" s="204">
        <f t="shared" si="1"/>
        <v>46303</v>
      </c>
      <c r="C17" s="204">
        <f t="shared" si="0"/>
        <v>46309</v>
      </c>
    </row>
    <row r="18" spans="1:3" ht="15" customHeight="1" x14ac:dyDescent="0.2">
      <c r="A18" s="203" t="s">
        <v>589</v>
      </c>
      <c r="B18" s="204">
        <f t="shared" si="1"/>
        <v>46310</v>
      </c>
      <c r="C18" s="204">
        <f t="shared" si="0"/>
        <v>46316</v>
      </c>
    </row>
    <row r="19" spans="1:3" ht="15" customHeight="1" x14ac:dyDescent="0.2">
      <c r="A19" s="203" t="s">
        <v>590</v>
      </c>
      <c r="B19" s="204">
        <f t="shared" si="1"/>
        <v>46317</v>
      </c>
      <c r="C19" s="204">
        <f t="shared" si="0"/>
        <v>46323</v>
      </c>
    </row>
    <row r="20" spans="1:3" ht="15" customHeight="1" x14ac:dyDescent="0.2">
      <c r="A20" s="203" t="s">
        <v>603</v>
      </c>
      <c r="B20" s="204">
        <f t="shared" si="1"/>
        <v>46324</v>
      </c>
      <c r="C20" s="204">
        <f t="shared" si="0"/>
        <v>46330</v>
      </c>
    </row>
    <row r="21" spans="1:3" ht="15" customHeight="1" x14ac:dyDescent="0.2">
      <c r="A21" s="203" t="s">
        <v>604</v>
      </c>
      <c r="B21" s="204">
        <f t="shared" si="1"/>
        <v>46331</v>
      </c>
      <c r="C21" s="204">
        <f t="shared" si="0"/>
        <v>46337</v>
      </c>
    </row>
    <row r="22" spans="1:3" ht="12.75" customHeight="1" x14ac:dyDescent="0.2"/>
    <row r="23" spans="1:3" ht="12.75" customHeight="1" x14ac:dyDescent="0.2"/>
    <row r="24" spans="1:3" ht="12.75" customHeight="1" x14ac:dyDescent="0.2"/>
    <row r="25" spans="1:3" ht="12.75" customHeight="1" x14ac:dyDescent="0.2"/>
    <row r="26" spans="1:3" ht="12.75" customHeight="1" x14ac:dyDescent="0.2"/>
    <row r="27" spans="1:3" ht="12.75" customHeight="1" x14ac:dyDescent="0.2"/>
    <row r="28" spans="1:3" ht="12.75" customHeight="1" x14ac:dyDescent="0.2"/>
    <row r="29" spans="1:3" ht="12.75" customHeight="1" x14ac:dyDescent="0.2"/>
    <row r="30" spans="1:3" ht="12.75" customHeight="1" x14ac:dyDescent="0.2"/>
    <row r="31" spans="1:3" ht="12.75" customHeight="1" x14ac:dyDescent="0.2"/>
    <row r="32" spans="1:3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printOptions horizontalCentered="1"/>
  <pageMargins left="0.25" right="0.25" top="0.75" bottom="0.75" header="0.511811023622047" footer="0.511811023622047"/>
  <pageSetup paperSize="8" fitToWidth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K148"/>
  <sheetViews>
    <sheetView showGridLines="0" zoomScaleNormal="100" workbookViewId="0">
      <pane xSplit="13" ySplit="3" topLeftCell="BX134" activePane="bottomRight" state="frozen"/>
      <selection pane="topRight" activeCell="AJ1" sqref="AJ1"/>
      <selection pane="bottomLeft" activeCell="A124" sqref="A124"/>
      <selection pane="bottomRight" activeCell="CA152" sqref="CA152"/>
    </sheetView>
  </sheetViews>
  <sheetFormatPr defaultColWidth="14.42578125" defaultRowHeight="12.75" x14ac:dyDescent="0.2"/>
  <cols>
    <col min="1" max="2" width="10" customWidth="1"/>
    <col min="3" max="3" width="22" customWidth="1"/>
    <col min="4" max="4" width="10" customWidth="1"/>
    <col min="5" max="5" width="38" customWidth="1"/>
    <col min="6" max="8" width="10" customWidth="1"/>
    <col min="9" max="9" width="10.42578125" customWidth="1"/>
    <col min="10" max="12" width="10" customWidth="1"/>
    <col min="13" max="13" width="6.42578125" customWidth="1"/>
    <col min="14" max="24" width="7" customWidth="1"/>
    <col min="25" max="25" width="7.85546875" customWidth="1"/>
    <col min="26" max="28" width="7" customWidth="1"/>
    <col min="29" max="29" width="7.85546875" customWidth="1"/>
    <col min="30" max="34" width="7" customWidth="1"/>
    <col min="35" max="35" width="7.85546875" customWidth="1"/>
    <col min="36" max="62" width="7" customWidth="1"/>
    <col min="63" max="63" width="7.85546875" bestFit="1" customWidth="1"/>
    <col min="64" max="80" width="7" customWidth="1"/>
    <col min="81" max="81" width="7.85546875" bestFit="1" customWidth="1"/>
    <col min="82" max="125" width="7" customWidth="1"/>
    <col min="126" max="141" width="9" customWidth="1"/>
  </cols>
  <sheetData>
    <row r="1" spans="1:141" ht="17.25" customHeight="1" x14ac:dyDescent="0.25">
      <c r="A1" s="198" t="s">
        <v>646</v>
      </c>
    </row>
    <row r="2" spans="1:141" ht="15" customHeight="1" x14ac:dyDescent="0.2">
      <c r="A2" s="201" t="s">
        <v>647</v>
      </c>
    </row>
    <row r="3" spans="1:141" ht="32.25" customHeight="1" x14ac:dyDescent="0.2">
      <c r="A3" s="205" t="s">
        <v>29</v>
      </c>
      <c r="B3" s="205" t="s">
        <v>648</v>
      </c>
      <c r="C3" s="205" t="s">
        <v>649</v>
      </c>
      <c r="D3" s="205" t="s">
        <v>650</v>
      </c>
      <c r="E3" s="205" t="s">
        <v>345</v>
      </c>
      <c r="F3" s="205" t="s">
        <v>651</v>
      </c>
      <c r="G3" s="205" t="s">
        <v>33</v>
      </c>
      <c r="H3" s="205" t="s">
        <v>652</v>
      </c>
      <c r="I3" s="205" t="s">
        <v>653</v>
      </c>
      <c r="J3" s="205" t="s">
        <v>654</v>
      </c>
      <c r="K3" s="205" t="s">
        <v>655</v>
      </c>
      <c r="L3" s="205" t="s">
        <v>656</v>
      </c>
      <c r="M3" s="205" t="s">
        <v>657</v>
      </c>
      <c r="N3" s="206" t="str">
        <f>"H1"&amp;CHAR(10)&amp;TEXT('KALENDER MINGGU'!$B$3+0,"dd-mmm")</f>
        <v>H1
23-Jul</v>
      </c>
      <c r="O3" s="206" t="str">
        <f>"H2"&amp;CHAR(10)&amp;TEXT('KALENDER MINGGU'!$B$3+1,"dd-mmm")</f>
        <v>H2
24-Jul</v>
      </c>
      <c r="P3" s="206" t="str">
        <f>"H3"&amp;CHAR(10)&amp;TEXT('KALENDER MINGGU'!$B$3+2,"dd-mmm")</f>
        <v>H3
25-Jul</v>
      </c>
      <c r="Q3" s="206" t="str">
        <f>"H4"&amp;CHAR(10)&amp;TEXT('KALENDER MINGGU'!$B$3+3,"dd-mmm")</f>
        <v>H4
26-Jul</v>
      </c>
      <c r="R3" s="206" t="str">
        <f>"H5"&amp;CHAR(10)&amp;TEXT('KALENDER MINGGU'!$B$3+4,"dd-mmm")</f>
        <v>H5
27-Jul</v>
      </c>
      <c r="S3" s="206" t="str">
        <f>"H6"&amp;CHAR(10)&amp;TEXT('KALENDER MINGGU'!$B$3+5,"dd-mmm")</f>
        <v>H6
28-Jul</v>
      </c>
      <c r="T3" s="206" t="str">
        <f>"H7"&amp;CHAR(10)&amp;TEXT('KALENDER MINGGU'!$B$3+6,"dd-mmm")</f>
        <v>H7
29-Jul</v>
      </c>
      <c r="U3" s="206" t="str">
        <f>"H8"&amp;CHAR(10)&amp;TEXT('KALENDER MINGGU'!$B$3+7,"dd-mmm")</f>
        <v>H8
30-Jul</v>
      </c>
      <c r="V3" s="206" t="str">
        <f>"H9"&amp;CHAR(10)&amp;TEXT('KALENDER MINGGU'!$B$3+8,"dd-mmm")</f>
        <v>H9
31-Jul</v>
      </c>
      <c r="W3" s="206" t="str">
        <f>"H10"&amp;CHAR(10)&amp;TEXT('KALENDER MINGGU'!$B$3+9,"dd-mmm")</f>
        <v>H10
01-Agu</v>
      </c>
      <c r="X3" s="206" t="str">
        <f>"H11"&amp;CHAR(10)&amp;TEXT('KALENDER MINGGU'!$B$3+10,"dd-mmm")</f>
        <v>H11
02-Agu</v>
      </c>
      <c r="Y3" s="206" t="str">
        <f>"H12"&amp;CHAR(10)&amp;TEXT('KALENDER MINGGU'!$B$3+11,"dd-mmm")</f>
        <v>H12
03-Agu</v>
      </c>
      <c r="Z3" s="206" t="str">
        <f>"H13"&amp;CHAR(10)&amp;TEXT('KALENDER MINGGU'!$B$3+12,"dd-mmm")</f>
        <v>H13
04-Agu</v>
      </c>
      <c r="AA3" s="206" t="str">
        <f>"H14"&amp;CHAR(10)&amp;TEXT('KALENDER MINGGU'!$B$3+13,"dd-mmm")</f>
        <v>H14
05-Agu</v>
      </c>
      <c r="AB3" s="206" t="str">
        <f>"H15"&amp;CHAR(10)&amp;TEXT('KALENDER MINGGU'!$B$3+14,"dd-mmm")</f>
        <v>H15
06-Agu</v>
      </c>
      <c r="AC3" s="206" t="str">
        <f>"H16"&amp;CHAR(10)&amp;TEXT('KALENDER MINGGU'!$B$3+15,"dd-mmm")</f>
        <v>H16
07-Agu</v>
      </c>
      <c r="AD3" s="206" t="str">
        <f>"H17"&amp;CHAR(10)&amp;TEXT('KALENDER MINGGU'!$B$3+16,"dd-mmm")</f>
        <v>H17
08-Agu</v>
      </c>
      <c r="AE3" s="206" t="str">
        <f>"H18"&amp;CHAR(10)&amp;TEXT('KALENDER MINGGU'!$B$3+17,"dd-mmm")</f>
        <v>H18
09-Agu</v>
      </c>
      <c r="AF3" s="206" t="str">
        <f>"H19"&amp;CHAR(10)&amp;TEXT('KALENDER MINGGU'!$B$3+18,"dd-mmm")</f>
        <v>H19
10-Agu</v>
      </c>
      <c r="AG3" s="206" t="str">
        <f>"H20"&amp;CHAR(10)&amp;TEXT('KALENDER MINGGU'!$B$3+19,"dd-mmm")</f>
        <v>H20
11-Agu</v>
      </c>
      <c r="AH3" s="206" t="str">
        <f>"H21"&amp;CHAR(10)&amp;TEXT('KALENDER MINGGU'!$B$3+20,"dd-mmm")</f>
        <v>H21
12-Agu</v>
      </c>
      <c r="AI3" s="206" t="str">
        <f>"H22"&amp;CHAR(10)&amp;TEXT('KALENDER MINGGU'!$B$3+21,"dd-mmm")</f>
        <v>H22
13-Agu</v>
      </c>
      <c r="AJ3" s="206" t="str">
        <f>"H23"&amp;CHAR(10)&amp;TEXT('KALENDER MINGGU'!$B$3+22,"dd-mmm")</f>
        <v>H23
14-Agu</v>
      </c>
      <c r="AK3" s="206" t="str">
        <f>"H24"&amp;CHAR(10)&amp;TEXT('KALENDER MINGGU'!$B$3+23,"dd-mmm")</f>
        <v>H24
15-Agu</v>
      </c>
      <c r="AL3" s="206" t="str">
        <f>"H25"&amp;CHAR(10)&amp;TEXT('KALENDER MINGGU'!$B$3+24,"dd-mmm")</f>
        <v>H25
16-Agu</v>
      </c>
      <c r="AM3" s="206" t="str">
        <f>"H26"&amp;CHAR(10)&amp;TEXT('KALENDER MINGGU'!$B$3+25,"dd-mmm")</f>
        <v>H26
17-Agu</v>
      </c>
      <c r="AN3" s="206" t="str">
        <f>"H27"&amp;CHAR(10)&amp;TEXT('KALENDER MINGGU'!$B$3+26,"dd-mmm")</f>
        <v>H27
18-Agu</v>
      </c>
      <c r="AO3" s="206" t="str">
        <f>"H28"&amp;CHAR(10)&amp;TEXT('KALENDER MINGGU'!$B$3+27,"dd-mmm")</f>
        <v>H28
19-Agu</v>
      </c>
      <c r="AP3" s="206" t="str">
        <f>"H29"&amp;CHAR(10)&amp;TEXT('KALENDER MINGGU'!$B$3+28,"dd-mmm")</f>
        <v>H29
20-Agu</v>
      </c>
      <c r="AQ3" s="206" t="str">
        <f>"H30"&amp;CHAR(10)&amp;TEXT('KALENDER MINGGU'!$B$3+29,"dd-mmm")</f>
        <v>H30
21-Agu</v>
      </c>
      <c r="AR3" s="206" t="str">
        <f>"H31"&amp;CHAR(10)&amp;TEXT('KALENDER MINGGU'!$B$3+30,"dd-mmm")</f>
        <v>H31
22-Agu</v>
      </c>
      <c r="AS3" s="206" t="str">
        <f>"H32"&amp;CHAR(10)&amp;TEXT('KALENDER MINGGU'!$B$3+31,"dd-mmm")</f>
        <v>H32
23-Agu</v>
      </c>
      <c r="AT3" s="206" t="str">
        <f>"H33"&amp;CHAR(10)&amp;TEXT('KALENDER MINGGU'!$B$3+32,"dd-mmm")</f>
        <v>H33
24-Agu</v>
      </c>
      <c r="AU3" s="206" t="str">
        <f>"H34"&amp;CHAR(10)&amp;TEXT('KALENDER MINGGU'!$B$3+33,"dd-mmm")</f>
        <v>H34
25-Agu</v>
      </c>
      <c r="AV3" s="206" t="str">
        <f>"H35"&amp;CHAR(10)&amp;TEXT('KALENDER MINGGU'!$B$3+34,"dd-mmm")</f>
        <v>H35
26-Agu</v>
      </c>
      <c r="AW3" s="206" t="str">
        <f>"H36"&amp;CHAR(10)&amp;TEXT('KALENDER MINGGU'!$B$3+35,"dd-mmm")</f>
        <v>H36
27-Agu</v>
      </c>
      <c r="AX3" s="206" t="str">
        <f>"H37"&amp;CHAR(10)&amp;TEXT('KALENDER MINGGU'!$B$3+36,"dd-mmm")</f>
        <v>H37
28-Agu</v>
      </c>
      <c r="AY3" s="206" t="str">
        <f>"H38"&amp;CHAR(10)&amp;TEXT('KALENDER MINGGU'!$B$3+37,"dd-mmm")</f>
        <v>H38
29-Agu</v>
      </c>
      <c r="AZ3" s="206" t="str">
        <f>"H39"&amp;CHAR(10)&amp;TEXT('KALENDER MINGGU'!$B$3+38,"dd-mmm")</f>
        <v>H39
30-Agu</v>
      </c>
      <c r="BA3" s="206" t="str">
        <f>"H40"&amp;CHAR(10)&amp;TEXT('KALENDER MINGGU'!$B$3+39,"dd-mmm")</f>
        <v>H40
31-Agu</v>
      </c>
      <c r="BB3" s="206" t="str">
        <f>"H41"&amp;CHAR(10)&amp;TEXT('KALENDER MINGGU'!$B$3+40,"dd-mmm")</f>
        <v>H41
01-Sep</v>
      </c>
      <c r="BC3" s="206" t="str">
        <f>"H42"&amp;CHAR(10)&amp;TEXT('KALENDER MINGGU'!$B$3+41,"dd-mmm")</f>
        <v>H42
02-Sep</v>
      </c>
      <c r="BD3" s="206" t="str">
        <f>"H43"&amp;CHAR(10)&amp;TEXT('KALENDER MINGGU'!$B$3+42,"dd-mmm")</f>
        <v>H43
03-Sep</v>
      </c>
      <c r="BE3" s="206" t="str">
        <f>"H44"&amp;CHAR(10)&amp;TEXT('KALENDER MINGGU'!$B$3+43,"dd-mmm")</f>
        <v>H44
04-Sep</v>
      </c>
      <c r="BF3" s="206" t="str">
        <f>"H45"&amp;CHAR(10)&amp;TEXT('KALENDER MINGGU'!$B$3+44,"dd-mmm")</f>
        <v>H45
05-Sep</v>
      </c>
      <c r="BG3" s="206" t="str">
        <f>"H46"&amp;CHAR(10)&amp;TEXT('KALENDER MINGGU'!$B$3+45,"dd-mmm")</f>
        <v>H46
06-Sep</v>
      </c>
      <c r="BH3" s="206" t="str">
        <f>"H47"&amp;CHAR(10)&amp;TEXT('KALENDER MINGGU'!$B$3+46,"dd-mmm")</f>
        <v>H47
07-Sep</v>
      </c>
      <c r="BI3" s="206" t="str">
        <f>"H48"&amp;CHAR(10)&amp;TEXT('KALENDER MINGGU'!$B$3+47,"dd-mmm")</f>
        <v>H48
08-Sep</v>
      </c>
      <c r="BJ3" s="206" t="str">
        <f>"H49"&amp;CHAR(10)&amp;TEXT('KALENDER MINGGU'!$B$3+48,"dd-mmm")</f>
        <v>H49
09-Sep</v>
      </c>
      <c r="BK3" s="206" t="str">
        <f>"H50"&amp;CHAR(10)&amp;TEXT('KALENDER MINGGU'!$B$3+49,"dd-mmm")</f>
        <v>H50
10-Sep</v>
      </c>
      <c r="BL3" s="206" t="str">
        <f>"H51"&amp;CHAR(10)&amp;TEXT('KALENDER MINGGU'!$B$3+50,"dd-mmm")</f>
        <v>H51
11-Sep</v>
      </c>
      <c r="BM3" s="206" t="str">
        <f>"H52"&amp;CHAR(10)&amp;TEXT('KALENDER MINGGU'!$B$3+51,"dd-mmm")</f>
        <v>H52
12-Sep</v>
      </c>
      <c r="BN3" s="206" t="str">
        <f>"H53"&amp;CHAR(10)&amp;TEXT('KALENDER MINGGU'!$B$3+52,"dd-mmm")</f>
        <v>H53
13-Sep</v>
      </c>
      <c r="BO3" s="206" t="str">
        <f>"H54"&amp;CHAR(10)&amp;TEXT('KALENDER MINGGU'!$B$3+53,"dd-mmm")</f>
        <v>H54
14-Sep</v>
      </c>
      <c r="BP3" s="206" t="str">
        <f>"H55"&amp;CHAR(10)&amp;TEXT('KALENDER MINGGU'!$B$3+54,"dd-mmm")</f>
        <v>H55
15-Sep</v>
      </c>
      <c r="BQ3" s="206" t="str">
        <f>"H56"&amp;CHAR(10)&amp;TEXT('KALENDER MINGGU'!$B$3+55,"dd-mmm")</f>
        <v>H56
16-Sep</v>
      </c>
      <c r="BR3" s="206" t="str">
        <f>"H57"&amp;CHAR(10)&amp;TEXT('KALENDER MINGGU'!$B$3+56,"dd-mmm")</f>
        <v>H57
17-Sep</v>
      </c>
      <c r="BS3" s="206" t="str">
        <f>"H58"&amp;CHAR(10)&amp;TEXT('KALENDER MINGGU'!$B$3+57,"dd-mmm")</f>
        <v>H58
18-Sep</v>
      </c>
      <c r="BT3" s="206" t="str">
        <f>"H59"&amp;CHAR(10)&amp;TEXT('KALENDER MINGGU'!$B$3+58,"dd-mmm")</f>
        <v>H59
19-Sep</v>
      </c>
      <c r="BU3" s="206" t="str">
        <f>"H60"&amp;CHAR(10)&amp;TEXT('KALENDER MINGGU'!$B$3+59,"dd-mmm")</f>
        <v>H60
20-Sep</v>
      </c>
      <c r="BV3" s="206" t="str">
        <f>"H61"&amp;CHAR(10)&amp;TEXT('KALENDER MINGGU'!$B$3+60,"dd-mmm")</f>
        <v>H61
21-Sep</v>
      </c>
      <c r="BW3" s="206" t="str">
        <f>"H62"&amp;CHAR(10)&amp;TEXT('KALENDER MINGGU'!$B$3+61,"dd-mmm")</f>
        <v>H62
22-Sep</v>
      </c>
      <c r="BX3" s="206" t="str">
        <f>"H63"&amp;CHAR(10)&amp;TEXT('KALENDER MINGGU'!$B$3+62,"dd-mmm")</f>
        <v>H63
23-Sep</v>
      </c>
      <c r="BY3" s="206" t="str">
        <f>"H64"&amp;CHAR(10)&amp;TEXT('KALENDER MINGGU'!$B$3+63,"dd-mmm")</f>
        <v>H64
24-Sep</v>
      </c>
      <c r="BZ3" s="206" t="str">
        <f>"H65"&amp;CHAR(10)&amp;TEXT('KALENDER MINGGU'!$B$3+64,"dd-mmm")</f>
        <v>H65
25-Sep</v>
      </c>
      <c r="CA3" s="206" t="str">
        <f>"H66"&amp;CHAR(10)&amp;TEXT('KALENDER MINGGU'!$B$3+65,"dd-mmm")</f>
        <v>H66
26-Sep</v>
      </c>
      <c r="CB3" s="206" t="str">
        <f>"H67"&amp;CHAR(10)&amp;TEXT('KALENDER MINGGU'!$B$3+66,"dd-mmm")</f>
        <v>H67
27-Sep</v>
      </c>
      <c r="CC3" s="206" t="str">
        <f>"H68"&amp;CHAR(10)&amp;TEXT('KALENDER MINGGU'!$B$3+67,"dd-mmm")</f>
        <v>H68
28-Sep</v>
      </c>
      <c r="CD3" s="206" t="str">
        <f>"H69"&amp;CHAR(10)&amp;TEXT('KALENDER MINGGU'!$B$3+68,"dd-mmm")</f>
        <v>H69
29-Sep</v>
      </c>
      <c r="CE3" s="206" t="str">
        <f>"H70"&amp;CHAR(10)&amp;TEXT('KALENDER MINGGU'!$B$3+69,"dd-mmm")</f>
        <v>H70
30-Sep</v>
      </c>
      <c r="CF3" s="206" t="str">
        <f>"H71"&amp;CHAR(10)&amp;TEXT('KALENDER MINGGU'!$B$3+70,"dd-mmm")</f>
        <v>H71
01-Okt</v>
      </c>
      <c r="CG3" s="206" t="str">
        <f>"H72"&amp;CHAR(10)&amp;TEXT('KALENDER MINGGU'!$B$3+71,"dd-mmm")</f>
        <v>H72
02-Okt</v>
      </c>
      <c r="CH3" s="206" t="str">
        <f>"H73"&amp;CHAR(10)&amp;TEXT('KALENDER MINGGU'!$B$3+72,"dd-mmm")</f>
        <v>H73
03-Okt</v>
      </c>
      <c r="CI3" s="206" t="str">
        <f>"H74"&amp;CHAR(10)&amp;TEXT('KALENDER MINGGU'!$B$3+73,"dd-mmm")</f>
        <v>H74
04-Okt</v>
      </c>
      <c r="CJ3" s="206" t="str">
        <f>"H75"&amp;CHAR(10)&amp;TEXT('KALENDER MINGGU'!$B$3+74,"dd-mmm")</f>
        <v>H75
05-Okt</v>
      </c>
      <c r="CK3" s="206" t="str">
        <f>"H76"&amp;CHAR(10)&amp;TEXT('KALENDER MINGGU'!$B$3+75,"dd-mmm")</f>
        <v>H76
06-Okt</v>
      </c>
      <c r="CL3" s="206" t="str">
        <f>"H77"&amp;CHAR(10)&amp;TEXT('KALENDER MINGGU'!$B$3+76,"dd-mmm")</f>
        <v>H77
07-Okt</v>
      </c>
      <c r="CM3" s="206" t="str">
        <f>"H78"&amp;CHAR(10)&amp;TEXT('KALENDER MINGGU'!$B$3+77,"dd-mmm")</f>
        <v>H78
08-Okt</v>
      </c>
      <c r="CN3" s="206" t="str">
        <f>"H79"&amp;CHAR(10)&amp;TEXT('KALENDER MINGGU'!$B$3+78,"dd-mmm")</f>
        <v>H79
09-Okt</v>
      </c>
      <c r="CO3" s="206" t="str">
        <f>"H80"&amp;CHAR(10)&amp;TEXT('KALENDER MINGGU'!$B$3+79,"dd-mmm")</f>
        <v>H80
10-Okt</v>
      </c>
      <c r="CP3" s="206" t="str">
        <f>"H81"&amp;CHAR(10)&amp;TEXT('KALENDER MINGGU'!$B$3+80,"dd-mmm")</f>
        <v>H81
11-Okt</v>
      </c>
      <c r="CQ3" s="206" t="str">
        <f>"H82"&amp;CHAR(10)&amp;TEXT('KALENDER MINGGU'!$B$3+81,"dd-mmm")</f>
        <v>H82
12-Okt</v>
      </c>
      <c r="CR3" s="206" t="str">
        <f>"H83"&amp;CHAR(10)&amp;TEXT('KALENDER MINGGU'!$B$3+82,"dd-mmm")</f>
        <v>H83
13-Okt</v>
      </c>
      <c r="CS3" s="206" t="str">
        <f>"H84"&amp;CHAR(10)&amp;TEXT('KALENDER MINGGU'!$B$3+83,"dd-mmm")</f>
        <v>H84
14-Okt</v>
      </c>
      <c r="CT3" s="206" t="str">
        <f>"H85"&amp;CHAR(10)&amp;TEXT('KALENDER MINGGU'!$B$3+84,"dd-mmm")</f>
        <v>H85
15-Okt</v>
      </c>
      <c r="CU3" s="206" t="str">
        <f>"H86"&amp;CHAR(10)&amp;TEXT('KALENDER MINGGU'!$B$3+85,"dd-mmm")</f>
        <v>H86
16-Okt</v>
      </c>
      <c r="CV3" s="206" t="str">
        <f>"H87"&amp;CHAR(10)&amp;TEXT('KALENDER MINGGU'!$B$3+86,"dd-mmm")</f>
        <v>H87
17-Okt</v>
      </c>
      <c r="CW3" s="206" t="str">
        <f>"H88"&amp;CHAR(10)&amp;TEXT('KALENDER MINGGU'!$B$3+87,"dd-mmm")</f>
        <v>H88
18-Okt</v>
      </c>
      <c r="CX3" s="206" t="str">
        <f>"H89"&amp;CHAR(10)&amp;TEXT('KALENDER MINGGU'!$B$3+88,"dd-mmm")</f>
        <v>H89
19-Okt</v>
      </c>
      <c r="CY3" s="206" t="str">
        <f>"H90"&amp;CHAR(10)&amp;TEXT('KALENDER MINGGU'!$B$3+89,"dd-mmm")</f>
        <v>H90
20-Okt</v>
      </c>
      <c r="CZ3" s="206" t="str">
        <f>"H91"&amp;CHAR(10)&amp;TEXT('KALENDER MINGGU'!$B$3+90,"dd-mmm")</f>
        <v>H91
21-Okt</v>
      </c>
      <c r="DA3" s="206" t="str">
        <f>"H92"&amp;CHAR(10)&amp;TEXT('KALENDER MINGGU'!$B$3+91,"dd-mmm")</f>
        <v>H92
22-Okt</v>
      </c>
      <c r="DB3" s="206" t="str">
        <f>"H93"&amp;CHAR(10)&amp;TEXT('KALENDER MINGGU'!$B$3+92,"dd-mmm")</f>
        <v>H93
23-Okt</v>
      </c>
      <c r="DC3" s="206" t="str">
        <f>"H94"&amp;CHAR(10)&amp;TEXT('KALENDER MINGGU'!$B$3+93,"dd-mmm")</f>
        <v>H94
24-Okt</v>
      </c>
      <c r="DD3" s="206" t="str">
        <f>"H95"&amp;CHAR(10)&amp;TEXT('KALENDER MINGGU'!$B$3+94,"dd-mmm")</f>
        <v>H95
25-Okt</v>
      </c>
      <c r="DE3" s="206" t="str">
        <f>"H96"&amp;CHAR(10)&amp;TEXT('KALENDER MINGGU'!$B$3+95,"dd-mmm")</f>
        <v>H96
26-Okt</v>
      </c>
      <c r="DF3" s="206" t="str">
        <f>"H97"&amp;CHAR(10)&amp;TEXT('KALENDER MINGGU'!$B$3+96,"dd-mmm")</f>
        <v>H97
27-Okt</v>
      </c>
      <c r="DG3" s="206" t="str">
        <f>"H98"&amp;CHAR(10)&amp;TEXT('KALENDER MINGGU'!$B$3+97,"dd-mmm")</f>
        <v>H98
28-Okt</v>
      </c>
      <c r="DH3" s="206" t="str">
        <f>"H99"&amp;CHAR(10)&amp;TEXT('KALENDER MINGGU'!$B$3+98,"dd-mmm")</f>
        <v>H99
29-Okt</v>
      </c>
      <c r="DI3" s="206" t="str">
        <f>"H100"&amp;CHAR(10)&amp;TEXT('KALENDER MINGGU'!$B$3+99,"dd-mmm")</f>
        <v>H100
30-Okt</v>
      </c>
      <c r="DJ3" s="206" t="str">
        <f>"H101"&amp;CHAR(10)&amp;TEXT('KALENDER MINGGU'!$B$3+100,"dd-mmm")</f>
        <v>H101
31-Okt</v>
      </c>
      <c r="DK3" s="206" t="str">
        <f>"H102"&amp;CHAR(10)&amp;TEXT('KALENDER MINGGU'!$B$3+101,"dd-mmm")</f>
        <v>H102
01-Nov</v>
      </c>
      <c r="DL3" s="206" t="str">
        <f>"H103"&amp;CHAR(10)&amp;TEXT('KALENDER MINGGU'!$B$3+102,"dd-mmm")</f>
        <v>H103
02-Nov</v>
      </c>
      <c r="DM3" s="206" t="str">
        <f>"H104"&amp;CHAR(10)&amp;TEXT('KALENDER MINGGU'!$B$3+103,"dd-mmm")</f>
        <v>H104
03-Nov</v>
      </c>
      <c r="DN3" s="206" t="str">
        <f>"H105"&amp;CHAR(10)&amp;TEXT('KALENDER MINGGU'!$B$3+104,"dd-mmm")</f>
        <v>H105
04-Nov</v>
      </c>
      <c r="DO3" s="206" t="str">
        <f>"H106"&amp;CHAR(10)&amp;TEXT('KALENDER MINGGU'!$B$3+105,"dd-mmm")</f>
        <v>H106
05-Nov</v>
      </c>
      <c r="DP3" s="206" t="str">
        <f>"H107"&amp;CHAR(10)&amp;TEXT('KALENDER MINGGU'!$B$3+106,"dd-mmm")</f>
        <v>H107
06-Nov</v>
      </c>
      <c r="DQ3" s="206" t="str">
        <f>"H108"&amp;CHAR(10)&amp;TEXT('KALENDER MINGGU'!$B$3+107,"dd-mmm")</f>
        <v>H108
07-Nov</v>
      </c>
      <c r="DR3" s="206" t="str">
        <f>"H109"&amp;CHAR(10)&amp;TEXT('KALENDER MINGGU'!$B$3+108,"dd-mmm")</f>
        <v>H109
08-Nov</v>
      </c>
      <c r="DS3" s="206" t="str">
        <f>"H110"&amp;CHAR(10)&amp;TEXT('KALENDER MINGGU'!$B$3+109,"dd-mmm")</f>
        <v>H110
09-Nov</v>
      </c>
      <c r="DT3" s="206" t="str">
        <f>"H111"&amp;CHAR(10)&amp;TEXT('KALENDER MINGGU'!$B$3+110,"dd-mmm")</f>
        <v>H111
10-Nov</v>
      </c>
      <c r="DU3" s="206" t="str">
        <f>"H112"&amp;CHAR(10)&amp;TEXT('KALENDER MINGGU'!$B$3+111,"dd-mmm")</f>
        <v>H112
11-Nov</v>
      </c>
      <c r="DV3" s="207" t="s">
        <v>658</v>
      </c>
      <c r="DW3" s="207" t="s">
        <v>659</v>
      </c>
      <c r="DX3" s="207" t="s">
        <v>660</v>
      </c>
      <c r="DY3" s="207" t="s">
        <v>661</v>
      </c>
      <c r="DZ3" s="207" t="s">
        <v>662</v>
      </c>
      <c r="EA3" s="207" t="s">
        <v>663</v>
      </c>
      <c r="EB3" s="207" t="s">
        <v>664</v>
      </c>
      <c r="EC3" s="207" t="s">
        <v>665</v>
      </c>
      <c r="ED3" s="207" t="s">
        <v>666</v>
      </c>
      <c r="EE3" s="207" t="s">
        <v>667</v>
      </c>
      <c r="EF3" s="207" t="s">
        <v>668</v>
      </c>
      <c r="EG3" s="207" t="s">
        <v>669</v>
      </c>
      <c r="EH3" s="207" t="s">
        <v>670</v>
      </c>
      <c r="EI3" s="207" t="s">
        <v>671</v>
      </c>
      <c r="EJ3" s="207" t="s">
        <v>672</v>
      </c>
      <c r="EK3" s="207" t="s">
        <v>673</v>
      </c>
    </row>
    <row r="4" spans="1:141" ht="15" customHeight="1" x14ac:dyDescent="0.2">
      <c r="A4" s="208">
        <v>1</v>
      </c>
      <c r="B4" s="208">
        <v>8</v>
      </c>
      <c r="C4" s="208" t="str">
        <f>IF(B4&lt;160,'BOBOT PEK'!$B$4,IF(B4&lt;207,'BOBOT PEK'!$B$160,'BOBOT PEK'!$B$207))</f>
        <v>Pekerjaan Gudang Umum</v>
      </c>
      <c r="D4" s="208" t="s">
        <v>38</v>
      </c>
      <c r="E4" s="208" t="str">
        <f>'BOBOT PEK'!C8</f>
        <v>PEKERJAAN PERSIAPAN</v>
      </c>
      <c r="F4" s="209">
        <f>IF(OR('BOBOT PEK'!E8="",'BOBOT PEK'!E8=0),1,'BOBOT PEK'!E8)</f>
        <v>1</v>
      </c>
      <c r="G4" s="208" t="str">
        <f>IF('BOBOT PEK'!F8="","ls",'BOBOT PEK'!F8)</f>
        <v>ls</v>
      </c>
      <c r="H4" s="210">
        <f>'BOBOT PEK'!J8</f>
        <v>0</v>
      </c>
      <c r="I4" s="211">
        <f>'KALENDER MINGGU'!$B$3</f>
        <v>46226</v>
      </c>
      <c r="J4" s="209">
        <f t="shared" ref="J4:J35" si="0">SUM(N4:DU4)</f>
        <v>1</v>
      </c>
      <c r="K4" s="209">
        <f t="shared" ref="K4:K35" si="1">MAX(F4-J4,0)</f>
        <v>0</v>
      </c>
      <c r="L4" s="212">
        <f t="shared" ref="L4:L35" si="2">MIN(J4/F4,1)</f>
        <v>1</v>
      </c>
      <c r="M4" s="208" t="str">
        <f t="shared" ref="M4:M35" si="3">IF(J4&gt;F4,"MELEBIHI VOLUME!","OK")</f>
        <v>OK</v>
      </c>
      <c r="N4" s="213">
        <v>1</v>
      </c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3"/>
      <c r="BN4" s="213"/>
      <c r="BO4" s="213"/>
      <c r="BP4" s="213"/>
      <c r="BQ4" s="213"/>
      <c r="BR4" s="213"/>
      <c r="BS4" s="213"/>
      <c r="BT4" s="213"/>
      <c r="BU4" s="213"/>
      <c r="BV4" s="213"/>
      <c r="BW4" s="213"/>
      <c r="BX4" s="213"/>
      <c r="BY4" s="213"/>
      <c r="BZ4" s="213"/>
      <c r="CA4" s="213"/>
      <c r="CB4" s="213"/>
      <c r="CC4" s="213"/>
      <c r="CD4" s="213"/>
      <c r="CE4" s="213"/>
      <c r="CF4" s="213"/>
      <c r="CG4" s="213"/>
      <c r="CH4" s="213"/>
      <c r="CI4" s="213"/>
      <c r="CJ4" s="213"/>
      <c r="CK4" s="213"/>
      <c r="CL4" s="213"/>
      <c r="CM4" s="213"/>
      <c r="CN4" s="213"/>
      <c r="CO4" s="213"/>
      <c r="CP4" s="213"/>
      <c r="CQ4" s="213"/>
      <c r="CR4" s="213"/>
      <c r="CS4" s="213"/>
      <c r="CT4" s="213"/>
      <c r="CU4" s="213"/>
      <c r="CV4" s="213"/>
      <c r="CW4" s="213"/>
      <c r="CX4" s="213"/>
      <c r="CY4" s="213"/>
      <c r="CZ4" s="213"/>
      <c r="DA4" s="213"/>
      <c r="DB4" s="213"/>
      <c r="DC4" s="213"/>
      <c r="DD4" s="213"/>
      <c r="DE4" s="213"/>
      <c r="DF4" s="213"/>
      <c r="DG4" s="213"/>
      <c r="DH4" s="213"/>
      <c r="DI4" s="213"/>
      <c r="DJ4" s="213"/>
      <c r="DK4" s="213"/>
      <c r="DL4" s="213"/>
      <c r="DM4" s="213"/>
      <c r="DN4" s="213"/>
      <c r="DO4" s="213"/>
      <c r="DP4" s="213"/>
      <c r="DQ4" s="213"/>
      <c r="DR4" s="213"/>
      <c r="DS4" s="213"/>
      <c r="DT4" s="213"/>
      <c r="DU4" s="213"/>
      <c r="DV4" s="210">
        <f>SUMPRODUCT((($I4+COLUMN($N$3:$DU$3)-COLUMN($N$3))&gt;='KALENDER MINGGU'!$B$6)*(($I4+COLUMN($N$3:$DU$3)-COLUMN($N$3))&lt;='KALENDER MINGGU'!$C$6)*(N4:DU4))/F4*H4</f>
        <v>0</v>
      </c>
      <c r="DW4" s="210">
        <f>SUMPRODUCT((($I4+COLUMN($N$3:$DU$3)-COLUMN($N$3))&gt;='KALENDER MINGGU'!$B$7)*(($I4+COLUMN($N$3:$DU$3)-COLUMN($N$3))&lt;='KALENDER MINGGU'!$C$7)*(N4:DU4))/F4*H4</f>
        <v>0</v>
      </c>
      <c r="DX4" s="210">
        <f>SUMPRODUCT((($I4+COLUMN($N$3:$DU$3)-COLUMN($N$3))&gt;='KALENDER MINGGU'!$B$8)*(($I4+COLUMN($N$3:$DU$3)-COLUMN($N$3))&lt;='KALENDER MINGGU'!$C$8)*(N4:DU4))/F4*H4</f>
        <v>0</v>
      </c>
      <c r="DY4" s="210">
        <f>SUMPRODUCT((($I4+COLUMN($N$3:$DU$3)-COLUMN($N$3))&gt;='KALENDER MINGGU'!$B$9)*(($I4+COLUMN($N$3:$DU$3)-COLUMN($N$3))&lt;='KALENDER MINGGU'!$C$9)*(N4:DU4))/F4*H4</f>
        <v>0</v>
      </c>
      <c r="DZ4" s="210">
        <f>SUMPRODUCT((($I4+COLUMN($N$3:$DU$3)-COLUMN($N$3))&gt;='KALENDER MINGGU'!$B$10)*(($I4+COLUMN($N$3:$DU$3)-COLUMN($N$3))&lt;='KALENDER MINGGU'!$C$10)*(N4:DU4))/F4*H4</f>
        <v>0</v>
      </c>
      <c r="EA4" s="210">
        <f>SUMPRODUCT((($I4+COLUMN($N$3:$DU$3)-COLUMN($N$3))&gt;='KALENDER MINGGU'!$B$11)*(($I4+COLUMN($N$3:$DU$3)-COLUMN($N$3))&lt;='KALENDER MINGGU'!$C$11)*(N4:DU4))/F4*H4</f>
        <v>0</v>
      </c>
      <c r="EB4" s="210">
        <f>SUMPRODUCT((($I4+COLUMN($N$3:$DU$3)-COLUMN($N$3))&gt;='KALENDER MINGGU'!$B$12)*(($I4+COLUMN($N$3:$DU$3)-COLUMN($N$3))&lt;='KALENDER MINGGU'!$C$12)*(N4:DU4))/F4*H4</f>
        <v>0</v>
      </c>
      <c r="EC4" s="210">
        <f>SUMPRODUCT((($I4+COLUMN($N$3:$DU$3)-COLUMN($N$3))&gt;='KALENDER MINGGU'!$B$13)*(($I4+COLUMN($N$3:$DU$3)-COLUMN($N$3))&lt;='KALENDER MINGGU'!$C$13)*(N4:DU4))/F4*H4</f>
        <v>0</v>
      </c>
      <c r="ED4" s="210">
        <f>SUMPRODUCT((($I4+COLUMN($N$3:$DU$3)-COLUMN($N$3))&gt;='KALENDER MINGGU'!$B$14)*(($I4+COLUMN($N$3:$DU$3)-COLUMN($N$3))&lt;='KALENDER MINGGU'!$C$14)*(N4:DU4))/F4*H4</f>
        <v>0</v>
      </c>
      <c r="EE4" s="210">
        <f>SUMPRODUCT((($I4+COLUMN($N$3:$DU$3)-COLUMN($N$3))&gt;='KALENDER MINGGU'!$B$15)*(($I4+COLUMN($N$3:$DU$3)-COLUMN($N$3))&lt;='KALENDER MINGGU'!$C$15)*(N4:DU4))/F4*H4</f>
        <v>0</v>
      </c>
      <c r="EF4" s="210">
        <f>SUMPRODUCT((($I4+COLUMN($N$3:$DU$3)-COLUMN($N$3))&gt;='KALENDER MINGGU'!$B$16)*(($I4+COLUMN($N$3:$DU$3)-COLUMN($N$3))&lt;='KALENDER MINGGU'!$C$16)*(N4:DU4))/F4*H4</f>
        <v>0</v>
      </c>
      <c r="EG4" s="210">
        <f>SUMPRODUCT((($I4+COLUMN($N$3:$DU$3)-COLUMN($N$3))&gt;='KALENDER MINGGU'!$B$17)*(($I4+COLUMN($N$3:$DU$3)-COLUMN($N$3))&lt;='KALENDER MINGGU'!$C$17)*(N4:DU4))/F4*H4</f>
        <v>0</v>
      </c>
      <c r="EH4" s="210">
        <f>SUMPRODUCT((($I4+COLUMN($N$3:$DU$3)-COLUMN($N$3))&gt;='KALENDER MINGGU'!$B$18)*(($I4+COLUMN($N$3:$DU$3)-COLUMN($N$3))&lt;='KALENDER MINGGU'!$C$18)*(N4:DU4))/F4*H4</f>
        <v>0</v>
      </c>
      <c r="EI4" s="210">
        <f>SUMPRODUCT((($I4+COLUMN($N$3:$DU$3)-COLUMN($N$3))&gt;='KALENDER MINGGU'!$B$19)*(($I4+COLUMN($N$3:$DU$3)-COLUMN($N$3))&lt;='KALENDER MINGGU'!$C$19)*(N4:DU4))/F4*H4</f>
        <v>0</v>
      </c>
      <c r="EJ4" s="210">
        <f>SUMPRODUCT((($I4+COLUMN($N$3:$DU$3)-COLUMN($N$3))&gt;='KALENDER MINGGU'!$B$20)*(($I4+COLUMN($N$3:$DU$3)-COLUMN($N$3))&lt;='KALENDER MINGGU'!$C$20)*(N4:DU4))/F4*H4</f>
        <v>0</v>
      </c>
      <c r="EK4" s="210">
        <f>SUMPRODUCT((($I4+COLUMN($N$3:$DU$3)-COLUMN($N$3))&gt;='KALENDER MINGGU'!$B$21)*(($I4+COLUMN($N$3:$DU$3)-COLUMN($N$3))&lt;='KALENDER MINGGU'!$C$21)*(N4:DU4))/F4*H4</f>
        <v>0</v>
      </c>
    </row>
    <row r="5" spans="1:141" ht="15" customHeight="1" x14ac:dyDescent="0.2">
      <c r="A5" s="208">
        <v>2</v>
      </c>
      <c r="B5" s="208">
        <v>9</v>
      </c>
      <c r="C5" s="208" t="str">
        <f>IF(B5&lt;160,'BOBOT PEK'!$B$4,IF(B5&lt;207,'BOBOT PEK'!$B$160,'BOBOT PEK'!$B$207))</f>
        <v>Pekerjaan Gudang Umum</v>
      </c>
      <c r="D5" s="208" t="s">
        <v>38</v>
      </c>
      <c r="E5" s="208" t="str">
        <f>'BOBOT PEK'!C9</f>
        <v>Pekerjaan Persiapan</v>
      </c>
      <c r="F5" s="209">
        <f>IF(OR('BOBOT PEK'!E9="",'BOBOT PEK'!E9=0),1,'BOBOT PEK'!E9)</f>
        <v>1</v>
      </c>
      <c r="G5" s="208" t="str">
        <f>IF('BOBOT PEK'!F9="","ls",'BOBOT PEK'!F9)</f>
        <v>Is</v>
      </c>
      <c r="H5" s="210">
        <f>'BOBOT PEK'!J9</f>
        <v>0.51167492592803177</v>
      </c>
      <c r="I5" s="211">
        <f>'KALENDER MINGGU'!$B$3</f>
        <v>46226</v>
      </c>
      <c r="J5" s="209">
        <f t="shared" si="0"/>
        <v>1</v>
      </c>
      <c r="K5" s="209">
        <f t="shared" si="1"/>
        <v>0</v>
      </c>
      <c r="L5" s="212">
        <f t="shared" si="2"/>
        <v>1</v>
      </c>
      <c r="M5" s="208" t="str">
        <f t="shared" si="3"/>
        <v>OK</v>
      </c>
      <c r="N5" s="213">
        <v>1</v>
      </c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13"/>
      <c r="DG5" s="213"/>
      <c r="DH5" s="213"/>
      <c r="DI5" s="213"/>
      <c r="DJ5" s="213"/>
      <c r="DK5" s="213"/>
      <c r="DL5" s="213"/>
      <c r="DM5" s="213"/>
      <c r="DN5" s="213"/>
      <c r="DO5" s="213"/>
      <c r="DP5" s="213"/>
      <c r="DQ5" s="213"/>
      <c r="DR5" s="213"/>
      <c r="DS5" s="213"/>
      <c r="DT5" s="213"/>
      <c r="DU5" s="213"/>
      <c r="DV5" s="210">
        <f>SUMPRODUCT((($I5+COLUMN($N$3:$DU$3)-COLUMN($N$3))&gt;='KALENDER MINGGU'!$B$6)*(($I5+COLUMN($N$3:$DU$3)-COLUMN($N$3))&lt;='KALENDER MINGGU'!$C$6)*(N5:DU5))/F5*H5</f>
        <v>0.51167492592803177</v>
      </c>
      <c r="DW5" s="210">
        <f>SUMPRODUCT((($I5+COLUMN($N$3:$DU$3)-COLUMN($N$3))&gt;='KALENDER MINGGU'!$B$7)*(($I5+COLUMN($N$3:$DU$3)-COLUMN($N$3))&lt;='KALENDER MINGGU'!$C$7)*(N5:DU5))/F5*H5</f>
        <v>0</v>
      </c>
      <c r="DX5" s="210">
        <f>SUMPRODUCT((($I5+COLUMN($N$3:$DU$3)-COLUMN($N$3))&gt;='KALENDER MINGGU'!$B$8)*(($I5+COLUMN($N$3:$DU$3)-COLUMN($N$3))&lt;='KALENDER MINGGU'!$C$8)*(N5:DU5))/F5*H5</f>
        <v>0</v>
      </c>
      <c r="DY5" s="210">
        <f>SUMPRODUCT((($I5+COLUMN($N$3:$DU$3)-COLUMN($N$3))&gt;='KALENDER MINGGU'!$B$9)*(($I5+COLUMN($N$3:$DU$3)-COLUMN($N$3))&lt;='KALENDER MINGGU'!$C$9)*(N5:DU5))/F5*H5</f>
        <v>0</v>
      </c>
      <c r="DZ5" s="210">
        <f>SUMPRODUCT((($I5+COLUMN($N$3:$DU$3)-COLUMN($N$3))&gt;='KALENDER MINGGU'!$B$10)*(($I5+COLUMN($N$3:$DU$3)-COLUMN($N$3))&lt;='KALENDER MINGGU'!$C$10)*(N5:DU5))/F5*H5</f>
        <v>0</v>
      </c>
      <c r="EA5" s="210">
        <f>SUMPRODUCT((($I5+COLUMN($N$3:$DU$3)-COLUMN($N$3))&gt;='KALENDER MINGGU'!$B$11)*(($I5+COLUMN($N$3:$DU$3)-COLUMN($N$3))&lt;='KALENDER MINGGU'!$C$11)*(N5:DU5))/F5*H5</f>
        <v>0</v>
      </c>
      <c r="EB5" s="210">
        <f>SUMPRODUCT((($I5+COLUMN($N$3:$DU$3)-COLUMN($N$3))&gt;='KALENDER MINGGU'!$B$12)*(($I5+COLUMN($N$3:$DU$3)-COLUMN($N$3))&lt;='KALENDER MINGGU'!$C$12)*(N5:DU5))/F5*H5</f>
        <v>0</v>
      </c>
      <c r="EC5" s="210">
        <f>SUMPRODUCT((($I5+COLUMN($N$3:$DU$3)-COLUMN($N$3))&gt;='KALENDER MINGGU'!$B$13)*(($I5+COLUMN($N$3:$DU$3)-COLUMN($N$3))&lt;='KALENDER MINGGU'!$C$13)*(N5:DU5))/F5*H5</f>
        <v>0</v>
      </c>
      <c r="ED5" s="210">
        <f>SUMPRODUCT((($I5+COLUMN($N$3:$DU$3)-COLUMN($N$3))&gt;='KALENDER MINGGU'!$B$14)*(($I5+COLUMN($N$3:$DU$3)-COLUMN($N$3))&lt;='KALENDER MINGGU'!$C$14)*(N5:DU5))/F5*H5</f>
        <v>0</v>
      </c>
      <c r="EE5" s="210">
        <f>SUMPRODUCT((($I5+COLUMN($N$3:$DU$3)-COLUMN($N$3))&gt;='KALENDER MINGGU'!$B$15)*(($I5+COLUMN($N$3:$DU$3)-COLUMN($N$3))&lt;='KALENDER MINGGU'!$C$15)*(N5:DU5))/F5*H5</f>
        <v>0</v>
      </c>
      <c r="EF5" s="210">
        <f>SUMPRODUCT((($I5+COLUMN($N$3:$DU$3)-COLUMN($N$3))&gt;='KALENDER MINGGU'!$B$16)*(($I5+COLUMN($N$3:$DU$3)-COLUMN($N$3))&lt;='KALENDER MINGGU'!$C$16)*(N5:DU5))/F5*H5</f>
        <v>0</v>
      </c>
      <c r="EG5" s="210">
        <f>SUMPRODUCT((($I5+COLUMN($N$3:$DU$3)-COLUMN($N$3))&gt;='KALENDER MINGGU'!$B$17)*(($I5+COLUMN($N$3:$DU$3)-COLUMN($N$3))&lt;='KALENDER MINGGU'!$C$17)*(N5:DU5))/F5*H5</f>
        <v>0</v>
      </c>
      <c r="EH5" s="210">
        <f>SUMPRODUCT((($I5+COLUMN($N$3:$DU$3)-COLUMN($N$3))&gt;='KALENDER MINGGU'!$B$18)*(($I5+COLUMN($N$3:$DU$3)-COLUMN($N$3))&lt;='KALENDER MINGGU'!$C$18)*(N5:DU5))/F5*H5</f>
        <v>0</v>
      </c>
      <c r="EI5" s="210">
        <f>SUMPRODUCT((($I5+COLUMN($N$3:$DU$3)-COLUMN($N$3))&gt;='KALENDER MINGGU'!$B$19)*(($I5+COLUMN($N$3:$DU$3)-COLUMN($N$3))&lt;='KALENDER MINGGU'!$C$19)*(N5:DU5))/F5*H5</f>
        <v>0</v>
      </c>
      <c r="EJ5" s="210">
        <f>SUMPRODUCT((($I5+COLUMN($N$3:$DU$3)-COLUMN($N$3))&gt;='KALENDER MINGGU'!$B$20)*(($I5+COLUMN($N$3:$DU$3)-COLUMN($N$3))&lt;='KALENDER MINGGU'!$C$20)*(N5:DU5))/F5*H5</f>
        <v>0</v>
      </c>
      <c r="EK5" s="210">
        <f>SUMPRODUCT((($I5+COLUMN($N$3:$DU$3)-COLUMN($N$3))&gt;='KALENDER MINGGU'!$B$21)*(($I5+COLUMN($N$3:$DU$3)-COLUMN($N$3))&lt;='KALENDER MINGGU'!$C$21)*(N5:DU5))/F5*H5</f>
        <v>0</v>
      </c>
    </row>
    <row r="6" spans="1:141" ht="15" customHeight="1" x14ac:dyDescent="0.2">
      <c r="A6" s="208">
        <v>3</v>
      </c>
      <c r="B6" s="208">
        <v>10</v>
      </c>
      <c r="C6" s="208" t="str">
        <f>IF(B6&lt;160,'BOBOT PEK'!$B$4,IF(B6&lt;207,'BOBOT PEK'!$B$160,'BOBOT PEK'!$B$207))</f>
        <v>Pekerjaan Gudang Umum</v>
      </c>
      <c r="D6" s="208" t="s">
        <v>38</v>
      </c>
      <c r="E6" s="208" t="str">
        <f>'BOBOT PEK'!C10</f>
        <v>Pembersihan Lahan</v>
      </c>
      <c r="F6" s="209">
        <f>IF(OR('BOBOT PEK'!E10="",'BOBOT PEK'!E10=0),1,'BOBOT PEK'!E10)</f>
        <v>1</v>
      </c>
      <c r="G6" s="208" t="str">
        <f>IF('BOBOT PEK'!F10="","ls",'BOBOT PEK'!F10)</f>
        <v>Is</v>
      </c>
      <c r="H6" s="210">
        <f>'BOBOT PEK'!J10</f>
        <v>0.25583746296401588</v>
      </c>
      <c r="I6" s="211">
        <f>'KALENDER MINGGU'!$B$3</f>
        <v>46226</v>
      </c>
      <c r="J6" s="209">
        <f t="shared" si="0"/>
        <v>1</v>
      </c>
      <c r="K6" s="209">
        <f t="shared" si="1"/>
        <v>0</v>
      </c>
      <c r="L6" s="212">
        <f t="shared" si="2"/>
        <v>1</v>
      </c>
      <c r="M6" s="208" t="str">
        <f t="shared" si="3"/>
        <v>OK</v>
      </c>
      <c r="N6" s="213">
        <v>1</v>
      </c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3"/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  <c r="CU6" s="213"/>
      <c r="CV6" s="213"/>
      <c r="CW6" s="213"/>
      <c r="CX6" s="213"/>
      <c r="CY6" s="213"/>
      <c r="CZ6" s="213"/>
      <c r="DA6" s="213"/>
      <c r="DB6" s="213"/>
      <c r="DC6" s="213"/>
      <c r="DD6" s="213"/>
      <c r="DE6" s="213"/>
      <c r="DF6" s="213"/>
      <c r="DG6" s="213"/>
      <c r="DH6" s="213"/>
      <c r="DI6" s="213"/>
      <c r="DJ6" s="213"/>
      <c r="DK6" s="213"/>
      <c r="DL6" s="213"/>
      <c r="DM6" s="213"/>
      <c r="DN6" s="213"/>
      <c r="DO6" s="213"/>
      <c r="DP6" s="213"/>
      <c r="DQ6" s="213"/>
      <c r="DR6" s="213"/>
      <c r="DS6" s="213"/>
      <c r="DT6" s="213"/>
      <c r="DU6" s="213"/>
      <c r="DV6" s="210">
        <f>SUMPRODUCT((($I6+COLUMN($N$3:$DU$3)-COLUMN($N$3))&gt;='KALENDER MINGGU'!$B$6)*(($I6+COLUMN($N$3:$DU$3)-COLUMN($N$3))&lt;='KALENDER MINGGU'!$C$6)*(N6:DU6))/F6*H6</f>
        <v>0.25583746296401588</v>
      </c>
      <c r="DW6" s="210">
        <f>SUMPRODUCT((($I6+COLUMN($N$3:$DU$3)-COLUMN($N$3))&gt;='KALENDER MINGGU'!$B$7)*(($I6+COLUMN($N$3:$DU$3)-COLUMN($N$3))&lt;='KALENDER MINGGU'!$C$7)*(N6:DU6))/F6*H6</f>
        <v>0</v>
      </c>
      <c r="DX6" s="210">
        <f>SUMPRODUCT((($I6+COLUMN($N$3:$DU$3)-COLUMN($N$3))&gt;='KALENDER MINGGU'!$B$8)*(($I6+COLUMN($N$3:$DU$3)-COLUMN($N$3))&lt;='KALENDER MINGGU'!$C$8)*(N6:DU6))/F6*H6</f>
        <v>0</v>
      </c>
      <c r="DY6" s="210">
        <f>SUMPRODUCT((($I6+COLUMN($N$3:$DU$3)-COLUMN($N$3))&gt;='KALENDER MINGGU'!$B$9)*(($I6+COLUMN($N$3:$DU$3)-COLUMN($N$3))&lt;='KALENDER MINGGU'!$C$9)*(N6:DU6))/F6*H6</f>
        <v>0</v>
      </c>
      <c r="DZ6" s="210">
        <f>SUMPRODUCT((($I6+COLUMN($N$3:$DU$3)-COLUMN($N$3))&gt;='KALENDER MINGGU'!$B$10)*(($I6+COLUMN($N$3:$DU$3)-COLUMN($N$3))&lt;='KALENDER MINGGU'!$C$10)*(N6:DU6))/F6*H6</f>
        <v>0</v>
      </c>
      <c r="EA6" s="210">
        <f>SUMPRODUCT((($I6+COLUMN($N$3:$DU$3)-COLUMN($N$3))&gt;='KALENDER MINGGU'!$B$11)*(($I6+COLUMN($N$3:$DU$3)-COLUMN($N$3))&lt;='KALENDER MINGGU'!$C$11)*(N6:DU6))/F6*H6</f>
        <v>0</v>
      </c>
      <c r="EB6" s="210">
        <f>SUMPRODUCT((($I6+COLUMN($N$3:$DU$3)-COLUMN($N$3))&gt;='KALENDER MINGGU'!$B$12)*(($I6+COLUMN($N$3:$DU$3)-COLUMN($N$3))&lt;='KALENDER MINGGU'!$C$12)*(N6:DU6))/F6*H6</f>
        <v>0</v>
      </c>
      <c r="EC6" s="210">
        <f>SUMPRODUCT((($I6+COLUMN($N$3:$DU$3)-COLUMN($N$3))&gt;='KALENDER MINGGU'!$B$13)*(($I6+COLUMN($N$3:$DU$3)-COLUMN($N$3))&lt;='KALENDER MINGGU'!$C$13)*(N6:DU6))/F6*H6</f>
        <v>0</v>
      </c>
      <c r="ED6" s="210">
        <f>SUMPRODUCT((($I6+COLUMN($N$3:$DU$3)-COLUMN($N$3))&gt;='KALENDER MINGGU'!$B$14)*(($I6+COLUMN($N$3:$DU$3)-COLUMN($N$3))&lt;='KALENDER MINGGU'!$C$14)*(N6:DU6))/F6*H6</f>
        <v>0</v>
      </c>
      <c r="EE6" s="210">
        <f>SUMPRODUCT((($I6+COLUMN($N$3:$DU$3)-COLUMN($N$3))&gt;='KALENDER MINGGU'!$B$15)*(($I6+COLUMN($N$3:$DU$3)-COLUMN($N$3))&lt;='KALENDER MINGGU'!$C$15)*(N6:DU6))/F6*H6</f>
        <v>0</v>
      </c>
      <c r="EF6" s="210">
        <f>SUMPRODUCT((($I6+COLUMN($N$3:$DU$3)-COLUMN($N$3))&gt;='KALENDER MINGGU'!$B$16)*(($I6+COLUMN($N$3:$DU$3)-COLUMN($N$3))&lt;='KALENDER MINGGU'!$C$16)*(N6:DU6))/F6*H6</f>
        <v>0</v>
      </c>
      <c r="EG6" s="210">
        <f>SUMPRODUCT((($I6+COLUMN($N$3:$DU$3)-COLUMN($N$3))&gt;='KALENDER MINGGU'!$B$17)*(($I6+COLUMN($N$3:$DU$3)-COLUMN($N$3))&lt;='KALENDER MINGGU'!$C$17)*(N6:DU6))/F6*H6</f>
        <v>0</v>
      </c>
      <c r="EH6" s="210">
        <f>SUMPRODUCT((($I6+COLUMN($N$3:$DU$3)-COLUMN($N$3))&gt;='KALENDER MINGGU'!$B$18)*(($I6+COLUMN($N$3:$DU$3)-COLUMN($N$3))&lt;='KALENDER MINGGU'!$C$18)*(N6:DU6))/F6*H6</f>
        <v>0</v>
      </c>
      <c r="EI6" s="210">
        <f>SUMPRODUCT((($I6+COLUMN($N$3:$DU$3)-COLUMN($N$3))&gt;='KALENDER MINGGU'!$B$19)*(($I6+COLUMN($N$3:$DU$3)-COLUMN($N$3))&lt;='KALENDER MINGGU'!$C$19)*(N6:DU6))/F6*H6</f>
        <v>0</v>
      </c>
      <c r="EJ6" s="210">
        <f>SUMPRODUCT((($I6+COLUMN($N$3:$DU$3)-COLUMN($N$3))&gt;='KALENDER MINGGU'!$B$20)*(($I6+COLUMN($N$3:$DU$3)-COLUMN($N$3))&lt;='KALENDER MINGGU'!$C$20)*(N6:DU6))/F6*H6</f>
        <v>0</v>
      </c>
      <c r="EK6" s="210">
        <f>SUMPRODUCT((($I6+COLUMN($N$3:$DU$3)-COLUMN($N$3))&gt;='KALENDER MINGGU'!$B$21)*(($I6+COLUMN($N$3:$DU$3)-COLUMN($N$3))&lt;='KALENDER MINGGU'!$C$21)*(N6:DU6))/F6*H6</f>
        <v>0</v>
      </c>
    </row>
    <row r="7" spans="1:141" ht="15" customHeight="1" x14ac:dyDescent="0.2">
      <c r="A7" s="208">
        <v>4</v>
      </c>
      <c r="B7" s="208">
        <v>11</v>
      </c>
      <c r="C7" s="208" t="str">
        <f>IF(B7&lt;160,'BOBOT PEK'!$B$4,IF(B7&lt;207,'BOBOT PEK'!$B$160,'BOBOT PEK'!$B$207))</f>
        <v>Pekerjaan Gudang Umum</v>
      </c>
      <c r="D7" s="208" t="s">
        <v>38</v>
      </c>
      <c r="E7" s="208" t="str">
        <f>'BOBOT PEK'!C11</f>
        <v>Direksi Kit+Gudang Sementara</v>
      </c>
      <c r="F7" s="209">
        <f>IF(OR('BOBOT PEK'!E11="",'BOBOT PEK'!E11=0),1,'BOBOT PEK'!E11)</f>
        <v>1</v>
      </c>
      <c r="G7" s="208" t="str">
        <f>IF('BOBOT PEK'!F11="","ls",'BOBOT PEK'!F11)</f>
        <v>ls</v>
      </c>
      <c r="H7" s="210">
        <f>'BOBOT PEK'!J11</f>
        <v>0</v>
      </c>
      <c r="I7" s="211">
        <f>'KALENDER MINGGU'!$B$3</f>
        <v>46226</v>
      </c>
      <c r="J7" s="209">
        <f t="shared" si="0"/>
        <v>1</v>
      </c>
      <c r="K7" s="209">
        <f t="shared" si="1"/>
        <v>0</v>
      </c>
      <c r="L7" s="212">
        <f t="shared" si="2"/>
        <v>1</v>
      </c>
      <c r="M7" s="208" t="str">
        <f t="shared" si="3"/>
        <v>OK</v>
      </c>
      <c r="N7" s="213">
        <v>1</v>
      </c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/>
      <c r="AR7" s="213"/>
      <c r="AS7" s="213"/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213"/>
      <c r="BE7" s="213"/>
      <c r="BF7" s="213"/>
      <c r="BG7" s="213"/>
      <c r="BH7" s="213"/>
      <c r="BI7" s="213"/>
      <c r="BJ7" s="213"/>
      <c r="BK7" s="213"/>
      <c r="BL7" s="213"/>
      <c r="BM7" s="213"/>
      <c r="BN7" s="213"/>
      <c r="BO7" s="213"/>
      <c r="BP7" s="213"/>
      <c r="BQ7" s="213"/>
      <c r="BR7" s="213"/>
      <c r="BS7" s="213"/>
      <c r="BT7" s="213"/>
      <c r="BU7" s="213"/>
      <c r="BV7" s="213"/>
      <c r="BW7" s="213"/>
      <c r="BX7" s="213"/>
      <c r="BY7" s="213"/>
      <c r="BZ7" s="213"/>
      <c r="CA7" s="213"/>
      <c r="CB7" s="213"/>
      <c r="CC7" s="213"/>
      <c r="CD7" s="213"/>
      <c r="CE7" s="213"/>
      <c r="CF7" s="213"/>
      <c r="CG7" s="213"/>
      <c r="CH7" s="213"/>
      <c r="CI7" s="213"/>
      <c r="CJ7" s="213"/>
      <c r="CK7" s="213"/>
      <c r="CL7" s="213"/>
      <c r="CM7" s="213"/>
      <c r="CN7" s="213"/>
      <c r="CO7" s="213"/>
      <c r="CP7" s="213"/>
      <c r="CQ7" s="213"/>
      <c r="CR7" s="213"/>
      <c r="CS7" s="213"/>
      <c r="CT7" s="213"/>
      <c r="CU7" s="213"/>
      <c r="CV7" s="213"/>
      <c r="CW7" s="213"/>
      <c r="CX7" s="213"/>
      <c r="CY7" s="213"/>
      <c r="CZ7" s="213"/>
      <c r="DA7" s="213"/>
      <c r="DB7" s="213"/>
      <c r="DC7" s="213"/>
      <c r="DD7" s="213"/>
      <c r="DE7" s="213"/>
      <c r="DF7" s="213"/>
      <c r="DG7" s="213"/>
      <c r="DH7" s="213"/>
      <c r="DI7" s="213"/>
      <c r="DJ7" s="213"/>
      <c r="DK7" s="213"/>
      <c r="DL7" s="213"/>
      <c r="DM7" s="213"/>
      <c r="DN7" s="213"/>
      <c r="DO7" s="213"/>
      <c r="DP7" s="213"/>
      <c r="DQ7" s="213"/>
      <c r="DR7" s="213"/>
      <c r="DS7" s="213"/>
      <c r="DT7" s="213"/>
      <c r="DU7" s="213"/>
      <c r="DV7" s="210">
        <f>SUMPRODUCT((($I7+COLUMN($N$3:$DU$3)-COLUMN($N$3))&gt;='KALENDER MINGGU'!$B$6)*(($I7+COLUMN($N$3:$DU$3)-COLUMN($N$3))&lt;='KALENDER MINGGU'!$C$6)*(N7:DU7))/F7*H7</f>
        <v>0</v>
      </c>
      <c r="DW7" s="210">
        <f>SUMPRODUCT((($I7+COLUMN($N$3:$DU$3)-COLUMN($N$3))&gt;='KALENDER MINGGU'!$B$7)*(($I7+COLUMN($N$3:$DU$3)-COLUMN($N$3))&lt;='KALENDER MINGGU'!$C$7)*(N7:DU7))/F7*H7</f>
        <v>0</v>
      </c>
      <c r="DX7" s="210">
        <f>SUMPRODUCT((($I7+COLUMN($N$3:$DU$3)-COLUMN($N$3))&gt;='KALENDER MINGGU'!$B$8)*(($I7+COLUMN($N$3:$DU$3)-COLUMN($N$3))&lt;='KALENDER MINGGU'!$C$8)*(N7:DU7))/F7*H7</f>
        <v>0</v>
      </c>
      <c r="DY7" s="210">
        <f>SUMPRODUCT((($I7+COLUMN($N$3:$DU$3)-COLUMN($N$3))&gt;='KALENDER MINGGU'!$B$9)*(($I7+COLUMN($N$3:$DU$3)-COLUMN($N$3))&lt;='KALENDER MINGGU'!$C$9)*(N7:DU7))/F7*H7</f>
        <v>0</v>
      </c>
      <c r="DZ7" s="210">
        <f>SUMPRODUCT((($I7+COLUMN($N$3:$DU$3)-COLUMN($N$3))&gt;='KALENDER MINGGU'!$B$10)*(($I7+COLUMN($N$3:$DU$3)-COLUMN($N$3))&lt;='KALENDER MINGGU'!$C$10)*(N7:DU7))/F7*H7</f>
        <v>0</v>
      </c>
      <c r="EA7" s="210">
        <f>SUMPRODUCT((($I7+COLUMN($N$3:$DU$3)-COLUMN($N$3))&gt;='KALENDER MINGGU'!$B$11)*(($I7+COLUMN($N$3:$DU$3)-COLUMN($N$3))&lt;='KALENDER MINGGU'!$C$11)*(N7:DU7))/F7*H7</f>
        <v>0</v>
      </c>
      <c r="EB7" s="210">
        <f>SUMPRODUCT((($I7+COLUMN($N$3:$DU$3)-COLUMN($N$3))&gt;='KALENDER MINGGU'!$B$12)*(($I7+COLUMN($N$3:$DU$3)-COLUMN($N$3))&lt;='KALENDER MINGGU'!$C$12)*(N7:DU7))/F7*H7</f>
        <v>0</v>
      </c>
      <c r="EC7" s="210">
        <f>SUMPRODUCT((($I7+COLUMN($N$3:$DU$3)-COLUMN($N$3))&gt;='KALENDER MINGGU'!$B$13)*(($I7+COLUMN($N$3:$DU$3)-COLUMN($N$3))&lt;='KALENDER MINGGU'!$C$13)*(N7:DU7))/F7*H7</f>
        <v>0</v>
      </c>
      <c r="ED7" s="210">
        <f>SUMPRODUCT((($I7+COLUMN($N$3:$DU$3)-COLUMN($N$3))&gt;='KALENDER MINGGU'!$B$14)*(($I7+COLUMN($N$3:$DU$3)-COLUMN($N$3))&lt;='KALENDER MINGGU'!$C$14)*(N7:DU7))/F7*H7</f>
        <v>0</v>
      </c>
      <c r="EE7" s="210">
        <f>SUMPRODUCT((($I7+COLUMN($N$3:$DU$3)-COLUMN($N$3))&gt;='KALENDER MINGGU'!$B$15)*(($I7+COLUMN($N$3:$DU$3)-COLUMN($N$3))&lt;='KALENDER MINGGU'!$C$15)*(N7:DU7))/F7*H7</f>
        <v>0</v>
      </c>
      <c r="EF7" s="210">
        <f>SUMPRODUCT((($I7+COLUMN($N$3:$DU$3)-COLUMN($N$3))&gt;='KALENDER MINGGU'!$B$16)*(($I7+COLUMN($N$3:$DU$3)-COLUMN($N$3))&lt;='KALENDER MINGGU'!$C$16)*(N7:DU7))/F7*H7</f>
        <v>0</v>
      </c>
      <c r="EG7" s="210">
        <f>SUMPRODUCT((($I7+COLUMN($N$3:$DU$3)-COLUMN($N$3))&gt;='KALENDER MINGGU'!$B$17)*(($I7+COLUMN($N$3:$DU$3)-COLUMN($N$3))&lt;='KALENDER MINGGU'!$C$17)*(N7:DU7))/F7*H7</f>
        <v>0</v>
      </c>
      <c r="EH7" s="210">
        <f>SUMPRODUCT((($I7+COLUMN($N$3:$DU$3)-COLUMN($N$3))&gt;='KALENDER MINGGU'!$B$18)*(($I7+COLUMN($N$3:$DU$3)-COLUMN($N$3))&lt;='KALENDER MINGGU'!$C$18)*(N7:DU7))/F7*H7</f>
        <v>0</v>
      </c>
      <c r="EI7" s="210">
        <f>SUMPRODUCT((($I7+COLUMN($N$3:$DU$3)-COLUMN($N$3))&gt;='KALENDER MINGGU'!$B$19)*(($I7+COLUMN($N$3:$DU$3)-COLUMN($N$3))&lt;='KALENDER MINGGU'!$C$19)*(N7:DU7))/F7*H7</f>
        <v>0</v>
      </c>
      <c r="EJ7" s="210">
        <f>SUMPRODUCT((($I7+COLUMN($N$3:$DU$3)-COLUMN($N$3))&gt;='KALENDER MINGGU'!$B$20)*(($I7+COLUMN($N$3:$DU$3)-COLUMN($N$3))&lt;='KALENDER MINGGU'!$C$20)*(N7:DU7))/F7*H7</f>
        <v>0</v>
      </c>
      <c r="EK7" s="210">
        <f>SUMPRODUCT((($I7+COLUMN($N$3:$DU$3)-COLUMN($N$3))&gt;='KALENDER MINGGU'!$B$21)*(($I7+COLUMN($N$3:$DU$3)-COLUMN($N$3))&lt;='KALENDER MINGGU'!$C$21)*(N7:DU7))/F7*H7</f>
        <v>0</v>
      </c>
    </row>
    <row r="8" spans="1:141" ht="15" customHeight="1" x14ac:dyDescent="0.2">
      <c r="A8" s="208">
        <v>5</v>
      </c>
      <c r="B8" s="208">
        <v>12</v>
      </c>
      <c r="C8" s="208" t="str">
        <f>IF(B8&lt;160,'BOBOT PEK'!$B$4,IF(B8&lt;207,'BOBOT PEK'!$B$160,'BOBOT PEK'!$B$207))</f>
        <v>Pekerjaan Gudang Umum</v>
      </c>
      <c r="D8" s="208" t="s">
        <v>38</v>
      </c>
      <c r="E8" s="208" t="str">
        <f>'BOBOT PEK'!C12</f>
        <v>Administrasi Lapangan</v>
      </c>
      <c r="F8" s="209">
        <f>IF(OR('BOBOT PEK'!E12="",'BOBOT PEK'!E12=0),1,'BOBOT PEK'!E12)</f>
        <v>1</v>
      </c>
      <c r="G8" s="208" t="str">
        <f>IF('BOBOT PEK'!F12="","ls",'BOBOT PEK'!F12)</f>
        <v>Is</v>
      </c>
      <c r="H8" s="210">
        <f>'BOBOT PEK'!J12</f>
        <v>0.12791873148200794</v>
      </c>
      <c r="I8" s="211">
        <f>'KALENDER MINGGU'!$B$3</f>
        <v>46226</v>
      </c>
      <c r="J8" s="209">
        <f t="shared" si="0"/>
        <v>1</v>
      </c>
      <c r="K8" s="209">
        <f t="shared" si="1"/>
        <v>0</v>
      </c>
      <c r="L8" s="212">
        <f t="shared" si="2"/>
        <v>1</v>
      </c>
      <c r="M8" s="208" t="str">
        <f t="shared" si="3"/>
        <v>OK</v>
      </c>
      <c r="N8" s="213">
        <v>1</v>
      </c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3"/>
      <c r="AR8" s="213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213"/>
      <c r="BE8" s="213"/>
      <c r="BF8" s="213"/>
      <c r="BG8" s="213"/>
      <c r="BH8" s="213"/>
      <c r="BI8" s="213"/>
      <c r="BJ8" s="213"/>
      <c r="BK8" s="213"/>
      <c r="BL8" s="213"/>
      <c r="BM8" s="213"/>
      <c r="BN8" s="213"/>
      <c r="BO8" s="213"/>
      <c r="BP8" s="213"/>
      <c r="BQ8" s="213"/>
      <c r="BR8" s="213"/>
      <c r="BS8" s="213"/>
      <c r="BT8" s="213"/>
      <c r="BU8" s="213"/>
      <c r="BV8" s="213"/>
      <c r="BW8" s="213"/>
      <c r="BX8" s="213"/>
      <c r="BY8" s="213"/>
      <c r="BZ8" s="213"/>
      <c r="CA8" s="213"/>
      <c r="CB8" s="213"/>
      <c r="CC8" s="213"/>
      <c r="CD8" s="213"/>
      <c r="CE8" s="213"/>
      <c r="CF8" s="213"/>
      <c r="CG8" s="213"/>
      <c r="CH8" s="213"/>
      <c r="CI8" s="213"/>
      <c r="CJ8" s="213"/>
      <c r="CK8" s="213"/>
      <c r="CL8" s="213"/>
      <c r="CM8" s="213"/>
      <c r="CN8" s="213"/>
      <c r="CO8" s="213"/>
      <c r="CP8" s="213"/>
      <c r="CQ8" s="213"/>
      <c r="CR8" s="213"/>
      <c r="CS8" s="213"/>
      <c r="CT8" s="213"/>
      <c r="CU8" s="213"/>
      <c r="CV8" s="213"/>
      <c r="CW8" s="213"/>
      <c r="CX8" s="213"/>
      <c r="CY8" s="213"/>
      <c r="CZ8" s="213"/>
      <c r="DA8" s="213"/>
      <c r="DB8" s="213"/>
      <c r="DC8" s="213"/>
      <c r="DD8" s="213"/>
      <c r="DE8" s="213"/>
      <c r="DF8" s="213"/>
      <c r="DG8" s="213"/>
      <c r="DH8" s="213"/>
      <c r="DI8" s="213"/>
      <c r="DJ8" s="213"/>
      <c r="DK8" s="213"/>
      <c r="DL8" s="213"/>
      <c r="DM8" s="213"/>
      <c r="DN8" s="213"/>
      <c r="DO8" s="213"/>
      <c r="DP8" s="213"/>
      <c r="DQ8" s="213"/>
      <c r="DR8" s="213"/>
      <c r="DS8" s="213"/>
      <c r="DT8" s="213"/>
      <c r="DU8" s="213"/>
      <c r="DV8" s="210">
        <f>SUMPRODUCT((($I8+COLUMN($N$3:$DU$3)-COLUMN($N$3))&gt;='KALENDER MINGGU'!$B$6)*(($I8+COLUMN($N$3:$DU$3)-COLUMN($N$3))&lt;='KALENDER MINGGU'!$C$6)*(N8:DU8))/F8*H8</f>
        <v>0.12791873148200794</v>
      </c>
      <c r="DW8" s="210">
        <f>SUMPRODUCT((($I8+COLUMN($N$3:$DU$3)-COLUMN($N$3))&gt;='KALENDER MINGGU'!$B$7)*(($I8+COLUMN($N$3:$DU$3)-COLUMN($N$3))&lt;='KALENDER MINGGU'!$C$7)*(N8:DU8))/F8*H8</f>
        <v>0</v>
      </c>
      <c r="DX8" s="210">
        <f>SUMPRODUCT((($I8+COLUMN($N$3:$DU$3)-COLUMN($N$3))&gt;='KALENDER MINGGU'!$B$8)*(($I8+COLUMN($N$3:$DU$3)-COLUMN($N$3))&lt;='KALENDER MINGGU'!$C$8)*(N8:DU8))/F8*H8</f>
        <v>0</v>
      </c>
      <c r="DY8" s="210">
        <f>SUMPRODUCT((($I8+COLUMN($N$3:$DU$3)-COLUMN($N$3))&gt;='KALENDER MINGGU'!$B$9)*(($I8+COLUMN($N$3:$DU$3)-COLUMN($N$3))&lt;='KALENDER MINGGU'!$C$9)*(N8:DU8))/F8*H8</f>
        <v>0</v>
      </c>
      <c r="DZ8" s="210">
        <f>SUMPRODUCT((($I8+COLUMN($N$3:$DU$3)-COLUMN($N$3))&gt;='KALENDER MINGGU'!$B$10)*(($I8+COLUMN($N$3:$DU$3)-COLUMN($N$3))&lt;='KALENDER MINGGU'!$C$10)*(N8:DU8))/F8*H8</f>
        <v>0</v>
      </c>
      <c r="EA8" s="210">
        <f>SUMPRODUCT((($I8+COLUMN($N$3:$DU$3)-COLUMN($N$3))&gt;='KALENDER MINGGU'!$B$11)*(($I8+COLUMN($N$3:$DU$3)-COLUMN($N$3))&lt;='KALENDER MINGGU'!$C$11)*(N8:DU8))/F8*H8</f>
        <v>0</v>
      </c>
      <c r="EB8" s="210">
        <f>SUMPRODUCT((($I8+COLUMN($N$3:$DU$3)-COLUMN($N$3))&gt;='KALENDER MINGGU'!$B$12)*(($I8+COLUMN($N$3:$DU$3)-COLUMN($N$3))&lt;='KALENDER MINGGU'!$C$12)*(N8:DU8))/F8*H8</f>
        <v>0</v>
      </c>
      <c r="EC8" s="210">
        <f>SUMPRODUCT((($I8+COLUMN($N$3:$DU$3)-COLUMN($N$3))&gt;='KALENDER MINGGU'!$B$13)*(($I8+COLUMN($N$3:$DU$3)-COLUMN($N$3))&lt;='KALENDER MINGGU'!$C$13)*(N8:DU8))/F8*H8</f>
        <v>0</v>
      </c>
      <c r="ED8" s="210">
        <f>SUMPRODUCT((($I8+COLUMN($N$3:$DU$3)-COLUMN($N$3))&gt;='KALENDER MINGGU'!$B$14)*(($I8+COLUMN($N$3:$DU$3)-COLUMN($N$3))&lt;='KALENDER MINGGU'!$C$14)*(N8:DU8))/F8*H8</f>
        <v>0</v>
      </c>
      <c r="EE8" s="210">
        <f>SUMPRODUCT((($I8+COLUMN($N$3:$DU$3)-COLUMN($N$3))&gt;='KALENDER MINGGU'!$B$15)*(($I8+COLUMN($N$3:$DU$3)-COLUMN($N$3))&lt;='KALENDER MINGGU'!$C$15)*(N8:DU8))/F8*H8</f>
        <v>0</v>
      </c>
      <c r="EF8" s="210">
        <f>SUMPRODUCT((($I8+COLUMN($N$3:$DU$3)-COLUMN($N$3))&gt;='KALENDER MINGGU'!$B$16)*(($I8+COLUMN($N$3:$DU$3)-COLUMN($N$3))&lt;='KALENDER MINGGU'!$C$16)*(N8:DU8))/F8*H8</f>
        <v>0</v>
      </c>
      <c r="EG8" s="210">
        <f>SUMPRODUCT((($I8+COLUMN($N$3:$DU$3)-COLUMN($N$3))&gt;='KALENDER MINGGU'!$B$17)*(($I8+COLUMN($N$3:$DU$3)-COLUMN($N$3))&lt;='KALENDER MINGGU'!$C$17)*(N8:DU8))/F8*H8</f>
        <v>0</v>
      </c>
      <c r="EH8" s="210">
        <f>SUMPRODUCT((($I8+COLUMN($N$3:$DU$3)-COLUMN($N$3))&gt;='KALENDER MINGGU'!$B$18)*(($I8+COLUMN($N$3:$DU$3)-COLUMN($N$3))&lt;='KALENDER MINGGU'!$C$18)*(N8:DU8))/F8*H8</f>
        <v>0</v>
      </c>
      <c r="EI8" s="210">
        <f>SUMPRODUCT((($I8+COLUMN($N$3:$DU$3)-COLUMN($N$3))&gt;='KALENDER MINGGU'!$B$19)*(($I8+COLUMN($N$3:$DU$3)-COLUMN($N$3))&lt;='KALENDER MINGGU'!$C$19)*(N8:DU8))/F8*H8</f>
        <v>0</v>
      </c>
      <c r="EJ8" s="210">
        <f>SUMPRODUCT((($I8+COLUMN($N$3:$DU$3)-COLUMN($N$3))&gt;='KALENDER MINGGU'!$B$20)*(($I8+COLUMN($N$3:$DU$3)-COLUMN($N$3))&lt;='KALENDER MINGGU'!$C$20)*(N8:DU8))/F8*H8</f>
        <v>0</v>
      </c>
      <c r="EK8" s="210">
        <f>SUMPRODUCT((($I8+COLUMN($N$3:$DU$3)-COLUMN($N$3))&gt;='KALENDER MINGGU'!$B$21)*(($I8+COLUMN($N$3:$DU$3)-COLUMN($N$3))&lt;='KALENDER MINGGU'!$C$21)*(N8:DU8))/F8*H8</f>
        <v>0</v>
      </c>
    </row>
    <row r="9" spans="1:141" ht="15" customHeight="1" x14ac:dyDescent="0.2">
      <c r="A9" s="208">
        <v>6</v>
      </c>
      <c r="B9" s="208">
        <v>13</v>
      </c>
      <c r="C9" s="208" t="str">
        <f>IF(B9&lt;160,'BOBOT PEK'!$B$4,IF(B9&lt;207,'BOBOT PEK'!$B$160,'BOBOT PEK'!$B$207))</f>
        <v>Pekerjaan Gudang Umum</v>
      </c>
      <c r="D9" s="208" t="s">
        <v>38</v>
      </c>
      <c r="E9" s="208" t="str">
        <f>'BOBOT PEK'!C13</f>
        <v>Skafolding dan Alat Bantu Pekerjaan</v>
      </c>
      <c r="F9" s="209">
        <f>IF(OR('BOBOT PEK'!E13="",'BOBOT PEK'!E13=0),1,'BOBOT PEK'!E13)</f>
        <v>1</v>
      </c>
      <c r="G9" s="208" t="str">
        <f>IF('BOBOT PEK'!F13="","ls",'BOBOT PEK'!F13)</f>
        <v>Is</v>
      </c>
      <c r="H9" s="210">
        <f>'BOBOT PEK'!J13</f>
        <v>0.38375619444602382</v>
      </c>
      <c r="I9" s="211">
        <f>'KALENDER MINGGU'!$B$3</f>
        <v>46226</v>
      </c>
      <c r="J9" s="209">
        <f t="shared" si="0"/>
        <v>1</v>
      </c>
      <c r="K9" s="209">
        <f t="shared" si="1"/>
        <v>0</v>
      </c>
      <c r="L9" s="212">
        <f t="shared" si="2"/>
        <v>1</v>
      </c>
      <c r="M9" s="208" t="str">
        <f t="shared" si="3"/>
        <v>OK</v>
      </c>
      <c r="N9" s="213">
        <v>0.3</v>
      </c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3">
        <v>0.2</v>
      </c>
      <c r="AP9" s="213"/>
      <c r="AQ9" s="213"/>
      <c r="AR9" s="213"/>
      <c r="AS9" s="213"/>
      <c r="AT9" s="213"/>
      <c r="AU9" s="213"/>
      <c r="AV9" s="213">
        <v>0.1</v>
      </c>
      <c r="AW9" s="213">
        <v>0.1</v>
      </c>
      <c r="AX9" s="213"/>
      <c r="AY9" s="213"/>
      <c r="AZ9" s="213"/>
      <c r="BA9" s="213">
        <v>0.3</v>
      </c>
      <c r="BB9" s="213"/>
      <c r="BC9" s="213"/>
      <c r="BD9" s="213"/>
      <c r="BE9" s="213"/>
      <c r="BF9" s="213"/>
      <c r="BG9" s="213"/>
      <c r="BH9" s="213"/>
      <c r="BI9" s="213"/>
      <c r="BJ9" s="213"/>
      <c r="BK9" s="213"/>
      <c r="BL9" s="213"/>
      <c r="BM9" s="213"/>
      <c r="BN9" s="213"/>
      <c r="BO9" s="213"/>
      <c r="BP9" s="213"/>
      <c r="BQ9" s="213"/>
      <c r="BR9" s="213"/>
      <c r="BS9" s="213"/>
      <c r="BT9" s="213"/>
      <c r="BU9" s="213"/>
      <c r="BV9" s="213"/>
      <c r="BW9" s="213"/>
      <c r="BX9" s="213"/>
      <c r="BY9" s="213"/>
      <c r="BZ9" s="213"/>
      <c r="CA9" s="213"/>
      <c r="CB9" s="213"/>
      <c r="CC9" s="213"/>
      <c r="CD9" s="213"/>
      <c r="CE9" s="213"/>
      <c r="CF9" s="213"/>
      <c r="CG9" s="213"/>
      <c r="CH9" s="213"/>
      <c r="CI9" s="213"/>
      <c r="CJ9" s="213"/>
      <c r="CK9" s="213"/>
      <c r="CL9" s="213"/>
      <c r="CM9" s="213"/>
      <c r="CN9" s="213"/>
      <c r="CO9" s="213"/>
      <c r="CP9" s="213"/>
      <c r="CQ9" s="213"/>
      <c r="CR9" s="213"/>
      <c r="CS9" s="213"/>
      <c r="CT9" s="213"/>
      <c r="CU9" s="213"/>
      <c r="CV9" s="213"/>
      <c r="CW9" s="213"/>
      <c r="CX9" s="213"/>
      <c r="CY9" s="213"/>
      <c r="CZ9" s="213"/>
      <c r="DA9" s="213"/>
      <c r="DB9" s="213"/>
      <c r="DC9" s="213"/>
      <c r="DD9" s="213"/>
      <c r="DE9" s="213"/>
      <c r="DF9" s="213"/>
      <c r="DG9" s="213"/>
      <c r="DH9" s="213"/>
      <c r="DI9" s="213"/>
      <c r="DJ9" s="213"/>
      <c r="DK9" s="213"/>
      <c r="DL9" s="213"/>
      <c r="DM9" s="213"/>
      <c r="DN9" s="213"/>
      <c r="DO9" s="213"/>
      <c r="DP9" s="213"/>
      <c r="DQ9" s="213"/>
      <c r="DR9" s="213"/>
      <c r="DS9" s="213"/>
      <c r="DT9" s="213"/>
      <c r="DU9" s="213"/>
      <c r="DV9" s="210">
        <f>SUMPRODUCT((($I9+COLUMN($N$3:$DU$3)-COLUMN($N$3))&gt;='KALENDER MINGGU'!$B$6)*(($I9+COLUMN($N$3:$DU$3)-COLUMN($N$3))&lt;='KALENDER MINGGU'!$C$6)*(N9:DU9))/F9*H9</f>
        <v>0.11512685833380715</v>
      </c>
      <c r="DW9" s="210">
        <f>SUMPRODUCT((($I9+COLUMN($N$3:$DU$3)-COLUMN($N$3))&gt;='KALENDER MINGGU'!$B$7)*(($I9+COLUMN($N$3:$DU$3)-COLUMN($N$3))&lt;='KALENDER MINGGU'!$C$7)*(N9:DU9))/F9*H9</f>
        <v>0</v>
      </c>
      <c r="DX9" s="210">
        <f>SUMPRODUCT((($I9+COLUMN($N$3:$DU$3)-COLUMN($N$3))&gt;='KALENDER MINGGU'!$B$8)*(($I9+COLUMN($N$3:$DU$3)-COLUMN($N$3))&lt;='KALENDER MINGGU'!$C$8)*(N9:DU9))/F9*H9</f>
        <v>0</v>
      </c>
      <c r="DY9" s="210">
        <f>SUMPRODUCT((($I9+COLUMN($N$3:$DU$3)-COLUMN($N$3))&gt;='KALENDER MINGGU'!$B$9)*(($I9+COLUMN($N$3:$DU$3)-COLUMN($N$3))&lt;='KALENDER MINGGU'!$C$9)*(N9:DU9))/F9*H9</f>
        <v>7.6751238889204765E-2</v>
      </c>
      <c r="DZ9" s="210">
        <f>SUMPRODUCT((($I9+COLUMN($N$3:$DU$3)-COLUMN($N$3))&gt;='KALENDER MINGGU'!$B$10)*(($I9+COLUMN($N$3:$DU$3)-COLUMN($N$3))&lt;='KALENDER MINGGU'!$C$10)*(N9:DU9))/F9*H9</f>
        <v>3.8375619444602382E-2</v>
      </c>
      <c r="EA9" s="210">
        <f>SUMPRODUCT((($I9+COLUMN($N$3:$DU$3)-COLUMN($N$3))&gt;='KALENDER MINGGU'!$B$11)*(($I9+COLUMN($N$3:$DU$3)-COLUMN($N$3))&lt;='KALENDER MINGGU'!$C$11)*(N9:DU9))/F9*H9</f>
        <v>0.15350247777840953</v>
      </c>
      <c r="EB9" s="210">
        <f>SUMPRODUCT((($I9+COLUMN($N$3:$DU$3)-COLUMN($N$3))&gt;='KALENDER MINGGU'!$B$12)*(($I9+COLUMN($N$3:$DU$3)-COLUMN($N$3))&lt;='KALENDER MINGGU'!$C$12)*(N9:DU9))/F9*H9</f>
        <v>0</v>
      </c>
      <c r="EC9" s="210">
        <f>SUMPRODUCT((($I9+COLUMN($N$3:$DU$3)-COLUMN($N$3))&gt;='KALENDER MINGGU'!$B$13)*(($I9+COLUMN($N$3:$DU$3)-COLUMN($N$3))&lt;='KALENDER MINGGU'!$C$13)*(N9:DU9))/F9*H9</f>
        <v>0</v>
      </c>
      <c r="ED9" s="210">
        <f>SUMPRODUCT((($I9+COLUMN($N$3:$DU$3)-COLUMN($N$3))&gt;='KALENDER MINGGU'!$B$14)*(($I9+COLUMN($N$3:$DU$3)-COLUMN($N$3))&lt;='KALENDER MINGGU'!$C$14)*(N9:DU9))/F9*H9</f>
        <v>0</v>
      </c>
      <c r="EE9" s="210">
        <f>SUMPRODUCT((($I9+COLUMN($N$3:$DU$3)-COLUMN($N$3))&gt;='KALENDER MINGGU'!$B$15)*(($I9+COLUMN($N$3:$DU$3)-COLUMN($N$3))&lt;='KALENDER MINGGU'!$C$15)*(N9:DU9))/F9*H9</f>
        <v>0</v>
      </c>
      <c r="EF9" s="210">
        <f>SUMPRODUCT((($I9+COLUMN($N$3:$DU$3)-COLUMN($N$3))&gt;='KALENDER MINGGU'!$B$16)*(($I9+COLUMN($N$3:$DU$3)-COLUMN($N$3))&lt;='KALENDER MINGGU'!$C$16)*(N9:DU9))/F9*H9</f>
        <v>0</v>
      </c>
      <c r="EG9" s="210">
        <f>SUMPRODUCT((($I9+COLUMN($N$3:$DU$3)-COLUMN($N$3))&gt;='KALENDER MINGGU'!$B$17)*(($I9+COLUMN($N$3:$DU$3)-COLUMN($N$3))&lt;='KALENDER MINGGU'!$C$17)*(N9:DU9))/F9*H9</f>
        <v>0</v>
      </c>
      <c r="EH9" s="210">
        <f>SUMPRODUCT((($I9+COLUMN($N$3:$DU$3)-COLUMN($N$3))&gt;='KALENDER MINGGU'!$B$18)*(($I9+COLUMN($N$3:$DU$3)-COLUMN($N$3))&lt;='KALENDER MINGGU'!$C$18)*(N9:DU9))/F9*H9</f>
        <v>0</v>
      </c>
      <c r="EI9" s="210">
        <f>SUMPRODUCT((($I9+COLUMN($N$3:$DU$3)-COLUMN($N$3))&gt;='KALENDER MINGGU'!$B$19)*(($I9+COLUMN($N$3:$DU$3)-COLUMN($N$3))&lt;='KALENDER MINGGU'!$C$19)*(N9:DU9))/F9*H9</f>
        <v>0</v>
      </c>
      <c r="EJ9" s="210">
        <f>SUMPRODUCT((($I9+COLUMN($N$3:$DU$3)-COLUMN($N$3))&gt;='KALENDER MINGGU'!$B$20)*(($I9+COLUMN($N$3:$DU$3)-COLUMN($N$3))&lt;='KALENDER MINGGU'!$C$20)*(N9:DU9))/F9*H9</f>
        <v>0</v>
      </c>
      <c r="EK9" s="210">
        <f>SUMPRODUCT((($I9+COLUMN($N$3:$DU$3)-COLUMN($N$3))&gt;='KALENDER MINGGU'!$B$21)*(($I9+COLUMN($N$3:$DU$3)-COLUMN($N$3))&lt;='KALENDER MINGGU'!$C$21)*(N9:DU9))/F9*H9</f>
        <v>0</v>
      </c>
    </row>
    <row r="10" spans="1:141" ht="15" customHeight="1" x14ac:dyDescent="0.2">
      <c r="A10" s="208">
        <v>7</v>
      </c>
      <c r="B10" s="208">
        <v>16</v>
      </c>
      <c r="C10" s="208" t="str">
        <f>IF(B10&lt;160,'BOBOT PEK'!$B$4,IF(B10&lt;207,'BOBOT PEK'!$B$160,'BOBOT PEK'!$B$207))</f>
        <v>Pekerjaan Gudang Umum</v>
      </c>
      <c r="D10" s="208" t="s">
        <v>49</v>
      </c>
      <c r="E10" s="208" t="str">
        <f>'BOBOT PEK'!C16</f>
        <v>Pekerjaan Bak Kontrol</v>
      </c>
      <c r="F10" s="209">
        <f>IF(OR('BOBOT PEK'!E16="",'BOBOT PEK'!E16=0),1,'BOBOT PEK'!E16)</f>
        <v>4</v>
      </c>
      <c r="G10" s="208" t="str">
        <f>IF('BOBOT PEK'!F16="","ls",'BOBOT PEK'!F16)</f>
        <v>unit</v>
      </c>
      <c r="H10" s="210">
        <f>'BOBOT PEK'!J16</f>
        <v>6.6517740370644132E-2</v>
      </c>
      <c r="I10" s="211">
        <f>'KALENDER MINGGU'!$B$3</f>
        <v>46226</v>
      </c>
      <c r="J10" s="209">
        <f t="shared" si="0"/>
        <v>0</v>
      </c>
      <c r="K10" s="209">
        <f t="shared" si="1"/>
        <v>4</v>
      </c>
      <c r="L10" s="212">
        <f t="shared" si="2"/>
        <v>0</v>
      </c>
      <c r="M10" s="208" t="str">
        <f t="shared" si="3"/>
        <v>OK</v>
      </c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3"/>
      <c r="BU10" s="213"/>
      <c r="BV10" s="213"/>
      <c r="BW10" s="213"/>
      <c r="BX10" s="213"/>
      <c r="BY10" s="213"/>
      <c r="BZ10" s="213"/>
      <c r="CA10" s="213"/>
      <c r="CB10" s="213"/>
      <c r="CC10" s="213"/>
      <c r="CD10" s="213"/>
      <c r="CE10" s="213"/>
      <c r="CF10" s="213"/>
      <c r="CG10" s="213"/>
      <c r="CH10" s="213"/>
      <c r="CI10" s="213"/>
      <c r="CJ10" s="213"/>
      <c r="CK10" s="213"/>
      <c r="CL10" s="213"/>
      <c r="CM10" s="213"/>
      <c r="CN10" s="213"/>
      <c r="CO10" s="213"/>
      <c r="CP10" s="213"/>
      <c r="CQ10" s="213"/>
      <c r="CR10" s="213"/>
      <c r="CS10" s="213"/>
      <c r="CT10" s="213"/>
      <c r="CU10" s="213"/>
      <c r="CV10" s="213"/>
      <c r="CW10" s="213"/>
      <c r="CX10" s="213"/>
      <c r="CY10" s="213"/>
      <c r="CZ10" s="213"/>
      <c r="DA10" s="213"/>
      <c r="DB10" s="213"/>
      <c r="DC10" s="213"/>
      <c r="DD10" s="213"/>
      <c r="DE10" s="213"/>
      <c r="DF10" s="213"/>
      <c r="DG10" s="213"/>
      <c r="DH10" s="213"/>
      <c r="DI10" s="213"/>
      <c r="DJ10" s="213"/>
      <c r="DK10" s="213"/>
      <c r="DL10" s="213"/>
      <c r="DM10" s="213"/>
      <c r="DN10" s="213"/>
      <c r="DO10" s="213"/>
      <c r="DP10" s="213"/>
      <c r="DQ10" s="213"/>
      <c r="DR10" s="213"/>
      <c r="DS10" s="213"/>
      <c r="DT10" s="213"/>
      <c r="DU10" s="213"/>
      <c r="DV10" s="210">
        <f>SUMPRODUCT((($I10+COLUMN($N$3:$DU$3)-COLUMN($N$3))&gt;='KALENDER MINGGU'!$B$6)*(($I10+COLUMN($N$3:$DU$3)-COLUMN($N$3))&lt;='KALENDER MINGGU'!$C$6)*(N10:DU10))/F10*H10</f>
        <v>0</v>
      </c>
      <c r="DW10" s="210">
        <f>SUMPRODUCT((($I10+COLUMN($N$3:$DU$3)-COLUMN($N$3))&gt;='KALENDER MINGGU'!$B$7)*(($I10+COLUMN($N$3:$DU$3)-COLUMN($N$3))&lt;='KALENDER MINGGU'!$C$7)*(N10:DU10))/F10*H10</f>
        <v>0</v>
      </c>
      <c r="DX10" s="210">
        <f>SUMPRODUCT((($I10+COLUMN($N$3:$DU$3)-COLUMN($N$3))&gt;='KALENDER MINGGU'!$B$8)*(($I10+COLUMN($N$3:$DU$3)-COLUMN($N$3))&lt;='KALENDER MINGGU'!$C$8)*(N10:DU10))/F10*H10</f>
        <v>0</v>
      </c>
      <c r="DY10" s="210">
        <f>SUMPRODUCT((($I10+COLUMN($N$3:$DU$3)-COLUMN($N$3))&gt;='KALENDER MINGGU'!$B$9)*(($I10+COLUMN($N$3:$DU$3)-COLUMN($N$3))&lt;='KALENDER MINGGU'!$C$9)*(N10:DU10))/F10*H10</f>
        <v>0</v>
      </c>
      <c r="DZ10" s="210">
        <f>SUMPRODUCT((($I10+COLUMN($N$3:$DU$3)-COLUMN($N$3))&gt;='KALENDER MINGGU'!$B$10)*(($I10+COLUMN($N$3:$DU$3)-COLUMN($N$3))&lt;='KALENDER MINGGU'!$C$10)*(N10:DU10))/F10*H10</f>
        <v>0</v>
      </c>
      <c r="EA10" s="210">
        <f>SUMPRODUCT((($I10+COLUMN($N$3:$DU$3)-COLUMN($N$3))&gt;='KALENDER MINGGU'!$B$11)*(($I10+COLUMN($N$3:$DU$3)-COLUMN($N$3))&lt;='KALENDER MINGGU'!$C$11)*(N10:DU10))/F10*H10</f>
        <v>0</v>
      </c>
      <c r="EB10" s="210">
        <f>SUMPRODUCT((($I10+COLUMN($N$3:$DU$3)-COLUMN($N$3))&gt;='KALENDER MINGGU'!$B$12)*(($I10+COLUMN($N$3:$DU$3)-COLUMN($N$3))&lt;='KALENDER MINGGU'!$C$12)*(N10:DU10))/F10*H10</f>
        <v>0</v>
      </c>
      <c r="EC10" s="210">
        <f>SUMPRODUCT((($I10+COLUMN($N$3:$DU$3)-COLUMN($N$3))&gt;='KALENDER MINGGU'!$B$13)*(($I10+COLUMN($N$3:$DU$3)-COLUMN($N$3))&lt;='KALENDER MINGGU'!$C$13)*(N10:DU10))/F10*H10</f>
        <v>0</v>
      </c>
      <c r="ED10" s="210">
        <f>SUMPRODUCT((($I10+COLUMN($N$3:$DU$3)-COLUMN($N$3))&gt;='KALENDER MINGGU'!$B$14)*(($I10+COLUMN($N$3:$DU$3)-COLUMN($N$3))&lt;='KALENDER MINGGU'!$C$14)*(N10:DU10))/F10*H10</f>
        <v>0</v>
      </c>
      <c r="EE10" s="210">
        <f>SUMPRODUCT((($I10+COLUMN($N$3:$DU$3)-COLUMN($N$3))&gt;='KALENDER MINGGU'!$B$15)*(($I10+COLUMN($N$3:$DU$3)-COLUMN($N$3))&lt;='KALENDER MINGGU'!$C$15)*(N10:DU10))/F10*H10</f>
        <v>0</v>
      </c>
      <c r="EF10" s="210">
        <f>SUMPRODUCT((($I10+COLUMN($N$3:$DU$3)-COLUMN($N$3))&gt;='KALENDER MINGGU'!$B$16)*(($I10+COLUMN($N$3:$DU$3)-COLUMN($N$3))&lt;='KALENDER MINGGU'!$C$16)*(N10:DU10))/F10*H10</f>
        <v>0</v>
      </c>
      <c r="EG10" s="210">
        <f>SUMPRODUCT((($I10+COLUMN($N$3:$DU$3)-COLUMN($N$3))&gt;='KALENDER MINGGU'!$B$17)*(($I10+COLUMN($N$3:$DU$3)-COLUMN($N$3))&lt;='KALENDER MINGGU'!$C$17)*(N10:DU10))/F10*H10</f>
        <v>0</v>
      </c>
      <c r="EH10" s="210">
        <f>SUMPRODUCT((($I10+COLUMN($N$3:$DU$3)-COLUMN($N$3))&gt;='KALENDER MINGGU'!$B$18)*(($I10+COLUMN($N$3:$DU$3)-COLUMN($N$3))&lt;='KALENDER MINGGU'!$C$18)*(N10:DU10))/F10*H10</f>
        <v>0</v>
      </c>
      <c r="EI10" s="210">
        <f>SUMPRODUCT((($I10+COLUMN($N$3:$DU$3)-COLUMN($N$3))&gt;='KALENDER MINGGU'!$B$19)*(($I10+COLUMN($N$3:$DU$3)-COLUMN($N$3))&lt;='KALENDER MINGGU'!$C$19)*(N10:DU10))/F10*H10</f>
        <v>0</v>
      </c>
      <c r="EJ10" s="210">
        <f>SUMPRODUCT((($I10+COLUMN($N$3:$DU$3)-COLUMN($N$3))&gt;='KALENDER MINGGU'!$B$20)*(($I10+COLUMN($N$3:$DU$3)-COLUMN($N$3))&lt;='KALENDER MINGGU'!$C$20)*(N10:DU10))/F10*H10</f>
        <v>0</v>
      </c>
      <c r="EK10" s="210">
        <f>SUMPRODUCT((($I10+COLUMN($N$3:$DU$3)-COLUMN($N$3))&gt;='KALENDER MINGGU'!$B$21)*(($I10+COLUMN($N$3:$DU$3)-COLUMN($N$3))&lt;='KALENDER MINGGU'!$C$21)*(N10:DU10))/F10*H10</f>
        <v>0</v>
      </c>
    </row>
    <row r="11" spans="1:141" ht="15" customHeight="1" x14ac:dyDescent="0.2">
      <c r="A11" s="208">
        <v>8</v>
      </c>
      <c r="B11" s="208">
        <v>17</v>
      </c>
      <c r="C11" s="208" t="str">
        <f>IF(B11&lt;160,'BOBOT PEK'!$B$4,IF(B11&lt;207,'BOBOT PEK'!$B$160,'BOBOT PEK'!$B$207))</f>
        <v>Pekerjaan Gudang Umum</v>
      </c>
      <c r="D11" s="208" t="s">
        <v>49</v>
      </c>
      <c r="E11" s="208" t="str">
        <f>'BOBOT PEK'!C17</f>
        <v>Pasang aluminium bubble dibawah atap+plat strip</v>
      </c>
      <c r="F11" s="209">
        <f>IF(OR('BOBOT PEK'!E17="",'BOBOT PEK'!E17=0),1,'BOBOT PEK'!E17)</f>
        <v>2875</v>
      </c>
      <c r="G11" s="208" t="str">
        <f>IF('BOBOT PEK'!F17="","ls",'BOBOT PEK'!F17)</f>
        <v>m²</v>
      </c>
      <c r="H11" s="210">
        <f>'BOBOT PEK'!J17</f>
        <v>8.8263924722585472</v>
      </c>
      <c r="I11" s="211">
        <f>'KALENDER MINGGU'!$B$3</f>
        <v>46226</v>
      </c>
      <c r="J11" s="209">
        <f t="shared" si="0"/>
        <v>1542.05</v>
      </c>
      <c r="K11" s="209">
        <f t="shared" si="1"/>
        <v>1332.95</v>
      </c>
      <c r="L11" s="212">
        <f t="shared" si="2"/>
        <v>0.53636521739130438</v>
      </c>
      <c r="M11" s="208" t="str">
        <f t="shared" si="3"/>
        <v>OK</v>
      </c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>
        <v>0.05</v>
      </c>
      <c r="AP11" s="213"/>
      <c r="AQ11" s="213"/>
      <c r="AR11" s="213"/>
      <c r="AS11" s="213"/>
      <c r="AT11" s="213"/>
      <c r="AU11" s="213"/>
      <c r="AV11" s="213">
        <f>20%*F11</f>
        <v>575</v>
      </c>
      <c r="AW11" s="213"/>
      <c r="AX11" s="213"/>
      <c r="AY11" s="213"/>
      <c r="AZ11" s="213"/>
      <c r="BA11" s="213"/>
      <c r="BB11" s="213">
        <v>250</v>
      </c>
      <c r="BC11" s="213">
        <v>35</v>
      </c>
      <c r="BD11" s="213"/>
      <c r="BE11" s="213"/>
      <c r="BF11" s="213">
        <v>36</v>
      </c>
      <c r="BG11" s="213">
        <v>36</v>
      </c>
      <c r="BH11" s="213">
        <v>40</v>
      </c>
      <c r="BI11" s="213">
        <v>40</v>
      </c>
      <c r="BJ11" s="213">
        <v>40</v>
      </c>
      <c r="BK11" s="213">
        <v>40</v>
      </c>
      <c r="BL11" s="213"/>
      <c r="BM11" s="213"/>
      <c r="BN11" s="213"/>
      <c r="BO11" s="213"/>
      <c r="BP11" s="213"/>
      <c r="BQ11" s="213"/>
      <c r="BR11" s="213"/>
      <c r="BS11" s="213"/>
      <c r="BT11" s="213"/>
      <c r="BU11" s="213"/>
      <c r="BV11" s="213"/>
      <c r="BW11" s="213"/>
      <c r="BX11" s="213"/>
      <c r="BY11" s="213"/>
      <c r="BZ11" s="213"/>
      <c r="CA11" s="213"/>
      <c r="CB11" s="213"/>
      <c r="CC11" s="213">
        <f>50*18*0.5</f>
        <v>450</v>
      </c>
      <c r="CD11" s="213"/>
      <c r="CE11" s="213"/>
      <c r="CF11" s="213"/>
      <c r="CG11" s="213"/>
      <c r="CH11" s="213"/>
      <c r="CI11" s="213"/>
      <c r="CJ11" s="213"/>
      <c r="CK11" s="213"/>
      <c r="CL11" s="213"/>
      <c r="CM11" s="213"/>
      <c r="CN11" s="213"/>
      <c r="CO11" s="213"/>
      <c r="CP11" s="213"/>
      <c r="CQ11" s="213"/>
      <c r="CR11" s="213"/>
      <c r="CS11" s="213"/>
      <c r="CT11" s="213"/>
      <c r="CU11" s="213"/>
      <c r="CV11" s="213"/>
      <c r="CW11" s="213"/>
      <c r="CX11" s="213"/>
      <c r="CY11" s="213"/>
      <c r="CZ11" s="213"/>
      <c r="DA11" s="213"/>
      <c r="DB11" s="213"/>
      <c r="DC11" s="213"/>
      <c r="DD11" s="213"/>
      <c r="DE11" s="213"/>
      <c r="DF11" s="213"/>
      <c r="DG11" s="213"/>
      <c r="DH11" s="213"/>
      <c r="DI11" s="213"/>
      <c r="DJ11" s="213"/>
      <c r="DK11" s="213"/>
      <c r="DL11" s="213"/>
      <c r="DM11" s="213"/>
      <c r="DN11" s="213"/>
      <c r="DO11" s="213"/>
      <c r="DP11" s="213"/>
      <c r="DQ11" s="213"/>
      <c r="DR11" s="213"/>
      <c r="DS11" s="213"/>
      <c r="DT11" s="213"/>
      <c r="DU11" s="213"/>
      <c r="DV11" s="210">
        <f>SUMPRODUCT((($I11+COLUMN($N$3:$DU$3)-COLUMN($N$3))&gt;='KALENDER MINGGU'!$B$6)*(($I11+COLUMN($N$3:$DU$3)-COLUMN($N$3))&lt;='KALENDER MINGGU'!$C$6)*(N11:DU11))/F11*H11</f>
        <v>0</v>
      </c>
      <c r="DW11" s="210">
        <f>SUMPRODUCT((($I11+COLUMN($N$3:$DU$3)-COLUMN($N$3))&gt;='KALENDER MINGGU'!$B$7)*(($I11+COLUMN($N$3:$DU$3)-COLUMN($N$3))&lt;='KALENDER MINGGU'!$C$7)*(N11:DU11))/F11*H11</f>
        <v>0</v>
      </c>
      <c r="DX11" s="210">
        <f>SUMPRODUCT((($I11+COLUMN($N$3:$DU$3)-COLUMN($N$3))&gt;='KALENDER MINGGU'!$B$8)*(($I11+COLUMN($N$3:$DU$3)-COLUMN($N$3))&lt;='KALENDER MINGGU'!$C$8)*(N11:DU11))/F11*H11</f>
        <v>0</v>
      </c>
      <c r="DY11" s="210">
        <f>SUMPRODUCT((($I11+COLUMN($N$3:$DU$3)-COLUMN($N$3))&gt;='KALENDER MINGGU'!$B$9)*(($I11+COLUMN($N$3:$DU$3)-COLUMN($N$3))&lt;='KALENDER MINGGU'!$C$9)*(N11:DU11))/F11*H11</f>
        <v>1.5350247777840952E-4</v>
      </c>
      <c r="DZ11" s="210">
        <f>SUMPRODUCT((($I11+COLUMN($N$3:$DU$3)-COLUMN($N$3))&gt;='KALENDER MINGGU'!$B$10)*(($I11+COLUMN($N$3:$DU$3)-COLUMN($N$3))&lt;='KALENDER MINGGU'!$C$10)*(N11:DU11))/F11*H11</f>
        <v>1.7652784944517095</v>
      </c>
      <c r="EA11" s="210">
        <f>SUMPRODUCT((($I11+COLUMN($N$3:$DU$3)-COLUMN($N$3))&gt;='KALENDER MINGGU'!$B$11)*(($I11+COLUMN($N$3:$DU$3)-COLUMN($N$3))&lt;='KALENDER MINGGU'!$C$11)*(N11:DU11))/F11*H11</f>
        <v>0.87496412333693419</v>
      </c>
      <c r="EB11" s="210">
        <f>SUMPRODUCT((($I11+COLUMN($N$3:$DU$3)-COLUMN($N$3))&gt;='KALENDER MINGGU'!$B$12)*(($I11+COLUMN($N$3:$DU$3)-COLUMN($N$3))&lt;='KALENDER MINGGU'!$C$12)*(N11:DU11))/F11*H11</f>
        <v>0.58944951466909246</v>
      </c>
      <c r="EC11" s="210">
        <f>SUMPRODUCT((($I11+COLUMN($N$3:$DU$3)-COLUMN($N$3))&gt;='KALENDER MINGGU'!$B$13)*(($I11+COLUMN($N$3:$DU$3)-COLUMN($N$3))&lt;='KALENDER MINGGU'!$C$13)*(N11:DU11))/F11*H11</f>
        <v>0.12280198222272762</v>
      </c>
      <c r="ED11" s="210">
        <f>SUMPRODUCT((($I11+COLUMN($N$3:$DU$3)-COLUMN($N$3))&gt;='KALENDER MINGGU'!$B$14)*(($I11+COLUMN($N$3:$DU$3)-COLUMN($N$3))&lt;='KALENDER MINGGU'!$C$14)*(N11:DU11))/F11*H11</f>
        <v>0</v>
      </c>
      <c r="EE11" s="210">
        <f>SUMPRODUCT((($I11+COLUMN($N$3:$DU$3)-COLUMN($N$3))&gt;='KALENDER MINGGU'!$B$15)*(($I11+COLUMN($N$3:$DU$3)-COLUMN($N$3))&lt;='KALENDER MINGGU'!$C$15)*(N11:DU11))/F11*H11</f>
        <v>1.3815223000056858</v>
      </c>
      <c r="EF11" s="210">
        <f>SUMPRODUCT((($I11+COLUMN($N$3:$DU$3)-COLUMN($N$3))&gt;='KALENDER MINGGU'!$B$16)*(($I11+COLUMN($N$3:$DU$3)-COLUMN($N$3))&lt;='KALENDER MINGGU'!$C$16)*(N11:DU11))/F11*H11</f>
        <v>0</v>
      </c>
      <c r="EG11" s="210">
        <f>SUMPRODUCT((($I11+COLUMN($N$3:$DU$3)-COLUMN($N$3))&gt;='KALENDER MINGGU'!$B$17)*(($I11+COLUMN($N$3:$DU$3)-COLUMN($N$3))&lt;='KALENDER MINGGU'!$C$17)*(N11:DU11))/F11*H11</f>
        <v>0</v>
      </c>
      <c r="EH11" s="210">
        <f>SUMPRODUCT((($I11+COLUMN($N$3:$DU$3)-COLUMN($N$3))&gt;='KALENDER MINGGU'!$B$18)*(($I11+COLUMN($N$3:$DU$3)-COLUMN($N$3))&lt;='KALENDER MINGGU'!$C$18)*(N11:DU11))/F11*H11</f>
        <v>0</v>
      </c>
      <c r="EI11" s="210">
        <f>SUMPRODUCT((($I11+COLUMN($N$3:$DU$3)-COLUMN($N$3))&gt;='KALENDER MINGGU'!$B$19)*(($I11+COLUMN($N$3:$DU$3)-COLUMN($N$3))&lt;='KALENDER MINGGU'!$C$19)*(N11:DU11))/F11*H11</f>
        <v>0</v>
      </c>
      <c r="EJ11" s="210">
        <f>SUMPRODUCT((($I11+COLUMN($N$3:$DU$3)-COLUMN($N$3))&gt;='KALENDER MINGGU'!$B$20)*(($I11+COLUMN($N$3:$DU$3)-COLUMN($N$3))&lt;='KALENDER MINGGU'!$C$20)*(N11:DU11))/F11*H11</f>
        <v>0</v>
      </c>
      <c r="EK11" s="210">
        <f>SUMPRODUCT((($I11+COLUMN($N$3:$DU$3)-COLUMN($N$3))&gt;='KALENDER MINGGU'!$B$21)*(($I11+COLUMN($N$3:$DU$3)-COLUMN($N$3))&lt;='KALENDER MINGGU'!$C$21)*(N11:DU11))/F11*H11</f>
        <v>0</v>
      </c>
    </row>
    <row r="12" spans="1:141" ht="15" customHeight="1" x14ac:dyDescent="0.2">
      <c r="A12" s="208">
        <v>9</v>
      </c>
      <c r="B12" s="208">
        <v>18</v>
      </c>
      <c r="C12" s="208" t="str">
        <f>IF(B12&lt;160,'BOBOT PEK'!$B$4,IF(B12&lt;207,'BOBOT PEK'!$B$160,'BOBOT PEK'!$B$207))</f>
        <v>Pekerjaan Gudang Umum</v>
      </c>
      <c r="D12" s="208" t="s">
        <v>49</v>
      </c>
      <c r="E12" s="208" t="str">
        <f>'BOBOT PEK'!C18</f>
        <v>Pekerjaan finishing cat sisi luar samping dan belakang</v>
      </c>
      <c r="F12" s="209">
        <f>IF(OR('BOBOT PEK'!E18="",'BOBOT PEK'!E18=0),1,'BOBOT PEK'!E18)</f>
        <v>1230</v>
      </c>
      <c r="G12" s="208" t="str">
        <f>IF('BOBOT PEK'!F18="","ls",'BOBOT PEK'!F18)</f>
        <v>m²</v>
      </c>
      <c r="H12" s="210">
        <f>'BOBOT PEK'!J18</f>
        <v>1.8094104568130023</v>
      </c>
      <c r="I12" s="211">
        <f>'KALENDER MINGGU'!$B$3</f>
        <v>46226</v>
      </c>
      <c r="J12" s="209">
        <f t="shared" si="0"/>
        <v>409</v>
      </c>
      <c r="K12" s="209">
        <f t="shared" si="1"/>
        <v>821</v>
      </c>
      <c r="L12" s="212">
        <f t="shared" si="2"/>
        <v>0.33252032520325203</v>
      </c>
      <c r="M12" s="208" t="str">
        <f t="shared" si="3"/>
        <v>OK</v>
      </c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>
        <f>6*24</f>
        <v>144</v>
      </c>
      <c r="BL12" s="213">
        <v>50</v>
      </c>
      <c r="BM12" s="213">
        <v>50</v>
      </c>
      <c r="BN12" s="213"/>
      <c r="BO12" s="213"/>
      <c r="BP12" s="213"/>
      <c r="BQ12" s="213"/>
      <c r="BR12" s="213"/>
      <c r="BS12" s="213">
        <v>20</v>
      </c>
      <c r="BT12" s="213">
        <v>20</v>
      </c>
      <c r="BU12" s="213">
        <v>20</v>
      </c>
      <c r="BV12" s="213"/>
      <c r="BW12" s="213">
        <v>15</v>
      </c>
      <c r="BX12" s="213">
        <v>15</v>
      </c>
      <c r="BY12" s="213">
        <v>15</v>
      </c>
      <c r="BZ12" s="213">
        <v>15</v>
      </c>
      <c r="CA12" s="213">
        <v>15</v>
      </c>
      <c r="CB12" s="213">
        <v>15</v>
      </c>
      <c r="CC12" s="213">
        <v>15</v>
      </c>
      <c r="CD12" s="213"/>
      <c r="CE12" s="213"/>
      <c r="CF12" s="213"/>
      <c r="CG12" s="213"/>
      <c r="CH12" s="213"/>
      <c r="CI12" s="213"/>
      <c r="CJ12" s="213"/>
      <c r="CK12" s="213"/>
      <c r="CL12" s="213"/>
      <c r="CM12" s="213"/>
      <c r="CN12" s="213"/>
      <c r="CO12" s="213"/>
      <c r="CP12" s="213"/>
      <c r="CQ12" s="213"/>
      <c r="CR12" s="213"/>
      <c r="CS12" s="213"/>
      <c r="CT12" s="213"/>
      <c r="CU12" s="213"/>
      <c r="CV12" s="213"/>
      <c r="CW12" s="213"/>
      <c r="CX12" s="213"/>
      <c r="CY12" s="213"/>
      <c r="CZ12" s="213"/>
      <c r="DA12" s="213"/>
      <c r="DB12" s="213"/>
      <c r="DC12" s="213"/>
      <c r="DD12" s="213"/>
      <c r="DE12" s="213"/>
      <c r="DF12" s="213"/>
      <c r="DG12" s="213"/>
      <c r="DH12" s="213"/>
      <c r="DI12" s="213"/>
      <c r="DJ12" s="213"/>
      <c r="DK12" s="213"/>
      <c r="DL12" s="213"/>
      <c r="DM12" s="213"/>
      <c r="DN12" s="213"/>
      <c r="DO12" s="213"/>
      <c r="DP12" s="213"/>
      <c r="DQ12" s="213"/>
      <c r="DR12" s="213"/>
      <c r="DS12" s="213"/>
      <c r="DT12" s="213"/>
      <c r="DU12" s="213"/>
      <c r="DV12" s="210">
        <f>SUMPRODUCT((($I12+COLUMN($N$3:$DU$3)-COLUMN($N$3))&gt;='KALENDER MINGGU'!$B$6)*(($I12+COLUMN($N$3:$DU$3)-COLUMN($N$3))&lt;='KALENDER MINGGU'!$C$6)*(N12:DU12))/F12*H12</f>
        <v>0</v>
      </c>
      <c r="DW12" s="210">
        <f>SUMPRODUCT((($I12+COLUMN($N$3:$DU$3)-COLUMN($N$3))&gt;='KALENDER MINGGU'!$B$7)*(($I12+COLUMN($N$3:$DU$3)-COLUMN($N$3))&lt;='KALENDER MINGGU'!$C$7)*(N12:DU12))/F12*H12</f>
        <v>0</v>
      </c>
      <c r="DX12" s="210">
        <f>SUMPRODUCT((($I12+COLUMN($N$3:$DU$3)-COLUMN($N$3))&gt;='KALENDER MINGGU'!$B$8)*(($I12+COLUMN($N$3:$DU$3)-COLUMN($N$3))&lt;='KALENDER MINGGU'!$C$8)*(N12:DU12))/F12*H12</f>
        <v>0</v>
      </c>
      <c r="DY12" s="210">
        <f>SUMPRODUCT((($I12+COLUMN($N$3:$DU$3)-COLUMN($N$3))&gt;='KALENDER MINGGU'!$B$9)*(($I12+COLUMN($N$3:$DU$3)-COLUMN($N$3))&lt;='KALENDER MINGGU'!$C$9)*(N12:DU12))/F12*H12</f>
        <v>0</v>
      </c>
      <c r="DZ12" s="210">
        <f>SUMPRODUCT((($I12+COLUMN($N$3:$DU$3)-COLUMN($N$3))&gt;='KALENDER MINGGU'!$B$10)*(($I12+COLUMN($N$3:$DU$3)-COLUMN($N$3))&lt;='KALENDER MINGGU'!$C$10)*(N12:DU12))/F12*H12</f>
        <v>0</v>
      </c>
      <c r="EA12" s="210">
        <f>SUMPRODUCT((($I12+COLUMN($N$3:$DU$3)-COLUMN($N$3))&gt;='KALENDER MINGGU'!$B$11)*(($I12+COLUMN($N$3:$DU$3)-COLUMN($N$3))&lt;='KALENDER MINGGU'!$C$11)*(N12:DU12))/F12*H12</f>
        <v>0</v>
      </c>
      <c r="EB12" s="210">
        <f>SUMPRODUCT((($I12+COLUMN($N$3:$DU$3)-COLUMN($N$3))&gt;='KALENDER MINGGU'!$B$12)*(($I12+COLUMN($N$3:$DU$3)-COLUMN($N$3))&lt;='KALENDER MINGGU'!$C$12)*(N12:DU12))/F12*H12</f>
        <v>0</v>
      </c>
      <c r="EC12" s="210">
        <f>SUMPRODUCT((($I12+COLUMN($N$3:$DU$3)-COLUMN($N$3))&gt;='KALENDER MINGGU'!$B$13)*(($I12+COLUMN($N$3:$DU$3)-COLUMN($N$3))&lt;='KALENDER MINGGU'!$C$13)*(N12:DU12))/F12*H12</f>
        <v>0.35893996053851424</v>
      </c>
      <c r="ED12" s="210">
        <f>SUMPRODUCT((($I12+COLUMN($N$3:$DU$3)-COLUMN($N$3))&gt;='KALENDER MINGGU'!$B$14)*(($I12+COLUMN($N$3:$DU$3)-COLUMN($N$3))&lt;='KALENDER MINGGU'!$C$14)*(N12:DU12))/F12*H12</f>
        <v>0.1323958870838782</v>
      </c>
      <c r="EE12" s="210">
        <f>SUMPRODUCT((($I12+COLUMN($N$3:$DU$3)-COLUMN($N$3))&gt;='KALENDER MINGGU'!$B$15)*(($I12+COLUMN($N$3:$DU$3)-COLUMN($N$3))&lt;='KALENDER MINGGU'!$C$15)*(N12:DU12))/F12*H12</f>
        <v>0.11032990590323184</v>
      </c>
      <c r="EF12" s="210">
        <f>SUMPRODUCT((($I12+COLUMN($N$3:$DU$3)-COLUMN($N$3))&gt;='KALENDER MINGGU'!$B$16)*(($I12+COLUMN($N$3:$DU$3)-COLUMN($N$3))&lt;='KALENDER MINGGU'!$C$16)*(N12:DU12))/F12*H12</f>
        <v>0</v>
      </c>
      <c r="EG12" s="210">
        <f>SUMPRODUCT((($I12+COLUMN($N$3:$DU$3)-COLUMN($N$3))&gt;='KALENDER MINGGU'!$B$17)*(($I12+COLUMN($N$3:$DU$3)-COLUMN($N$3))&lt;='KALENDER MINGGU'!$C$17)*(N12:DU12))/F12*H12</f>
        <v>0</v>
      </c>
      <c r="EH12" s="210">
        <f>SUMPRODUCT((($I12+COLUMN($N$3:$DU$3)-COLUMN($N$3))&gt;='KALENDER MINGGU'!$B$18)*(($I12+COLUMN($N$3:$DU$3)-COLUMN($N$3))&lt;='KALENDER MINGGU'!$C$18)*(N12:DU12))/F12*H12</f>
        <v>0</v>
      </c>
      <c r="EI12" s="210">
        <f>SUMPRODUCT((($I12+COLUMN($N$3:$DU$3)-COLUMN($N$3))&gt;='KALENDER MINGGU'!$B$19)*(($I12+COLUMN($N$3:$DU$3)-COLUMN($N$3))&lt;='KALENDER MINGGU'!$C$19)*(N12:DU12))/F12*H12</f>
        <v>0</v>
      </c>
      <c r="EJ12" s="210">
        <f>SUMPRODUCT((($I12+COLUMN($N$3:$DU$3)-COLUMN($N$3))&gt;='KALENDER MINGGU'!$B$20)*(($I12+COLUMN($N$3:$DU$3)-COLUMN($N$3))&lt;='KALENDER MINGGU'!$C$20)*(N12:DU12))/F12*H12</f>
        <v>0</v>
      </c>
      <c r="EK12" s="210">
        <f>SUMPRODUCT((($I12+COLUMN($N$3:$DU$3)-COLUMN($N$3))&gt;='KALENDER MINGGU'!$B$21)*(($I12+COLUMN($N$3:$DU$3)-COLUMN($N$3))&lt;='KALENDER MINGGU'!$C$21)*(N12:DU12))/F12*H12</f>
        <v>0</v>
      </c>
    </row>
    <row r="13" spans="1:141" ht="15" customHeight="1" x14ac:dyDescent="0.2">
      <c r="A13" s="208">
        <v>10</v>
      </c>
      <c r="B13" s="208">
        <v>19</v>
      </c>
      <c r="C13" s="208" t="str">
        <f>IF(B13&lt;160,'BOBOT PEK'!$B$4,IF(B13&lt;207,'BOBOT PEK'!$B$160,'BOBOT PEK'!$B$207))</f>
        <v>Pekerjaan Gudang Umum</v>
      </c>
      <c r="D13" s="208" t="s">
        <v>49</v>
      </c>
      <c r="E13" s="208" t="str">
        <f>'BOBOT PEK'!C19</f>
        <v>Pasang turbin ventilator 32"</v>
      </c>
      <c r="F13" s="209">
        <f>IF(OR('BOBOT PEK'!E19="",'BOBOT PEK'!E19=0),1,'BOBOT PEK'!E19)</f>
        <v>18</v>
      </c>
      <c r="G13" s="208" t="str">
        <f>IF('BOBOT PEK'!F19="","ls",'BOBOT PEK'!F19)</f>
        <v>unit</v>
      </c>
      <c r="H13" s="210">
        <f>'BOBOT PEK'!J19</f>
        <v>1.1512685833380714</v>
      </c>
      <c r="I13" s="211">
        <f>'KALENDER MINGGU'!$B$3</f>
        <v>46226</v>
      </c>
      <c r="J13" s="209">
        <f t="shared" si="0"/>
        <v>0</v>
      </c>
      <c r="K13" s="209">
        <f t="shared" si="1"/>
        <v>18</v>
      </c>
      <c r="L13" s="212">
        <f t="shared" si="2"/>
        <v>0</v>
      </c>
      <c r="M13" s="208" t="str">
        <f t="shared" si="3"/>
        <v>OK</v>
      </c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3"/>
      <c r="BU13" s="213"/>
      <c r="BV13" s="213"/>
      <c r="BW13" s="213"/>
      <c r="BX13" s="213"/>
      <c r="BY13" s="213"/>
      <c r="BZ13" s="213"/>
      <c r="CA13" s="213"/>
      <c r="CB13" s="213"/>
      <c r="CC13" s="213"/>
      <c r="CD13" s="213"/>
      <c r="CE13" s="213"/>
      <c r="CF13" s="213"/>
      <c r="CG13" s="213"/>
      <c r="CH13" s="213"/>
      <c r="CI13" s="213"/>
      <c r="CJ13" s="213"/>
      <c r="CK13" s="213"/>
      <c r="CL13" s="213"/>
      <c r="CM13" s="213"/>
      <c r="CN13" s="213"/>
      <c r="CO13" s="213"/>
      <c r="CP13" s="213"/>
      <c r="CQ13" s="213"/>
      <c r="CR13" s="213"/>
      <c r="CS13" s="213"/>
      <c r="CT13" s="213"/>
      <c r="CU13" s="213"/>
      <c r="CV13" s="213"/>
      <c r="CW13" s="213"/>
      <c r="CX13" s="213"/>
      <c r="CY13" s="213"/>
      <c r="CZ13" s="213"/>
      <c r="DA13" s="213"/>
      <c r="DB13" s="213"/>
      <c r="DC13" s="213"/>
      <c r="DD13" s="213"/>
      <c r="DE13" s="213"/>
      <c r="DF13" s="213"/>
      <c r="DG13" s="213"/>
      <c r="DH13" s="213"/>
      <c r="DI13" s="213"/>
      <c r="DJ13" s="213"/>
      <c r="DK13" s="213"/>
      <c r="DL13" s="213"/>
      <c r="DM13" s="213"/>
      <c r="DN13" s="213"/>
      <c r="DO13" s="213"/>
      <c r="DP13" s="213"/>
      <c r="DQ13" s="213"/>
      <c r="DR13" s="213"/>
      <c r="DS13" s="213"/>
      <c r="DT13" s="213"/>
      <c r="DU13" s="213"/>
      <c r="DV13" s="210">
        <f>SUMPRODUCT((($I13+COLUMN($N$3:$DU$3)-COLUMN($N$3))&gt;='KALENDER MINGGU'!$B$6)*(($I13+COLUMN($N$3:$DU$3)-COLUMN($N$3))&lt;='KALENDER MINGGU'!$C$6)*(N13:DU13))/F13*H13</f>
        <v>0</v>
      </c>
      <c r="DW13" s="210">
        <f>SUMPRODUCT((($I13+COLUMN($N$3:$DU$3)-COLUMN($N$3))&gt;='KALENDER MINGGU'!$B$7)*(($I13+COLUMN($N$3:$DU$3)-COLUMN($N$3))&lt;='KALENDER MINGGU'!$C$7)*(N13:DU13))/F13*H13</f>
        <v>0</v>
      </c>
      <c r="DX13" s="210">
        <f>SUMPRODUCT((($I13+COLUMN($N$3:$DU$3)-COLUMN($N$3))&gt;='KALENDER MINGGU'!$B$8)*(($I13+COLUMN($N$3:$DU$3)-COLUMN($N$3))&lt;='KALENDER MINGGU'!$C$8)*(N13:DU13))/F13*H13</f>
        <v>0</v>
      </c>
      <c r="DY13" s="210">
        <f>SUMPRODUCT((($I13+COLUMN($N$3:$DU$3)-COLUMN($N$3))&gt;='KALENDER MINGGU'!$B$9)*(($I13+COLUMN($N$3:$DU$3)-COLUMN($N$3))&lt;='KALENDER MINGGU'!$C$9)*(N13:DU13))/F13*H13</f>
        <v>0</v>
      </c>
      <c r="DZ13" s="210">
        <f>SUMPRODUCT((($I13+COLUMN($N$3:$DU$3)-COLUMN($N$3))&gt;='KALENDER MINGGU'!$B$10)*(($I13+COLUMN($N$3:$DU$3)-COLUMN($N$3))&lt;='KALENDER MINGGU'!$C$10)*(N13:DU13))/F13*H13</f>
        <v>0</v>
      </c>
      <c r="EA13" s="210">
        <f>SUMPRODUCT((($I13+COLUMN($N$3:$DU$3)-COLUMN($N$3))&gt;='KALENDER MINGGU'!$B$11)*(($I13+COLUMN($N$3:$DU$3)-COLUMN($N$3))&lt;='KALENDER MINGGU'!$C$11)*(N13:DU13))/F13*H13</f>
        <v>0</v>
      </c>
      <c r="EB13" s="210">
        <f>SUMPRODUCT((($I13+COLUMN($N$3:$DU$3)-COLUMN($N$3))&gt;='KALENDER MINGGU'!$B$12)*(($I13+COLUMN($N$3:$DU$3)-COLUMN($N$3))&lt;='KALENDER MINGGU'!$C$12)*(N13:DU13))/F13*H13</f>
        <v>0</v>
      </c>
      <c r="EC13" s="210">
        <f>SUMPRODUCT((($I13+COLUMN($N$3:$DU$3)-COLUMN($N$3))&gt;='KALENDER MINGGU'!$B$13)*(($I13+COLUMN($N$3:$DU$3)-COLUMN($N$3))&lt;='KALENDER MINGGU'!$C$13)*(N13:DU13))/F13*H13</f>
        <v>0</v>
      </c>
      <c r="ED13" s="210">
        <f>SUMPRODUCT((($I13+COLUMN($N$3:$DU$3)-COLUMN($N$3))&gt;='KALENDER MINGGU'!$B$14)*(($I13+COLUMN($N$3:$DU$3)-COLUMN($N$3))&lt;='KALENDER MINGGU'!$C$14)*(N13:DU13))/F13*H13</f>
        <v>0</v>
      </c>
      <c r="EE13" s="210">
        <f>SUMPRODUCT((($I13+COLUMN($N$3:$DU$3)-COLUMN($N$3))&gt;='KALENDER MINGGU'!$B$15)*(($I13+COLUMN($N$3:$DU$3)-COLUMN($N$3))&lt;='KALENDER MINGGU'!$C$15)*(N13:DU13))/F13*H13</f>
        <v>0</v>
      </c>
      <c r="EF13" s="210">
        <f>SUMPRODUCT((($I13+COLUMN($N$3:$DU$3)-COLUMN($N$3))&gt;='KALENDER MINGGU'!$B$16)*(($I13+COLUMN($N$3:$DU$3)-COLUMN($N$3))&lt;='KALENDER MINGGU'!$C$16)*(N13:DU13))/F13*H13</f>
        <v>0</v>
      </c>
      <c r="EG13" s="210">
        <f>SUMPRODUCT((($I13+COLUMN($N$3:$DU$3)-COLUMN($N$3))&gt;='KALENDER MINGGU'!$B$17)*(($I13+COLUMN($N$3:$DU$3)-COLUMN($N$3))&lt;='KALENDER MINGGU'!$C$17)*(N13:DU13))/F13*H13</f>
        <v>0</v>
      </c>
      <c r="EH13" s="210">
        <f>SUMPRODUCT((($I13+COLUMN($N$3:$DU$3)-COLUMN($N$3))&gt;='KALENDER MINGGU'!$B$18)*(($I13+COLUMN($N$3:$DU$3)-COLUMN($N$3))&lt;='KALENDER MINGGU'!$C$18)*(N13:DU13))/F13*H13</f>
        <v>0</v>
      </c>
      <c r="EI13" s="210">
        <f>SUMPRODUCT((($I13+COLUMN($N$3:$DU$3)-COLUMN($N$3))&gt;='KALENDER MINGGU'!$B$19)*(($I13+COLUMN($N$3:$DU$3)-COLUMN($N$3))&lt;='KALENDER MINGGU'!$C$19)*(N13:DU13))/F13*H13</f>
        <v>0</v>
      </c>
      <c r="EJ13" s="210">
        <f>SUMPRODUCT((($I13+COLUMN($N$3:$DU$3)-COLUMN($N$3))&gt;='KALENDER MINGGU'!$B$20)*(($I13+COLUMN($N$3:$DU$3)-COLUMN($N$3))&lt;='KALENDER MINGGU'!$C$20)*(N13:DU13))/F13*H13</f>
        <v>0</v>
      </c>
      <c r="EK13" s="210">
        <f>SUMPRODUCT((($I13+COLUMN($N$3:$DU$3)-COLUMN($N$3))&gt;='KALENDER MINGGU'!$B$21)*(($I13+COLUMN($N$3:$DU$3)-COLUMN($N$3))&lt;='KALENDER MINGGU'!$C$21)*(N13:DU13))/F13*H13</f>
        <v>0</v>
      </c>
    </row>
    <row r="14" spans="1:141" ht="15" customHeight="1" x14ac:dyDescent="0.2">
      <c r="A14" s="208">
        <v>11</v>
      </c>
      <c r="B14" s="208">
        <v>20</v>
      </c>
      <c r="C14" s="208" t="str">
        <f>IF(B14&lt;160,'BOBOT PEK'!$B$4,IF(B14&lt;207,'BOBOT PEK'!$B$160,'BOBOT PEK'!$B$207))</f>
        <v>Pekerjaan Gudang Umum</v>
      </c>
      <c r="D14" s="208" t="s">
        <v>49</v>
      </c>
      <c r="E14" s="208" t="str">
        <f>'BOBOT PEK'!C20</f>
        <v>Bongkar atap existing</v>
      </c>
      <c r="F14" s="209">
        <f>IF(OR('BOBOT PEK'!E20="",'BOBOT PEK'!E20=0),1,'BOBOT PEK'!E20)</f>
        <v>196</v>
      </c>
      <c r="G14" s="208" t="str">
        <f>IF('BOBOT PEK'!F20="","ls",'BOBOT PEK'!F20)</f>
        <v>m²</v>
      </c>
      <c r="H14" s="210">
        <f>'BOBOT PEK'!J20</f>
        <v>0.12536035685236779</v>
      </c>
      <c r="I14" s="211">
        <f>'KALENDER MINGGU'!$B$3</f>
        <v>46226</v>
      </c>
      <c r="J14" s="209">
        <f t="shared" si="0"/>
        <v>0</v>
      </c>
      <c r="K14" s="209">
        <f t="shared" si="1"/>
        <v>196</v>
      </c>
      <c r="L14" s="212">
        <f t="shared" si="2"/>
        <v>0</v>
      </c>
      <c r="M14" s="208" t="str">
        <f t="shared" si="3"/>
        <v>OK</v>
      </c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  <c r="BG14" s="213"/>
      <c r="BH14" s="213"/>
      <c r="BI14" s="213"/>
      <c r="BJ14" s="213"/>
      <c r="BK14" s="213"/>
      <c r="BL14" s="213"/>
      <c r="BM14" s="213"/>
      <c r="BN14" s="213"/>
      <c r="BO14" s="213"/>
      <c r="BP14" s="213"/>
      <c r="BQ14" s="213"/>
      <c r="BR14" s="213"/>
      <c r="BS14" s="213"/>
      <c r="BT14" s="213"/>
      <c r="BU14" s="213"/>
      <c r="BV14" s="213"/>
      <c r="BW14" s="213"/>
      <c r="BX14" s="213"/>
      <c r="BY14" s="213"/>
      <c r="BZ14" s="213"/>
      <c r="CA14" s="213"/>
      <c r="CB14" s="213"/>
      <c r="CC14" s="213"/>
      <c r="CD14" s="213"/>
      <c r="CE14" s="213"/>
      <c r="CF14" s="213"/>
      <c r="CG14" s="213"/>
      <c r="CH14" s="213"/>
      <c r="CI14" s="213"/>
      <c r="CJ14" s="213"/>
      <c r="CK14" s="213"/>
      <c r="CL14" s="213"/>
      <c r="CM14" s="213"/>
      <c r="CN14" s="213"/>
      <c r="CO14" s="213"/>
      <c r="CP14" s="213"/>
      <c r="CQ14" s="213"/>
      <c r="CR14" s="213"/>
      <c r="CS14" s="213"/>
      <c r="CT14" s="213"/>
      <c r="CU14" s="213"/>
      <c r="CV14" s="213"/>
      <c r="CW14" s="213"/>
      <c r="CX14" s="213"/>
      <c r="CY14" s="213"/>
      <c r="CZ14" s="213"/>
      <c r="DA14" s="213"/>
      <c r="DB14" s="213"/>
      <c r="DC14" s="213"/>
      <c r="DD14" s="213"/>
      <c r="DE14" s="213"/>
      <c r="DF14" s="213"/>
      <c r="DG14" s="213"/>
      <c r="DH14" s="213"/>
      <c r="DI14" s="213"/>
      <c r="DJ14" s="213"/>
      <c r="DK14" s="213"/>
      <c r="DL14" s="213"/>
      <c r="DM14" s="213"/>
      <c r="DN14" s="213"/>
      <c r="DO14" s="213"/>
      <c r="DP14" s="213"/>
      <c r="DQ14" s="213"/>
      <c r="DR14" s="213"/>
      <c r="DS14" s="213"/>
      <c r="DT14" s="213"/>
      <c r="DU14" s="213"/>
      <c r="DV14" s="210">
        <f>SUMPRODUCT((($I14+COLUMN($N$3:$DU$3)-COLUMN($N$3))&gt;='KALENDER MINGGU'!$B$6)*(($I14+COLUMN($N$3:$DU$3)-COLUMN($N$3))&lt;='KALENDER MINGGU'!$C$6)*(N14:DU14))/F14*H14</f>
        <v>0</v>
      </c>
      <c r="DW14" s="210">
        <f>SUMPRODUCT((($I14+COLUMN($N$3:$DU$3)-COLUMN($N$3))&gt;='KALENDER MINGGU'!$B$7)*(($I14+COLUMN($N$3:$DU$3)-COLUMN($N$3))&lt;='KALENDER MINGGU'!$C$7)*(N14:DU14))/F14*H14</f>
        <v>0</v>
      </c>
      <c r="DX14" s="210">
        <f>SUMPRODUCT((($I14+COLUMN($N$3:$DU$3)-COLUMN($N$3))&gt;='KALENDER MINGGU'!$B$8)*(($I14+COLUMN($N$3:$DU$3)-COLUMN($N$3))&lt;='KALENDER MINGGU'!$C$8)*(N14:DU14))/F14*H14</f>
        <v>0</v>
      </c>
      <c r="DY14" s="210">
        <f>SUMPRODUCT((($I14+COLUMN($N$3:$DU$3)-COLUMN($N$3))&gt;='KALENDER MINGGU'!$B$9)*(($I14+COLUMN($N$3:$DU$3)-COLUMN($N$3))&lt;='KALENDER MINGGU'!$C$9)*(N14:DU14))/F14*H14</f>
        <v>0</v>
      </c>
      <c r="DZ14" s="210">
        <f>SUMPRODUCT((($I14+COLUMN($N$3:$DU$3)-COLUMN($N$3))&gt;='KALENDER MINGGU'!$B$10)*(($I14+COLUMN($N$3:$DU$3)-COLUMN($N$3))&lt;='KALENDER MINGGU'!$C$10)*(N14:DU14))/F14*H14</f>
        <v>0</v>
      </c>
      <c r="EA14" s="210">
        <f>SUMPRODUCT((($I14+COLUMN($N$3:$DU$3)-COLUMN($N$3))&gt;='KALENDER MINGGU'!$B$11)*(($I14+COLUMN($N$3:$DU$3)-COLUMN($N$3))&lt;='KALENDER MINGGU'!$C$11)*(N14:DU14))/F14*H14</f>
        <v>0</v>
      </c>
      <c r="EB14" s="210">
        <f>SUMPRODUCT((($I14+COLUMN($N$3:$DU$3)-COLUMN($N$3))&gt;='KALENDER MINGGU'!$B$12)*(($I14+COLUMN($N$3:$DU$3)-COLUMN($N$3))&lt;='KALENDER MINGGU'!$C$12)*(N14:DU14))/F14*H14</f>
        <v>0</v>
      </c>
      <c r="EC14" s="210">
        <f>SUMPRODUCT((($I14+COLUMN($N$3:$DU$3)-COLUMN($N$3))&gt;='KALENDER MINGGU'!$B$13)*(($I14+COLUMN($N$3:$DU$3)-COLUMN($N$3))&lt;='KALENDER MINGGU'!$C$13)*(N14:DU14))/F14*H14</f>
        <v>0</v>
      </c>
      <c r="ED14" s="210">
        <f>SUMPRODUCT((($I14+COLUMN($N$3:$DU$3)-COLUMN($N$3))&gt;='KALENDER MINGGU'!$B$14)*(($I14+COLUMN($N$3:$DU$3)-COLUMN($N$3))&lt;='KALENDER MINGGU'!$C$14)*(N14:DU14))/F14*H14</f>
        <v>0</v>
      </c>
      <c r="EE14" s="210">
        <f>SUMPRODUCT((($I14+COLUMN($N$3:$DU$3)-COLUMN($N$3))&gt;='KALENDER MINGGU'!$B$15)*(($I14+COLUMN($N$3:$DU$3)-COLUMN($N$3))&lt;='KALENDER MINGGU'!$C$15)*(N14:DU14))/F14*H14</f>
        <v>0</v>
      </c>
      <c r="EF14" s="210">
        <f>SUMPRODUCT((($I14+COLUMN($N$3:$DU$3)-COLUMN($N$3))&gt;='KALENDER MINGGU'!$B$16)*(($I14+COLUMN($N$3:$DU$3)-COLUMN($N$3))&lt;='KALENDER MINGGU'!$C$16)*(N14:DU14))/F14*H14</f>
        <v>0</v>
      </c>
      <c r="EG14" s="210">
        <f>SUMPRODUCT((($I14+COLUMN($N$3:$DU$3)-COLUMN($N$3))&gt;='KALENDER MINGGU'!$B$17)*(($I14+COLUMN($N$3:$DU$3)-COLUMN($N$3))&lt;='KALENDER MINGGU'!$C$17)*(N14:DU14))/F14*H14</f>
        <v>0</v>
      </c>
      <c r="EH14" s="210">
        <f>SUMPRODUCT((($I14+COLUMN($N$3:$DU$3)-COLUMN($N$3))&gt;='KALENDER MINGGU'!$B$18)*(($I14+COLUMN($N$3:$DU$3)-COLUMN($N$3))&lt;='KALENDER MINGGU'!$C$18)*(N14:DU14))/F14*H14</f>
        <v>0</v>
      </c>
      <c r="EI14" s="210">
        <f>SUMPRODUCT((($I14+COLUMN($N$3:$DU$3)-COLUMN($N$3))&gt;='KALENDER MINGGU'!$B$19)*(($I14+COLUMN($N$3:$DU$3)-COLUMN($N$3))&lt;='KALENDER MINGGU'!$C$19)*(N14:DU14))/F14*H14</f>
        <v>0</v>
      </c>
      <c r="EJ14" s="210">
        <f>SUMPRODUCT((($I14+COLUMN($N$3:$DU$3)-COLUMN($N$3))&gt;='KALENDER MINGGU'!$B$20)*(($I14+COLUMN($N$3:$DU$3)-COLUMN($N$3))&lt;='KALENDER MINGGU'!$C$20)*(N14:DU14))/F14*H14</f>
        <v>0</v>
      </c>
      <c r="EK14" s="210">
        <f>SUMPRODUCT((($I14+COLUMN($N$3:$DU$3)-COLUMN($N$3))&gt;='KALENDER MINGGU'!$B$21)*(($I14+COLUMN($N$3:$DU$3)-COLUMN($N$3))&lt;='KALENDER MINGGU'!$C$21)*(N14:DU14))/F14*H14</f>
        <v>0</v>
      </c>
    </row>
    <row r="15" spans="1:141" ht="15" customHeight="1" x14ac:dyDescent="0.2">
      <c r="A15" s="208">
        <v>12</v>
      </c>
      <c r="B15" s="208">
        <v>21</v>
      </c>
      <c r="C15" s="208" t="str">
        <f>IF(B15&lt;160,'BOBOT PEK'!$B$4,IF(B15&lt;207,'BOBOT PEK'!$B$160,'BOBOT PEK'!$B$207))</f>
        <v>Pekerjaan Gudang Umum</v>
      </c>
      <c r="D15" s="208" t="s">
        <v>49</v>
      </c>
      <c r="E15" s="208" t="str">
        <f>'BOBOT PEK'!C21</f>
        <v>Pasang atap fiber bening</v>
      </c>
      <c r="F15" s="209">
        <f>IF(OR('BOBOT PEK'!E21="",'BOBOT PEK'!E21=0),1,'BOBOT PEK'!E21)</f>
        <v>196</v>
      </c>
      <c r="G15" s="208" t="str">
        <f>IF('BOBOT PEK'!F21="","ls",'BOBOT PEK'!F21)</f>
        <v>m²</v>
      </c>
      <c r="H15" s="210">
        <f>'BOBOT PEK'!J21</f>
        <v>0.71706124119554371</v>
      </c>
      <c r="I15" s="211">
        <f>'KALENDER MINGGU'!$B$3</f>
        <v>46226</v>
      </c>
      <c r="J15" s="209">
        <f t="shared" si="0"/>
        <v>0</v>
      </c>
      <c r="K15" s="209">
        <f t="shared" si="1"/>
        <v>196</v>
      </c>
      <c r="L15" s="212">
        <f t="shared" si="2"/>
        <v>0</v>
      </c>
      <c r="M15" s="208" t="str">
        <f t="shared" si="3"/>
        <v>OK</v>
      </c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3"/>
      <c r="BU15" s="213"/>
      <c r="BV15" s="213"/>
      <c r="BW15" s="213"/>
      <c r="BX15" s="213"/>
      <c r="BY15" s="213"/>
      <c r="BZ15" s="213"/>
      <c r="CA15" s="213"/>
      <c r="CB15" s="213"/>
      <c r="CC15" s="213"/>
      <c r="CD15" s="213"/>
      <c r="CE15" s="213"/>
      <c r="CF15" s="213"/>
      <c r="CG15" s="213"/>
      <c r="CH15" s="213"/>
      <c r="CI15" s="213"/>
      <c r="CJ15" s="213"/>
      <c r="CK15" s="213"/>
      <c r="CL15" s="213"/>
      <c r="CM15" s="213"/>
      <c r="CN15" s="213"/>
      <c r="CO15" s="213"/>
      <c r="CP15" s="213"/>
      <c r="CQ15" s="213"/>
      <c r="CR15" s="213"/>
      <c r="CS15" s="213"/>
      <c r="CT15" s="213"/>
      <c r="CU15" s="213"/>
      <c r="CV15" s="213"/>
      <c r="CW15" s="213"/>
      <c r="CX15" s="213"/>
      <c r="CY15" s="213"/>
      <c r="CZ15" s="213"/>
      <c r="DA15" s="213"/>
      <c r="DB15" s="213"/>
      <c r="DC15" s="213"/>
      <c r="DD15" s="213"/>
      <c r="DE15" s="213"/>
      <c r="DF15" s="213"/>
      <c r="DG15" s="213"/>
      <c r="DH15" s="213"/>
      <c r="DI15" s="213"/>
      <c r="DJ15" s="213"/>
      <c r="DK15" s="213"/>
      <c r="DL15" s="213"/>
      <c r="DM15" s="213"/>
      <c r="DN15" s="213"/>
      <c r="DO15" s="213"/>
      <c r="DP15" s="213"/>
      <c r="DQ15" s="213"/>
      <c r="DR15" s="213"/>
      <c r="DS15" s="213"/>
      <c r="DT15" s="213"/>
      <c r="DU15" s="213"/>
      <c r="DV15" s="210">
        <f>SUMPRODUCT((($I15+COLUMN($N$3:$DU$3)-COLUMN($N$3))&gt;='KALENDER MINGGU'!$B$6)*(($I15+COLUMN($N$3:$DU$3)-COLUMN($N$3))&lt;='KALENDER MINGGU'!$C$6)*(N15:DU15))/F15*H15</f>
        <v>0</v>
      </c>
      <c r="DW15" s="210">
        <f>SUMPRODUCT((($I15+COLUMN($N$3:$DU$3)-COLUMN($N$3))&gt;='KALENDER MINGGU'!$B$7)*(($I15+COLUMN($N$3:$DU$3)-COLUMN($N$3))&lt;='KALENDER MINGGU'!$C$7)*(N15:DU15))/F15*H15</f>
        <v>0</v>
      </c>
      <c r="DX15" s="210">
        <f>SUMPRODUCT((($I15+COLUMN($N$3:$DU$3)-COLUMN($N$3))&gt;='KALENDER MINGGU'!$B$8)*(($I15+COLUMN($N$3:$DU$3)-COLUMN($N$3))&lt;='KALENDER MINGGU'!$C$8)*(N15:DU15))/F15*H15</f>
        <v>0</v>
      </c>
      <c r="DY15" s="210">
        <f>SUMPRODUCT((($I15+COLUMN($N$3:$DU$3)-COLUMN($N$3))&gt;='KALENDER MINGGU'!$B$9)*(($I15+COLUMN($N$3:$DU$3)-COLUMN($N$3))&lt;='KALENDER MINGGU'!$C$9)*(N15:DU15))/F15*H15</f>
        <v>0</v>
      </c>
      <c r="DZ15" s="210">
        <f>SUMPRODUCT((($I15+COLUMN($N$3:$DU$3)-COLUMN($N$3))&gt;='KALENDER MINGGU'!$B$10)*(($I15+COLUMN($N$3:$DU$3)-COLUMN($N$3))&lt;='KALENDER MINGGU'!$C$10)*(N15:DU15))/F15*H15</f>
        <v>0</v>
      </c>
      <c r="EA15" s="210">
        <f>SUMPRODUCT((($I15+COLUMN($N$3:$DU$3)-COLUMN($N$3))&gt;='KALENDER MINGGU'!$B$11)*(($I15+COLUMN($N$3:$DU$3)-COLUMN($N$3))&lt;='KALENDER MINGGU'!$C$11)*(N15:DU15))/F15*H15</f>
        <v>0</v>
      </c>
      <c r="EB15" s="210">
        <f>SUMPRODUCT((($I15+COLUMN($N$3:$DU$3)-COLUMN($N$3))&gt;='KALENDER MINGGU'!$B$12)*(($I15+COLUMN($N$3:$DU$3)-COLUMN($N$3))&lt;='KALENDER MINGGU'!$C$12)*(N15:DU15))/F15*H15</f>
        <v>0</v>
      </c>
      <c r="EC15" s="210">
        <f>SUMPRODUCT((($I15+COLUMN($N$3:$DU$3)-COLUMN($N$3))&gt;='KALENDER MINGGU'!$B$13)*(($I15+COLUMN($N$3:$DU$3)-COLUMN($N$3))&lt;='KALENDER MINGGU'!$C$13)*(N15:DU15))/F15*H15</f>
        <v>0</v>
      </c>
      <c r="ED15" s="210">
        <f>SUMPRODUCT((($I15+COLUMN($N$3:$DU$3)-COLUMN($N$3))&gt;='KALENDER MINGGU'!$B$14)*(($I15+COLUMN($N$3:$DU$3)-COLUMN($N$3))&lt;='KALENDER MINGGU'!$C$14)*(N15:DU15))/F15*H15</f>
        <v>0</v>
      </c>
      <c r="EE15" s="210">
        <f>SUMPRODUCT((($I15+COLUMN($N$3:$DU$3)-COLUMN($N$3))&gt;='KALENDER MINGGU'!$B$15)*(($I15+COLUMN($N$3:$DU$3)-COLUMN($N$3))&lt;='KALENDER MINGGU'!$C$15)*(N15:DU15))/F15*H15</f>
        <v>0</v>
      </c>
      <c r="EF15" s="210">
        <f>SUMPRODUCT((($I15+COLUMN($N$3:$DU$3)-COLUMN($N$3))&gt;='KALENDER MINGGU'!$B$16)*(($I15+COLUMN($N$3:$DU$3)-COLUMN($N$3))&lt;='KALENDER MINGGU'!$C$16)*(N15:DU15))/F15*H15</f>
        <v>0</v>
      </c>
      <c r="EG15" s="210">
        <f>SUMPRODUCT((($I15+COLUMN($N$3:$DU$3)-COLUMN($N$3))&gt;='KALENDER MINGGU'!$B$17)*(($I15+COLUMN($N$3:$DU$3)-COLUMN($N$3))&lt;='KALENDER MINGGU'!$C$17)*(N15:DU15))/F15*H15</f>
        <v>0</v>
      </c>
      <c r="EH15" s="210">
        <f>SUMPRODUCT((($I15+COLUMN($N$3:$DU$3)-COLUMN($N$3))&gt;='KALENDER MINGGU'!$B$18)*(($I15+COLUMN($N$3:$DU$3)-COLUMN($N$3))&lt;='KALENDER MINGGU'!$C$18)*(N15:DU15))/F15*H15</f>
        <v>0</v>
      </c>
      <c r="EI15" s="210">
        <f>SUMPRODUCT((($I15+COLUMN($N$3:$DU$3)-COLUMN($N$3))&gt;='KALENDER MINGGU'!$B$19)*(($I15+COLUMN($N$3:$DU$3)-COLUMN($N$3))&lt;='KALENDER MINGGU'!$C$19)*(N15:DU15))/F15*H15</f>
        <v>0</v>
      </c>
      <c r="EJ15" s="210">
        <f>SUMPRODUCT((($I15+COLUMN($N$3:$DU$3)-COLUMN($N$3))&gt;='KALENDER MINGGU'!$B$20)*(($I15+COLUMN($N$3:$DU$3)-COLUMN($N$3))&lt;='KALENDER MINGGU'!$C$20)*(N15:DU15))/F15*H15</f>
        <v>0</v>
      </c>
      <c r="EK15" s="210">
        <f>SUMPRODUCT((($I15+COLUMN($N$3:$DU$3)-COLUMN($N$3))&gt;='KALENDER MINGGU'!$B$21)*(($I15+COLUMN($N$3:$DU$3)-COLUMN($N$3))&lt;='KALENDER MINGGU'!$C$21)*(N15:DU15))/F15*H15</f>
        <v>0</v>
      </c>
    </row>
    <row r="16" spans="1:141" ht="15" customHeight="1" x14ac:dyDescent="0.2">
      <c r="A16" s="208">
        <v>13</v>
      </c>
      <c r="B16" s="208">
        <v>22</v>
      </c>
      <c r="C16" s="208" t="str">
        <f>IF(B16&lt;160,'BOBOT PEK'!$B$4,IF(B16&lt;207,'BOBOT PEK'!$B$160,'BOBOT PEK'!$B$207))</f>
        <v>Pekerjaan Gudang Umum</v>
      </c>
      <c r="D16" s="208" t="s">
        <v>49</v>
      </c>
      <c r="E16" s="208" t="str">
        <f>'BOBOT PEK'!C22</f>
        <v>pekerjaan refinishing kanopi loading dock</v>
      </c>
      <c r="F16" s="209">
        <f>IF(OR('BOBOT PEK'!E22="",'BOBOT PEK'!E22=0),1,'BOBOT PEK'!E22)</f>
        <v>290</v>
      </c>
      <c r="G16" s="208" t="str">
        <f>IF('BOBOT PEK'!F22="","ls",'BOBOT PEK'!F22)</f>
        <v>m²</v>
      </c>
      <c r="H16" s="210">
        <f>'BOBOT PEK'!J22</f>
        <v>0.63063934620629902</v>
      </c>
      <c r="I16" s="211">
        <f>'KALENDER MINGGU'!$B$3</f>
        <v>46226</v>
      </c>
      <c r="J16" s="209">
        <f t="shared" si="0"/>
        <v>145</v>
      </c>
      <c r="K16" s="209">
        <f t="shared" si="1"/>
        <v>145</v>
      </c>
      <c r="L16" s="212">
        <f t="shared" si="2"/>
        <v>0.5</v>
      </c>
      <c r="M16" s="208" t="str">
        <f t="shared" si="3"/>
        <v>OK</v>
      </c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3"/>
      <c r="BK16" s="213"/>
      <c r="BL16" s="213"/>
      <c r="BM16" s="213"/>
      <c r="BN16" s="213"/>
      <c r="BO16" s="213"/>
      <c r="BP16" s="213"/>
      <c r="BQ16" s="213"/>
      <c r="BR16" s="213"/>
      <c r="BS16" s="213"/>
      <c r="BT16" s="213">
        <v>5</v>
      </c>
      <c r="BU16" s="213"/>
      <c r="BV16" s="213"/>
      <c r="BW16" s="213">
        <v>20</v>
      </c>
      <c r="BX16" s="213">
        <v>20</v>
      </c>
      <c r="BY16" s="213">
        <v>20</v>
      </c>
      <c r="BZ16" s="213">
        <v>20</v>
      </c>
      <c r="CA16" s="213">
        <v>20</v>
      </c>
      <c r="CB16" s="213">
        <v>20</v>
      </c>
      <c r="CC16" s="213">
        <v>20</v>
      </c>
      <c r="CD16" s="213"/>
      <c r="CE16" s="213"/>
      <c r="CF16" s="213"/>
      <c r="CG16" s="213"/>
      <c r="CH16" s="213"/>
      <c r="CI16" s="213"/>
      <c r="CJ16" s="213"/>
      <c r="CK16" s="213"/>
      <c r="CL16" s="213"/>
      <c r="CM16" s="213"/>
      <c r="CN16" s="213"/>
      <c r="CO16" s="213"/>
      <c r="CP16" s="213"/>
      <c r="CQ16" s="213"/>
      <c r="CR16" s="213"/>
      <c r="CS16" s="213"/>
      <c r="CT16" s="213"/>
      <c r="CU16" s="213"/>
      <c r="CV16" s="213"/>
      <c r="CW16" s="213"/>
      <c r="CX16" s="213"/>
      <c r="CY16" s="213"/>
      <c r="CZ16" s="213"/>
      <c r="DA16" s="213"/>
      <c r="DB16" s="213"/>
      <c r="DC16" s="213"/>
      <c r="DD16" s="213"/>
      <c r="DE16" s="213"/>
      <c r="DF16" s="213"/>
      <c r="DG16" s="213"/>
      <c r="DH16" s="213"/>
      <c r="DI16" s="213"/>
      <c r="DJ16" s="213"/>
      <c r="DK16" s="213"/>
      <c r="DL16" s="213"/>
      <c r="DM16" s="213"/>
      <c r="DN16" s="213"/>
      <c r="DO16" s="213"/>
      <c r="DP16" s="213"/>
      <c r="DQ16" s="213"/>
      <c r="DR16" s="213"/>
      <c r="DS16" s="213"/>
      <c r="DT16" s="213"/>
      <c r="DU16" s="213"/>
      <c r="DV16" s="210">
        <f>SUMPRODUCT((($I16+COLUMN($N$3:$DU$3)-COLUMN($N$3))&gt;='KALENDER MINGGU'!$B$6)*(($I16+COLUMN($N$3:$DU$3)-COLUMN($N$3))&lt;='KALENDER MINGGU'!$C$6)*(N16:DU16))/F16*H16</f>
        <v>0</v>
      </c>
      <c r="DW16" s="210">
        <f>SUMPRODUCT((($I16+COLUMN($N$3:$DU$3)-COLUMN($N$3))&gt;='KALENDER MINGGU'!$B$7)*(($I16+COLUMN($N$3:$DU$3)-COLUMN($N$3))&lt;='KALENDER MINGGU'!$C$7)*(N16:DU16))/F16*H16</f>
        <v>0</v>
      </c>
      <c r="DX16" s="210">
        <f>SUMPRODUCT((($I16+COLUMN($N$3:$DU$3)-COLUMN($N$3))&gt;='KALENDER MINGGU'!$B$8)*(($I16+COLUMN($N$3:$DU$3)-COLUMN($N$3))&lt;='KALENDER MINGGU'!$C$8)*(N16:DU16))/F16*H16</f>
        <v>0</v>
      </c>
      <c r="DY16" s="210">
        <f>SUMPRODUCT((($I16+COLUMN($N$3:$DU$3)-COLUMN($N$3))&gt;='KALENDER MINGGU'!$B$9)*(($I16+COLUMN($N$3:$DU$3)-COLUMN($N$3))&lt;='KALENDER MINGGU'!$C$9)*(N16:DU16))/F16*H16</f>
        <v>0</v>
      </c>
      <c r="DZ16" s="210">
        <f>SUMPRODUCT((($I16+COLUMN($N$3:$DU$3)-COLUMN($N$3))&gt;='KALENDER MINGGU'!$B$10)*(($I16+COLUMN($N$3:$DU$3)-COLUMN($N$3))&lt;='KALENDER MINGGU'!$C$10)*(N16:DU16))/F16*H16</f>
        <v>0</v>
      </c>
      <c r="EA16" s="210">
        <f>SUMPRODUCT((($I16+COLUMN($N$3:$DU$3)-COLUMN($N$3))&gt;='KALENDER MINGGU'!$B$11)*(($I16+COLUMN($N$3:$DU$3)-COLUMN($N$3))&lt;='KALENDER MINGGU'!$C$11)*(N16:DU16))/F16*H16</f>
        <v>0</v>
      </c>
      <c r="EB16" s="210">
        <f>SUMPRODUCT((($I16+COLUMN($N$3:$DU$3)-COLUMN($N$3))&gt;='KALENDER MINGGU'!$B$12)*(($I16+COLUMN($N$3:$DU$3)-COLUMN($N$3))&lt;='KALENDER MINGGU'!$C$12)*(N16:DU16))/F16*H16</f>
        <v>0</v>
      </c>
      <c r="EC16" s="210">
        <f>SUMPRODUCT((($I16+COLUMN($N$3:$DU$3)-COLUMN($N$3))&gt;='KALENDER MINGGU'!$B$13)*(($I16+COLUMN($N$3:$DU$3)-COLUMN($N$3))&lt;='KALENDER MINGGU'!$C$13)*(N16:DU16))/F16*H16</f>
        <v>0</v>
      </c>
      <c r="ED16" s="210">
        <f>SUMPRODUCT((($I16+COLUMN($N$3:$DU$3)-COLUMN($N$3))&gt;='KALENDER MINGGU'!$B$14)*(($I16+COLUMN($N$3:$DU$3)-COLUMN($N$3))&lt;='KALENDER MINGGU'!$C$14)*(N16:DU16))/F16*H16</f>
        <v>9.7857829583736053E-2</v>
      </c>
      <c r="EE16" s="210">
        <f>SUMPRODUCT((($I16+COLUMN($N$3:$DU$3)-COLUMN($N$3))&gt;='KALENDER MINGGU'!$B$15)*(($I16+COLUMN($N$3:$DU$3)-COLUMN($N$3))&lt;='KALENDER MINGGU'!$C$15)*(N16:DU16))/F16*H16</f>
        <v>0.21746184351941347</v>
      </c>
      <c r="EF16" s="210">
        <f>SUMPRODUCT((($I16+COLUMN($N$3:$DU$3)-COLUMN($N$3))&gt;='KALENDER MINGGU'!$B$16)*(($I16+COLUMN($N$3:$DU$3)-COLUMN($N$3))&lt;='KALENDER MINGGU'!$C$16)*(N16:DU16))/F16*H16</f>
        <v>0</v>
      </c>
      <c r="EG16" s="210">
        <f>SUMPRODUCT((($I16+COLUMN($N$3:$DU$3)-COLUMN($N$3))&gt;='KALENDER MINGGU'!$B$17)*(($I16+COLUMN($N$3:$DU$3)-COLUMN($N$3))&lt;='KALENDER MINGGU'!$C$17)*(N16:DU16))/F16*H16</f>
        <v>0</v>
      </c>
      <c r="EH16" s="210">
        <f>SUMPRODUCT((($I16+COLUMN($N$3:$DU$3)-COLUMN($N$3))&gt;='KALENDER MINGGU'!$B$18)*(($I16+COLUMN($N$3:$DU$3)-COLUMN($N$3))&lt;='KALENDER MINGGU'!$C$18)*(N16:DU16))/F16*H16</f>
        <v>0</v>
      </c>
      <c r="EI16" s="210">
        <f>SUMPRODUCT((($I16+COLUMN($N$3:$DU$3)-COLUMN($N$3))&gt;='KALENDER MINGGU'!$B$19)*(($I16+COLUMN($N$3:$DU$3)-COLUMN($N$3))&lt;='KALENDER MINGGU'!$C$19)*(N16:DU16))/F16*H16</f>
        <v>0</v>
      </c>
      <c r="EJ16" s="210">
        <f>SUMPRODUCT((($I16+COLUMN($N$3:$DU$3)-COLUMN($N$3))&gt;='KALENDER MINGGU'!$B$20)*(($I16+COLUMN($N$3:$DU$3)-COLUMN($N$3))&lt;='KALENDER MINGGU'!$C$20)*(N16:DU16))/F16*H16</f>
        <v>0</v>
      </c>
      <c r="EK16" s="210">
        <f>SUMPRODUCT((($I16+COLUMN($N$3:$DU$3)-COLUMN($N$3))&gt;='KALENDER MINGGU'!$B$21)*(($I16+COLUMN($N$3:$DU$3)-COLUMN($N$3))&lt;='KALENDER MINGGU'!$C$21)*(N16:DU16))/F16*H16</f>
        <v>0</v>
      </c>
    </row>
    <row r="17" spans="1:141" ht="15" customHeight="1" x14ac:dyDescent="0.2">
      <c r="A17" s="208">
        <v>14</v>
      </c>
      <c r="B17" s="208">
        <v>23</v>
      </c>
      <c r="C17" s="208" t="str">
        <f>IF(B17&lt;160,'BOBOT PEK'!$B$4,IF(B17&lt;207,'BOBOT PEK'!$B$160,'BOBOT PEK'!$B$207))</f>
        <v>Pekerjaan Gudang Umum</v>
      </c>
      <c r="D17" s="208" t="s">
        <v>49</v>
      </c>
      <c r="E17" s="208" t="str">
        <f>'BOBOT PEK'!C23</f>
        <v>Perbaikan loading dock</v>
      </c>
      <c r="F17" s="209">
        <f>IF(OR('BOBOT PEK'!E23="",'BOBOT PEK'!E23=0),1,'BOBOT PEK'!E23)</f>
        <v>45</v>
      </c>
      <c r="G17" s="208" t="str">
        <f>IF('BOBOT PEK'!F23="","ls",'BOBOT PEK'!F23)</f>
        <v>m</v>
      </c>
      <c r="H17" s="210">
        <f>'BOBOT PEK'!J23</f>
        <v>0.39661202695996561</v>
      </c>
      <c r="I17" s="211">
        <f>'KALENDER MINGGU'!$B$3</f>
        <v>46226</v>
      </c>
      <c r="J17" s="209">
        <f t="shared" si="0"/>
        <v>40</v>
      </c>
      <c r="K17" s="209">
        <f t="shared" si="1"/>
        <v>5</v>
      </c>
      <c r="L17" s="212">
        <f t="shared" si="2"/>
        <v>0.88888888888888884</v>
      </c>
      <c r="M17" s="208" t="str">
        <f t="shared" si="3"/>
        <v>OK</v>
      </c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213">
        <v>20</v>
      </c>
      <c r="BU17" s="213"/>
      <c r="BV17" s="213"/>
      <c r="BW17" s="213"/>
      <c r="BX17" s="213"/>
      <c r="BY17" s="213">
        <v>10</v>
      </c>
      <c r="BZ17" s="213">
        <v>10</v>
      </c>
      <c r="CA17" s="213"/>
      <c r="CB17" s="213"/>
      <c r="CC17" s="213"/>
      <c r="CD17" s="213"/>
      <c r="CE17" s="213"/>
      <c r="CF17" s="213"/>
      <c r="CG17" s="213"/>
      <c r="CH17" s="213"/>
      <c r="CI17" s="213"/>
      <c r="CJ17" s="213"/>
      <c r="CK17" s="213"/>
      <c r="CL17" s="213"/>
      <c r="CM17" s="213"/>
      <c r="CN17" s="213"/>
      <c r="CO17" s="213"/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3"/>
      <c r="DA17" s="213"/>
      <c r="DB17" s="213"/>
      <c r="DC17" s="213"/>
      <c r="DD17" s="213"/>
      <c r="DE17" s="213"/>
      <c r="DF17" s="213"/>
      <c r="DG17" s="213"/>
      <c r="DH17" s="213"/>
      <c r="DI17" s="213"/>
      <c r="DJ17" s="213"/>
      <c r="DK17" s="213"/>
      <c r="DL17" s="213"/>
      <c r="DM17" s="213"/>
      <c r="DN17" s="213"/>
      <c r="DO17" s="213"/>
      <c r="DP17" s="213"/>
      <c r="DQ17" s="213"/>
      <c r="DR17" s="213"/>
      <c r="DS17" s="213"/>
      <c r="DT17" s="213"/>
      <c r="DU17" s="213"/>
      <c r="DV17" s="210">
        <f>SUMPRODUCT((($I17+COLUMN($N$3:$DU$3)-COLUMN($N$3))&gt;='KALENDER MINGGU'!$B$6)*(($I17+COLUMN($N$3:$DU$3)-COLUMN($N$3))&lt;='KALENDER MINGGU'!$C$6)*(N17:DU17))/F17*H17</f>
        <v>0</v>
      </c>
      <c r="DW17" s="210">
        <f>SUMPRODUCT((($I17+COLUMN($N$3:$DU$3)-COLUMN($N$3))&gt;='KALENDER MINGGU'!$B$7)*(($I17+COLUMN($N$3:$DU$3)-COLUMN($N$3))&lt;='KALENDER MINGGU'!$C$7)*(N17:DU17))/F17*H17</f>
        <v>0</v>
      </c>
      <c r="DX17" s="210">
        <f>SUMPRODUCT((($I17+COLUMN($N$3:$DU$3)-COLUMN($N$3))&gt;='KALENDER MINGGU'!$B$8)*(($I17+COLUMN($N$3:$DU$3)-COLUMN($N$3))&lt;='KALENDER MINGGU'!$C$8)*(N17:DU17))/F17*H17</f>
        <v>0</v>
      </c>
      <c r="DY17" s="210">
        <f>SUMPRODUCT((($I17+COLUMN($N$3:$DU$3)-COLUMN($N$3))&gt;='KALENDER MINGGU'!$B$9)*(($I17+COLUMN($N$3:$DU$3)-COLUMN($N$3))&lt;='KALENDER MINGGU'!$C$9)*(N17:DU17))/F17*H17</f>
        <v>0</v>
      </c>
      <c r="DZ17" s="210">
        <f>SUMPRODUCT((($I17+COLUMN($N$3:$DU$3)-COLUMN($N$3))&gt;='KALENDER MINGGU'!$B$10)*(($I17+COLUMN($N$3:$DU$3)-COLUMN($N$3))&lt;='KALENDER MINGGU'!$C$10)*(N17:DU17))/F17*H17</f>
        <v>0</v>
      </c>
      <c r="EA17" s="210">
        <f>SUMPRODUCT((($I17+COLUMN($N$3:$DU$3)-COLUMN($N$3))&gt;='KALENDER MINGGU'!$B$11)*(($I17+COLUMN($N$3:$DU$3)-COLUMN($N$3))&lt;='KALENDER MINGGU'!$C$11)*(N17:DU17))/F17*H17</f>
        <v>0</v>
      </c>
      <c r="EB17" s="210">
        <f>SUMPRODUCT((($I17+COLUMN($N$3:$DU$3)-COLUMN($N$3))&gt;='KALENDER MINGGU'!$B$12)*(($I17+COLUMN($N$3:$DU$3)-COLUMN($N$3))&lt;='KALENDER MINGGU'!$C$12)*(N17:DU17))/F17*H17</f>
        <v>0</v>
      </c>
      <c r="EC17" s="210">
        <f>SUMPRODUCT((($I17+COLUMN($N$3:$DU$3)-COLUMN($N$3))&gt;='KALENDER MINGGU'!$B$13)*(($I17+COLUMN($N$3:$DU$3)-COLUMN($N$3))&lt;='KALENDER MINGGU'!$C$13)*(N17:DU17))/F17*H17</f>
        <v>0</v>
      </c>
      <c r="ED17" s="210">
        <f>SUMPRODUCT((($I17+COLUMN($N$3:$DU$3)-COLUMN($N$3))&gt;='KALENDER MINGGU'!$B$14)*(($I17+COLUMN($N$3:$DU$3)-COLUMN($N$3))&lt;='KALENDER MINGGU'!$C$14)*(N17:DU17))/F17*H17</f>
        <v>0.17627201198220693</v>
      </c>
      <c r="EE17" s="210">
        <f>SUMPRODUCT((($I17+COLUMN($N$3:$DU$3)-COLUMN($N$3))&gt;='KALENDER MINGGU'!$B$15)*(($I17+COLUMN($N$3:$DU$3)-COLUMN($N$3))&lt;='KALENDER MINGGU'!$C$15)*(N17:DU17))/F17*H17</f>
        <v>0.17627201198220693</v>
      </c>
      <c r="EF17" s="210">
        <f>SUMPRODUCT((($I17+COLUMN($N$3:$DU$3)-COLUMN($N$3))&gt;='KALENDER MINGGU'!$B$16)*(($I17+COLUMN($N$3:$DU$3)-COLUMN($N$3))&lt;='KALENDER MINGGU'!$C$16)*(N17:DU17))/F17*H17</f>
        <v>0</v>
      </c>
      <c r="EG17" s="210">
        <f>SUMPRODUCT((($I17+COLUMN($N$3:$DU$3)-COLUMN($N$3))&gt;='KALENDER MINGGU'!$B$17)*(($I17+COLUMN($N$3:$DU$3)-COLUMN($N$3))&lt;='KALENDER MINGGU'!$C$17)*(N17:DU17))/F17*H17</f>
        <v>0</v>
      </c>
      <c r="EH17" s="210">
        <f>SUMPRODUCT((($I17+COLUMN($N$3:$DU$3)-COLUMN($N$3))&gt;='KALENDER MINGGU'!$B$18)*(($I17+COLUMN($N$3:$DU$3)-COLUMN($N$3))&lt;='KALENDER MINGGU'!$C$18)*(N17:DU17))/F17*H17</f>
        <v>0</v>
      </c>
      <c r="EI17" s="210">
        <f>SUMPRODUCT((($I17+COLUMN($N$3:$DU$3)-COLUMN($N$3))&gt;='KALENDER MINGGU'!$B$19)*(($I17+COLUMN($N$3:$DU$3)-COLUMN($N$3))&lt;='KALENDER MINGGU'!$C$19)*(N17:DU17))/F17*H17</f>
        <v>0</v>
      </c>
      <c r="EJ17" s="210">
        <f>SUMPRODUCT((($I17+COLUMN($N$3:$DU$3)-COLUMN($N$3))&gt;='KALENDER MINGGU'!$B$20)*(($I17+COLUMN($N$3:$DU$3)-COLUMN($N$3))&lt;='KALENDER MINGGU'!$C$20)*(N17:DU17))/F17*H17</f>
        <v>0</v>
      </c>
      <c r="EK17" s="210">
        <f>SUMPRODUCT((($I17+COLUMN($N$3:$DU$3)-COLUMN($N$3))&gt;='KALENDER MINGGU'!$B$21)*(($I17+COLUMN($N$3:$DU$3)-COLUMN($N$3))&lt;='KALENDER MINGGU'!$C$21)*(N17:DU17))/F17*H17</f>
        <v>0</v>
      </c>
    </row>
    <row r="18" spans="1:141" ht="15" customHeight="1" x14ac:dyDescent="0.2">
      <c r="A18" s="208">
        <v>15</v>
      </c>
      <c r="B18" s="208">
        <v>24</v>
      </c>
      <c r="C18" s="208" t="str">
        <f>IF(B18&lt;160,'BOBOT PEK'!$B$4,IF(B18&lt;207,'BOBOT PEK'!$B$160,'BOBOT PEK'!$B$207))</f>
        <v>Pekerjaan Gudang Umum</v>
      </c>
      <c r="D18" s="208" t="s">
        <v>49</v>
      </c>
      <c r="E18" s="208" t="str">
        <f>'BOBOT PEK'!C24</f>
        <v>Perbaikan dinding dan cat dinding loading dock</v>
      </c>
      <c r="F18" s="209">
        <f>IF(OR('BOBOT PEK'!E24="",'BOBOT PEK'!E24=0),1,'BOBOT PEK'!E24)</f>
        <v>37</v>
      </c>
      <c r="G18" s="208" t="str">
        <f>IF('BOBOT PEK'!F24="","ls",'BOBOT PEK'!F24)</f>
        <v>m</v>
      </c>
      <c r="H18" s="210">
        <f>'BOBOT PEK'!J24</f>
        <v>5.4429420245594377E-2</v>
      </c>
      <c r="I18" s="211">
        <f>'KALENDER MINGGU'!$B$3</f>
        <v>46226</v>
      </c>
      <c r="J18" s="209">
        <f t="shared" si="0"/>
        <v>20</v>
      </c>
      <c r="K18" s="209">
        <f t="shared" si="1"/>
        <v>17</v>
      </c>
      <c r="L18" s="212">
        <f t="shared" si="2"/>
        <v>0.54054054054054057</v>
      </c>
      <c r="M18" s="208" t="str">
        <f t="shared" si="3"/>
        <v>OK</v>
      </c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3"/>
      <c r="BK18" s="213"/>
      <c r="BL18" s="213"/>
      <c r="BM18" s="213"/>
      <c r="BN18" s="213"/>
      <c r="BO18" s="213"/>
      <c r="BP18" s="213"/>
      <c r="BQ18" s="213"/>
      <c r="BR18" s="213"/>
      <c r="BS18" s="213"/>
      <c r="BT18" s="213"/>
      <c r="BU18" s="213"/>
      <c r="BV18" s="213"/>
      <c r="BW18" s="213"/>
      <c r="BX18" s="213"/>
      <c r="BY18" s="213"/>
      <c r="BZ18" s="213"/>
      <c r="CA18" s="213">
        <v>10</v>
      </c>
      <c r="CB18" s="213">
        <v>10</v>
      </c>
      <c r="CC18" s="213"/>
      <c r="CD18" s="213"/>
      <c r="CE18" s="213"/>
      <c r="CF18" s="213"/>
      <c r="CG18" s="213"/>
      <c r="CH18" s="213"/>
      <c r="CI18" s="213"/>
      <c r="CJ18" s="213"/>
      <c r="CK18" s="213"/>
      <c r="CL18" s="213"/>
      <c r="CM18" s="213"/>
      <c r="CN18" s="213"/>
      <c r="CO18" s="213"/>
      <c r="CP18" s="213"/>
      <c r="CQ18" s="213"/>
      <c r="CR18" s="213"/>
      <c r="CS18" s="213"/>
      <c r="CT18" s="213"/>
      <c r="CU18" s="213"/>
      <c r="CV18" s="213"/>
      <c r="CW18" s="213"/>
      <c r="CX18" s="213"/>
      <c r="CY18" s="213"/>
      <c r="CZ18" s="213"/>
      <c r="DA18" s="213"/>
      <c r="DB18" s="213"/>
      <c r="DC18" s="213"/>
      <c r="DD18" s="213"/>
      <c r="DE18" s="213"/>
      <c r="DF18" s="213"/>
      <c r="DG18" s="213"/>
      <c r="DH18" s="213"/>
      <c r="DI18" s="213"/>
      <c r="DJ18" s="213"/>
      <c r="DK18" s="213"/>
      <c r="DL18" s="213"/>
      <c r="DM18" s="213"/>
      <c r="DN18" s="213"/>
      <c r="DO18" s="213"/>
      <c r="DP18" s="213"/>
      <c r="DQ18" s="213"/>
      <c r="DR18" s="213"/>
      <c r="DS18" s="213"/>
      <c r="DT18" s="213"/>
      <c r="DU18" s="213"/>
      <c r="DV18" s="210">
        <f>SUMPRODUCT((($I18+COLUMN($N$3:$DU$3)-COLUMN($N$3))&gt;='KALENDER MINGGU'!$B$6)*(($I18+COLUMN($N$3:$DU$3)-COLUMN($N$3))&lt;='KALENDER MINGGU'!$C$6)*(N18:DU18))/F18*H18</f>
        <v>0</v>
      </c>
      <c r="DW18" s="210">
        <f>SUMPRODUCT((($I18+COLUMN($N$3:$DU$3)-COLUMN($N$3))&gt;='KALENDER MINGGU'!$B$7)*(($I18+COLUMN($N$3:$DU$3)-COLUMN($N$3))&lt;='KALENDER MINGGU'!$C$7)*(N18:DU18))/F18*H18</f>
        <v>0</v>
      </c>
      <c r="DX18" s="210">
        <f>SUMPRODUCT((($I18+COLUMN($N$3:$DU$3)-COLUMN($N$3))&gt;='KALENDER MINGGU'!$B$8)*(($I18+COLUMN($N$3:$DU$3)-COLUMN($N$3))&lt;='KALENDER MINGGU'!$C$8)*(N18:DU18))/F18*H18</f>
        <v>0</v>
      </c>
      <c r="DY18" s="210">
        <f>SUMPRODUCT((($I18+COLUMN($N$3:$DU$3)-COLUMN($N$3))&gt;='KALENDER MINGGU'!$B$9)*(($I18+COLUMN($N$3:$DU$3)-COLUMN($N$3))&lt;='KALENDER MINGGU'!$C$9)*(N18:DU18))/F18*H18</f>
        <v>0</v>
      </c>
      <c r="DZ18" s="210">
        <f>SUMPRODUCT((($I18+COLUMN($N$3:$DU$3)-COLUMN($N$3))&gt;='KALENDER MINGGU'!$B$10)*(($I18+COLUMN($N$3:$DU$3)-COLUMN($N$3))&lt;='KALENDER MINGGU'!$C$10)*(N18:DU18))/F18*H18</f>
        <v>0</v>
      </c>
      <c r="EA18" s="210">
        <f>SUMPRODUCT((($I18+COLUMN($N$3:$DU$3)-COLUMN($N$3))&gt;='KALENDER MINGGU'!$B$11)*(($I18+COLUMN($N$3:$DU$3)-COLUMN($N$3))&lt;='KALENDER MINGGU'!$C$11)*(N18:DU18))/F18*H18</f>
        <v>0</v>
      </c>
      <c r="EB18" s="210">
        <f>SUMPRODUCT((($I18+COLUMN($N$3:$DU$3)-COLUMN($N$3))&gt;='KALENDER MINGGU'!$B$12)*(($I18+COLUMN($N$3:$DU$3)-COLUMN($N$3))&lt;='KALENDER MINGGU'!$C$12)*(N18:DU18))/F18*H18</f>
        <v>0</v>
      </c>
      <c r="EC18" s="210">
        <f>SUMPRODUCT((($I18+COLUMN($N$3:$DU$3)-COLUMN($N$3))&gt;='KALENDER MINGGU'!$B$13)*(($I18+COLUMN($N$3:$DU$3)-COLUMN($N$3))&lt;='KALENDER MINGGU'!$C$13)*(N18:DU18))/F18*H18</f>
        <v>0</v>
      </c>
      <c r="ED18" s="210">
        <f>SUMPRODUCT((($I18+COLUMN($N$3:$DU$3)-COLUMN($N$3))&gt;='KALENDER MINGGU'!$B$14)*(($I18+COLUMN($N$3:$DU$3)-COLUMN($N$3))&lt;='KALENDER MINGGU'!$C$14)*(N18:DU18))/F18*H18</f>
        <v>0</v>
      </c>
      <c r="EE18" s="210">
        <f>SUMPRODUCT((($I18+COLUMN($N$3:$DU$3)-COLUMN($N$3))&gt;='KALENDER MINGGU'!$B$15)*(($I18+COLUMN($N$3:$DU$3)-COLUMN($N$3))&lt;='KALENDER MINGGU'!$C$15)*(N18:DU18))/F18*H18</f>
        <v>2.9421308240861827E-2</v>
      </c>
      <c r="EF18" s="210">
        <f>SUMPRODUCT((($I18+COLUMN($N$3:$DU$3)-COLUMN($N$3))&gt;='KALENDER MINGGU'!$B$16)*(($I18+COLUMN($N$3:$DU$3)-COLUMN($N$3))&lt;='KALENDER MINGGU'!$C$16)*(N18:DU18))/F18*H18</f>
        <v>0</v>
      </c>
      <c r="EG18" s="210">
        <f>SUMPRODUCT((($I18+COLUMN($N$3:$DU$3)-COLUMN($N$3))&gt;='KALENDER MINGGU'!$B$17)*(($I18+COLUMN($N$3:$DU$3)-COLUMN($N$3))&lt;='KALENDER MINGGU'!$C$17)*(N18:DU18))/F18*H18</f>
        <v>0</v>
      </c>
      <c r="EH18" s="210">
        <f>SUMPRODUCT((($I18+COLUMN($N$3:$DU$3)-COLUMN($N$3))&gt;='KALENDER MINGGU'!$B$18)*(($I18+COLUMN($N$3:$DU$3)-COLUMN($N$3))&lt;='KALENDER MINGGU'!$C$18)*(N18:DU18))/F18*H18</f>
        <v>0</v>
      </c>
      <c r="EI18" s="210">
        <f>SUMPRODUCT((($I18+COLUMN($N$3:$DU$3)-COLUMN($N$3))&gt;='KALENDER MINGGU'!$B$19)*(($I18+COLUMN($N$3:$DU$3)-COLUMN($N$3))&lt;='KALENDER MINGGU'!$C$19)*(N18:DU18))/F18*H18</f>
        <v>0</v>
      </c>
      <c r="EJ18" s="210">
        <f>SUMPRODUCT((($I18+COLUMN($N$3:$DU$3)-COLUMN($N$3))&gt;='KALENDER MINGGU'!$B$20)*(($I18+COLUMN($N$3:$DU$3)-COLUMN($N$3))&lt;='KALENDER MINGGU'!$C$20)*(N18:DU18))/F18*H18</f>
        <v>0</v>
      </c>
      <c r="EK18" s="210">
        <f>SUMPRODUCT((($I18+COLUMN($N$3:$DU$3)-COLUMN($N$3))&gt;='KALENDER MINGGU'!$B$21)*(($I18+COLUMN($N$3:$DU$3)-COLUMN($N$3))&lt;='KALENDER MINGGU'!$C$21)*(N18:DU18))/F18*H18</f>
        <v>0</v>
      </c>
    </row>
    <row r="19" spans="1:141" ht="15" customHeight="1" x14ac:dyDescent="0.2">
      <c r="A19" s="208">
        <v>16</v>
      </c>
      <c r="B19" s="208">
        <v>25</v>
      </c>
      <c r="C19" s="208" t="str">
        <f>IF(B19&lt;160,'BOBOT PEK'!$B$4,IF(B19&lt;207,'BOBOT PEK'!$B$160,'BOBOT PEK'!$B$207))</f>
        <v>Pekerjaan Gudang Umum</v>
      </c>
      <c r="D19" s="208" t="s">
        <v>49</v>
      </c>
      <c r="E19" s="208" t="str">
        <f>'BOBOT PEK'!C25</f>
        <v>Servis kebocoran pipa talang</v>
      </c>
      <c r="F19" s="209">
        <f>IF(OR('BOBOT PEK'!E25="",'BOBOT PEK'!E25=0),1,'BOBOT PEK'!E25)</f>
        <v>1</v>
      </c>
      <c r="G19" s="208" t="str">
        <f>IF('BOBOT PEK'!F25="","ls",'BOBOT PEK'!F25)</f>
        <v>ls</v>
      </c>
      <c r="H19" s="210">
        <f>'BOBOT PEK'!J25</f>
        <v>0.13303548074128826</v>
      </c>
      <c r="I19" s="211">
        <f>'KALENDER MINGGU'!$B$3</f>
        <v>46226</v>
      </c>
      <c r="J19" s="209">
        <f t="shared" si="0"/>
        <v>0</v>
      </c>
      <c r="K19" s="209">
        <f t="shared" si="1"/>
        <v>1</v>
      </c>
      <c r="L19" s="212">
        <f t="shared" si="2"/>
        <v>0</v>
      </c>
      <c r="M19" s="208" t="str">
        <f t="shared" si="3"/>
        <v>OK</v>
      </c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3"/>
      <c r="BK19" s="213"/>
      <c r="BL19" s="213"/>
      <c r="BM19" s="213"/>
      <c r="BN19" s="213"/>
      <c r="BO19" s="213"/>
      <c r="BP19" s="213"/>
      <c r="BQ19" s="213"/>
      <c r="BR19" s="213"/>
      <c r="BS19" s="213"/>
      <c r="BT19" s="213"/>
      <c r="BU19" s="213"/>
      <c r="BV19" s="213"/>
      <c r="BW19" s="213"/>
      <c r="BX19" s="213"/>
      <c r="BY19" s="213"/>
      <c r="BZ19" s="213"/>
      <c r="CA19" s="213"/>
      <c r="CB19" s="213"/>
      <c r="CC19" s="213"/>
      <c r="CD19" s="213"/>
      <c r="CE19" s="213"/>
      <c r="CF19" s="213"/>
      <c r="CG19" s="213"/>
      <c r="CH19" s="213"/>
      <c r="CI19" s="213"/>
      <c r="CJ19" s="213"/>
      <c r="CK19" s="213"/>
      <c r="CL19" s="213"/>
      <c r="CM19" s="213"/>
      <c r="CN19" s="213"/>
      <c r="CO19" s="213"/>
      <c r="CP19" s="213"/>
      <c r="CQ19" s="213"/>
      <c r="CR19" s="213"/>
      <c r="CS19" s="213"/>
      <c r="CT19" s="213"/>
      <c r="CU19" s="213"/>
      <c r="CV19" s="213"/>
      <c r="CW19" s="213"/>
      <c r="CX19" s="213"/>
      <c r="CY19" s="213"/>
      <c r="CZ19" s="213"/>
      <c r="DA19" s="213"/>
      <c r="DB19" s="213"/>
      <c r="DC19" s="213"/>
      <c r="DD19" s="213"/>
      <c r="DE19" s="213"/>
      <c r="DF19" s="213"/>
      <c r="DG19" s="213"/>
      <c r="DH19" s="213"/>
      <c r="DI19" s="213"/>
      <c r="DJ19" s="213"/>
      <c r="DK19" s="213"/>
      <c r="DL19" s="213"/>
      <c r="DM19" s="213"/>
      <c r="DN19" s="213"/>
      <c r="DO19" s="213"/>
      <c r="DP19" s="213"/>
      <c r="DQ19" s="213"/>
      <c r="DR19" s="213"/>
      <c r="DS19" s="213"/>
      <c r="DT19" s="213"/>
      <c r="DU19" s="213"/>
      <c r="DV19" s="210">
        <f>SUMPRODUCT((($I19+COLUMN($N$3:$DU$3)-COLUMN($N$3))&gt;='KALENDER MINGGU'!$B$6)*(($I19+COLUMN($N$3:$DU$3)-COLUMN($N$3))&lt;='KALENDER MINGGU'!$C$6)*(N19:DU19))/F19*H19</f>
        <v>0</v>
      </c>
      <c r="DW19" s="210">
        <f>SUMPRODUCT((($I19+COLUMN($N$3:$DU$3)-COLUMN($N$3))&gt;='KALENDER MINGGU'!$B$7)*(($I19+COLUMN($N$3:$DU$3)-COLUMN($N$3))&lt;='KALENDER MINGGU'!$C$7)*(N19:DU19))/F19*H19</f>
        <v>0</v>
      </c>
      <c r="DX19" s="210">
        <f>SUMPRODUCT((($I19+COLUMN($N$3:$DU$3)-COLUMN($N$3))&gt;='KALENDER MINGGU'!$B$8)*(($I19+COLUMN($N$3:$DU$3)-COLUMN($N$3))&lt;='KALENDER MINGGU'!$C$8)*(N19:DU19))/F19*H19</f>
        <v>0</v>
      </c>
      <c r="DY19" s="210">
        <f>SUMPRODUCT((($I19+COLUMN($N$3:$DU$3)-COLUMN($N$3))&gt;='KALENDER MINGGU'!$B$9)*(($I19+COLUMN($N$3:$DU$3)-COLUMN($N$3))&lt;='KALENDER MINGGU'!$C$9)*(N19:DU19))/F19*H19</f>
        <v>0</v>
      </c>
      <c r="DZ19" s="210">
        <f>SUMPRODUCT((($I19+COLUMN($N$3:$DU$3)-COLUMN($N$3))&gt;='KALENDER MINGGU'!$B$10)*(($I19+COLUMN($N$3:$DU$3)-COLUMN($N$3))&lt;='KALENDER MINGGU'!$C$10)*(N19:DU19))/F19*H19</f>
        <v>0</v>
      </c>
      <c r="EA19" s="210">
        <f>SUMPRODUCT((($I19+COLUMN($N$3:$DU$3)-COLUMN($N$3))&gt;='KALENDER MINGGU'!$B$11)*(($I19+COLUMN($N$3:$DU$3)-COLUMN($N$3))&lt;='KALENDER MINGGU'!$C$11)*(N19:DU19))/F19*H19</f>
        <v>0</v>
      </c>
      <c r="EB19" s="210">
        <f>SUMPRODUCT((($I19+COLUMN($N$3:$DU$3)-COLUMN($N$3))&gt;='KALENDER MINGGU'!$B$12)*(($I19+COLUMN($N$3:$DU$3)-COLUMN($N$3))&lt;='KALENDER MINGGU'!$C$12)*(N19:DU19))/F19*H19</f>
        <v>0</v>
      </c>
      <c r="EC19" s="210">
        <f>SUMPRODUCT((($I19+COLUMN($N$3:$DU$3)-COLUMN($N$3))&gt;='KALENDER MINGGU'!$B$13)*(($I19+COLUMN($N$3:$DU$3)-COLUMN($N$3))&lt;='KALENDER MINGGU'!$C$13)*(N19:DU19))/F19*H19</f>
        <v>0</v>
      </c>
      <c r="ED19" s="210">
        <f>SUMPRODUCT((($I19+COLUMN($N$3:$DU$3)-COLUMN($N$3))&gt;='KALENDER MINGGU'!$B$14)*(($I19+COLUMN($N$3:$DU$3)-COLUMN($N$3))&lt;='KALENDER MINGGU'!$C$14)*(N19:DU19))/F19*H19</f>
        <v>0</v>
      </c>
      <c r="EE19" s="210">
        <f>SUMPRODUCT((($I19+COLUMN($N$3:$DU$3)-COLUMN($N$3))&gt;='KALENDER MINGGU'!$B$15)*(($I19+COLUMN($N$3:$DU$3)-COLUMN($N$3))&lt;='KALENDER MINGGU'!$C$15)*(N19:DU19))/F19*H19</f>
        <v>0</v>
      </c>
      <c r="EF19" s="210">
        <f>SUMPRODUCT((($I19+COLUMN($N$3:$DU$3)-COLUMN($N$3))&gt;='KALENDER MINGGU'!$B$16)*(($I19+COLUMN($N$3:$DU$3)-COLUMN($N$3))&lt;='KALENDER MINGGU'!$C$16)*(N19:DU19))/F19*H19</f>
        <v>0</v>
      </c>
      <c r="EG19" s="210">
        <f>SUMPRODUCT((($I19+COLUMN($N$3:$DU$3)-COLUMN($N$3))&gt;='KALENDER MINGGU'!$B$17)*(($I19+COLUMN($N$3:$DU$3)-COLUMN($N$3))&lt;='KALENDER MINGGU'!$C$17)*(N19:DU19))/F19*H19</f>
        <v>0</v>
      </c>
      <c r="EH19" s="210">
        <f>SUMPRODUCT((($I19+COLUMN($N$3:$DU$3)-COLUMN($N$3))&gt;='KALENDER MINGGU'!$B$18)*(($I19+COLUMN($N$3:$DU$3)-COLUMN($N$3))&lt;='KALENDER MINGGU'!$C$18)*(N19:DU19))/F19*H19</f>
        <v>0</v>
      </c>
      <c r="EI19" s="210">
        <f>SUMPRODUCT((($I19+COLUMN($N$3:$DU$3)-COLUMN($N$3))&gt;='KALENDER MINGGU'!$B$19)*(($I19+COLUMN($N$3:$DU$3)-COLUMN($N$3))&lt;='KALENDER MINGGU'!$C$19)*(N19:DU19))/F19*H19</f>
        <v>0</v>
      </c>
      <c r="EJ19" s="210">
        <f>SUMPRODUCT((($I19+COLUMN($N$3:$DU$3)-COLUMN($N$3))&gt;='KALENDER MINGGU'!$B$20)*(($I19+COLUMN($N$3:$DU$3)-COLUMN($N$3))&lt;='KALENDER MINGGU'!$C$20)*(N19:DU19))/F19*H19</f>
        <v>0</v>
      </c>
      <c r="EK19" s="210">
        <f>SUMPRODUCT((($I19+COLUMN($N$3:$DU$3)-COLUMN($N$3))&gt;='KALENDER MINGGU'!$B$21)*(($I19+COLUMN($N$3:$DU$3)-COLUMN($N$3))&lt;='KALENDER MINGGU'!$C$21)*(N19:DU19))/F19*H19</f>
        <v>0</v>
      </c>
    </row>
    <row r="20" spans="1:141" ht="15" customHeight="1" x14ac:dyDescent="0.2">
      <c r="A20" s="208">
        <v>17</v>
      </c>
      <c r="B20" s="208">
        <v>26</v>
      </c>
      <c r="C20" s="208" t="str">
        <f>IF(B20&lt;160,'BOBOT PEK'!$B$4,IF(B20&lt;207,'BOBOT PEK'!$B$160,'BOBOT PEK'!$B$207))</f>
        <v>Pekerjaan Gudang Umum</v>
      </c>
      <c r="D20" s="208" t="s">
        <v>49</v>
      </c>
      <c r="E20" s="208" t="str">
        <f>'BOBOT PEK'!C26</f>
        <v>Cor ulang lantai gudang utama sisi pintu dalam (4mx5m)</v>
      </c>
      <c r="F20" s="209">
        <f>IF(OR('BOBOT PEK'!E26="",'BOBOT PEK'!E26=0),1,'BOBOT PEK'!E26)</f>
        <v>60</v>
      </c>
      <c r="G20" s="208" t="str">
        <f>IF('BOBOT PEK'!F26="","ls",'BOBOT PEK'!F26)</f>
        <v>m²</v>
      </c>
      <c r="H20" s="210">
        <f>'BOBOT PEK'!J26</f>
        <v>1.6885272555625046</v>
      </c>
      <c r="I20" s="211">
        <f>'KALENDER MINGGU'!$B$3</f>
        <v>46226</v>
      </c>
      <c r="J20" s="209">
        <f t="shared" si="0"/>
        <v>20</v>
      </c>
      <c r="K20" s="209">
        <f t="shared" si="1"/>
        <v>40</v>
      </c>
      <c r="L20" s="212">
        <f t="shared" si="2"/>
        <v>0.33333333333333331</v>
      </c>
      <c r="M20" s="208" t="str">
        <f t="shared" si="3"/>
        <v>OK</v>
      </c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  <c r="BD20" s="213"/>
      <c r="BE20" s="213"/>
      <c r="BF20" s="213"/>
      <c r="BG20" s="213"/>
      <c r="BH20" s="213">
        <v>5</v>
      </c>
      <c r="BI20" s="213">
        <v>1</v>
      </c>
      <c r="BJ20" s="213"/>
      <c r="BK20" s="213"/>
      <c r="BL20" s="213"/>
      <c r="BM20" s="213"/>
      <c r="BN20" s="213"/>
      <c r="BO20" s="213"/>
      <c r="BP20" s="213"/>
      <c r="BQ20" s="213"/>
      <c r="BR20" s="213"/>
      <c r="BS20" s="213"/>
      <c r="BT20" s="213">
        <v>14</v>
      </c>
      <c r="BU20" s="213"/>
      <c r="BV20" s="213"/>
      <c r="BW20" s="213"/>
      <c r="BX20" s="213"/>
      <c r="BY20" s="213"/>
      <c r="BZ20" s="213"/>
      <c r="CA20" s="213"/>
      <c r="CB20" s="213"/>
      <c r="CC20" s="213"/>
      <c r="CD20" s="213"/>
      <c r="CE20" s="213"/>
      <c r="CF20" s="213"/>
      <c r="CG20" s="213"/>
      <c r="CH20" s="213"/>
      <c r="CI20" s="213"/>
      <c r="CJ20" s="213"/>
      <c r="CK20" s="213"/>
      <c r="CL20" s="213"/>
      <c r="CM20" s="213"/>
      <c r="CN20" s="213"/>
      <c r="CO20" s="213"/>
      <c r="CP20" s="213"/>
      <c r="CQ20" s="213"/>
      <c r="CR20" s="213"/>
      <c r="CS20" s="213"/>
      <c r="CT20" s="213"/>
      <c r="CU20" s="213"/>
      <c r="CV20" s="213"/>
      <c r="CW20" s="213"/>
      <c r="CX20" s="213"/>
      <c r="CY20" s="213"/>
      <c r="CZ20" s="213"/>
      <c r="DA20" s="213"/>
      <c r="DB20" s="213"/>
      <c r="DC20" s="213"/>
      <c r="DD20" s="213"/>
      <c r="DE20" s="213"/>
      <c r="DF20" s="213"/>
      <c r="DG20" s="213"/>
      <c r="DH20" s="213"/>
      <c r="DI20" s="213"/>
      <c r="DJ20" s="213"/>
      <c r="DK20" s="213"/>
      <c r="DL20" s="213"/>
      <c r="DM20" s="213"/>
      <c r="DN20" s="213"/>
      <c r="DO20" s="213"/>
      <c r="DP20" s="213"/>
      <c r="DQ20" s="213"/>
      <c r="DR20" s="213"/>
      <c r="DS20" s="213"/>
      <c r="DT20" s="213"/>
      <c r="DU20" s="213"/>
      <c r="DV20" s="210">
        <f>SUMPRODUCT((($I20+COLUMN($N$3:$DU$3)-COLUMN($N$3))&gt;='KALENDER MINGGU'!$B$6)*(($I20+COLUMN($N$3:$DU$3)-COLUMN($N$3))&lt;='KALENDER MINGGU'!$C$6)*(N20:DU20))/F20*H20</f>
        <v>0</v>
      </c>
      <c r="DW20" s="210">
        <f>SUMPRODUCT((($I20+COLUMN($N$3:$DU$3)-COLUMN($N$3))&gt;='KALENDER MINGGU'!$B$7)*(($I20+COLUMN($N$3:$DU$3)-COLUMN($N$3))&lt;='KALENDER MINGGU'!$C$7)*(N20:DU20))/F20*H20</f>
        <v>0</v>
      </c>
      <c r="DX20" s="210">
        <f>SUMPRODUCT((($I20+COLUMN($N$3:$DU$3)-COLUMN($N$3))&gt;='KALENDER MINGGU'!$B$8)*(($I20+COLUMN($N$3:$DU$3)-COLUMN($N$3))&lt;='KALENDER MINGGU'!$C$8)*(N20:DU20))/F20*H20</f>
        <v>0</v>
      </c>
      <c r="DY20" s="210">
        <f>SUMPRODUCT((($I20+COLUMN($N$3:$DU$3)-COLUMN($N$3))&gt;='KALENDER MINGGU'!$B$9)*(($I20+COLUMN($N$3:$DU$3)-COLUMN($N$3))&lt;='KALENDER MINGGU'!$C$9)*(N20:DU20))/F20*H20</f>
        <v>0</v>
      </c>
      <c r="DZ20" s="210">
        <f>SUMPRODUCT((($I20+COLUMN($N$3:$DU$3)-COLUMN($N$3))&gt;='KALENDER MINGGU'!$B$10)*(($I20+COLUMN($N$3:$DU$3)-COLUMN($N$3))&lt;='KALENDER MINGGU'!$C$10)*(N20:DU20))/F20*H20</f>
        <v>0</v>
      </c>
      <c r="EA20" s="210">
        <f>SUMPRODUCT((($I20+COLUMN($N$3:$DU$3)-COLUMN($N$3))&gt;='KALENDER MINGGU'!$B$11)*(($I20+COLUMN($N$3:$DU$3)-COLUMN($N$3))&lt;='KALENDER MINGGU'!$C$11)*(N20:DU20))/F20*H20</f>
        <v>0</v>
      </c>
      <c r="EB20" s="210">
        <f>SUMPRODUCT((($I20+COLUMN($N$3:$DU$3)-COLUMN($N$3))&gt;='KALENDER MINGGU'!$B$12)*(($I20+COLUMN($N$3:$DU$3)-COLUMN($N$3))&lt;='KALENDER MINGGU'!$C$12)*(N20:DU20))/F20*H20</f>
        <v>0.16885272555625047</v>
      </c>
      <c r="EC20" s="210">
        <f>SUMPRODUCT((($I20+COLUMN($N$3:$DU$3)-COLUMN($N$3))&gt;='KALENDER MINGGU'!$B$13)*(($I20+COLUMN($N$3:$DU$3)-COLUMN($N$3))&lt;='KALENDER MINGGU'!$C$13)*(N20:DU20))/F20*H20</f>
        <v>0</v>
      </c>
      <c r="ED20" s="210">
        <f>SUMPRODUCT((($I20+COLUMN($N$3:$DU$3)-COLUMN($N$3))&gt;='KALENDER MINGGU'!$B$14)*(($I20+COLUMN($N$3:$DU$3)-COLUMN($N$3))&lt;='KALENDER MINGGU'!$C$14)*(N20:DU20))/F20*H20</f>
        <v>0.39398969296458441</v>
      </c>
      <c r="EE20" s="210">
        <f>SUMPRODUCT((($I20+COLUMN($N$3:$DU$3)-COLUMN($N$3))&gt;='KALENDER MINGGU'!$B$15)*(($I20+COLUMN($N$3:$DU$3)-COLUMN($N$3))&lt;='KALENDER MINGGU'!$C$15)*(N20:DU20))/F20*H20</f>
        <v>0</v>
      </c>
      <c r="EF20" s="210">
        <f>SUMPRODUCT((($I20+COLUMN($N$3:$DU$3)-COLUMN($N$3))&gt;='KALENDER MINGGU'!$B$16)*(($I20+COLUMN($N$3:$DU$3)-COLUMN($N$3))&lt;='KALENDER MINGGU'!$C$16)*(N20:DU20))/F20*H20</f>
        <v>0</v>
      </c>
      <c r="EG20" s="210">
        <f>SUMPRODUCT((($I20+COLUMN($N$3:$DU$3)-COLUMN($N$3))&gt;='KALENDER MINGGU'!$B$17)*(($I20+COLUMN($N$3:$DU$3)-COLUMN($N$3))&lt;='KALENDER MINGGU'!$C$17)*(N20:DU20))/F20*H20</f>
        <v>0</v>
      </c>
      <c r="EH20" s="210">
        <f>SUMPRODUCT((($I20+COLUMN($N$3:$DU$3)-COLUMN($N$3))&gt;='KALENDER MINGGU'!$B$18)*(($I20+COLUMN($N$3:$DU$3)-COLUMN($N$3))&lt;='KALENDER MINGGU'!$C$18)*(N20:DU20))/F20*H20</f>
        <v>0</v>
      </c>
      <c r="EI20" s="210">
        <f>SUMPRODUCT((($I20+COLUMN($N$3:$DU$3)-COLUMN($N$3))&gt;='KALENDER MINGGU'!$B$19)*(($I20+COLUMN($N$3:$DU$3)-COLUMN($N$3))&lt;='KALENDER MINGGU'!$C$19)*(N20:DU20))/F20*H20</f>
        <v>0</v>
      </c>
      <c r="EJ20" s="210">
        <f>SUMPRODUCT((($I20+COLUMN($N$3:$DU$3)-COLUMN($N$3))&gt;='KALENDER MINGGU'!$B$20)*(($I20+COLUMN($N$3:$DU$3)-COLUMN($N$3))&lt;='KALENDER MINGGU'!$C$20)*(N20:DU20))/F20*H20</f>
        <v>0</v>
      </c>
      <c r="EK20" s="210">
        <f>SUMPRODUCT((($I20+COLUMN($N$3:$DU$3)-COLUMN($N$3))&gt;='KALENDER MINGGU'!$B$21)*(($I20+COLUMN($N$3:$DU$3)-COLUMN($N$3))&lt;='KALENDER MINGGU'!$C$21)*(N20:DU20))/F20*H20</f>
        <v>0</v>
      </c>
    </row>
    <row r="21" spans="1:141" ht="15" customHeight="1" x14ac:dyDescent="0.2">
      <c r="A21" s="208">
        <v>18</v>
      </c>
      <c r="B21" s="208">
        <v>27</v>
      </c>
      <c r="C21" s="208" t="str">
        <f>IF(B21&lt;160,'BOBOT PEK'!$B$4,IF(B21&lt;207,'BOBOT PEK'!$B$160,'BOBOT PEK'!$B$207))</f>
        <v>Pekerjaan Gudang Umum</v>
      </c>
      <c r="D21" s="208" t="s">
        <v>49</v>
      </c>
      <c r="E21" s="208" t="str">
        <f>'BOBOT PEK'!C27</f>
        <v>Pembongkaran pintu rolling door</v>
      </c>
      <c r="F21" s="209">
        <f>IF(OR('BOBOT PEK'!E27="",'BOBOT PEK'!E27=0),1,'BOBOT PEK'!E27)</f>
        <v>1</v>
      </c>
      <c r="G21" s="208" t="str">
        <f>IF('BOBOT PEK'!F27="","ls",'BOBOT PEK'!F27)</f>
        <v>ls</v>
      </c>
      <c r="H21" s="210">
        <f>'BOBOT PEK'!J27</f>
        <v>6.3959365741003971E-2</v>
      </c>
      <c r="I21" s="211">
        <f>'KALENDER MINGGU'!$B$3</f>
        <v>46226</v>
      </c>
      <c r="J21" s="209">
        <f t="shared" si="0"/>
        <v>0</v>
      </c>
      <c r="K21" s="209">
        <f t="shared" si="1"/>
        <v>1</v>
      </c>
      <c r="L21" s="212">
        <f t="shared" si="2"/>
        <v>0</v>
      </c>
      <c r="M21" s="208" t="str">
        <f t="shared" si="3"/>
        <v>OK</v>
      </c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213"/>
      <c r="BT21" s="213"/>
      <c r="BU21" s="213"/>
      <c r="BV21" s="213"/>
      <c r="BW21" s="213"/>
      <c r="BX21" s="213"/>
      <c r="BY21" s="213"/>
      <c r="BZ21" s="213"/>
      <c r="CA21" s="213"/>
      <c r="CB21" s="213"/>
      <c r="CC21" s="213"/>
      <c r="CD21" s="213"/>
      <c r="CE21" s="213"/>
      <c r="CF21" s="213"/>
      <c r="CG21" s="213"/>
      <c r="CH21" s="213"/>
      <c r="CI21" s="213"/>
      <c r="CJ21" s="213"/>
      <c r="CK21" s="213"/>
      <c r="CL21" s="213"/>
      <c r="CM21" s="213"/>
      <c r="CN21" s="213"/>
      <c r="CO21" s="213"/>
      <c r="CP21" s="213"/>
      <c r="CQ21" s="213"/>
      <c r="CR21" s="213"/>
      <c r="CS21" s="213"/>
      <c r="CT21" s="213"/>
      <c r="CU21" s="213"/>
      <c r="CV21" s="213"/>
      <c r="CW21" s="213"/>
      <c r="CX21" s="213"/>
      <c r="CY21" s="213"/>
      <c r="CZ21" s="213"/>
      <c r="DA21" s="213"/>
      <c r="DB21" s="213"/>
      <c r="DC21" s="213"/>
      <c r="DD21" s="213"/>
      <c r="DE21" s="213"/>
      <c r="DF21" s="213"/>
      <c r="DG21" s="213"/>
      <c r="DH21" s="213"/>
      <c r="DI21" s="213"/>
      <c r="DJ21" s="213"/>
      <c r="DK21" s="213"/>
      <c r="DL21" s="213"/>
      <c r="DM21" s="213"/>
      <c r="DN21" s="213"/>
      <c r="DO21" s="213"/>
      <c r="DP21" s="213"/>
      <c r="DQ21" s="213"/>
      <c r="DR21" s="213"/>
      <c r="DS21" s="213"/>
      <c r="DT21" s="213"/>
      <c r="DU21" s="213"/>
      <c r="DV21" s="210">
        <f>SUMPRODUCT((($I21+COLUMN($N$3:$DU$3)-COLUMN($N$3))&gt;='KALENDER MINGGU'!$B$6)*(($I21+COLUMN($N$3:$DU$3)-COLUMN($N$3))&lt;='KALENDER MINGGU'!$C$6)*(N21:DU21))/F21*H21</f>
        <v>0</v>
      </c>
      <c r="DW21" s="210">
        <f>SUMPRODUCT((($I21+COLUMN($N$3:$DU$3)-COLUMN($N$3))&gt;='KALENDER MINGGU'!$B$7)*(($I21+COLUMN($N$3:$DU$3)-COLUMN($N$3))&lt;='KALENDER MINGGU'!$C$7)*(N21:DU21))/F21*H21</f>
        <v>0</v>
      </c>
      <c r="DX21" s="210">
        <f>SUMPRODUCT((($I21+COLUMN($N$3:$DU$3)-COLUMN($N$3))&gt;='KALENDER MINGGU'!$B$8)*(($I21+COLUMN($N$3:$DU$3)-COLUMN($N$3))&lt;='KALENDER MINGGU'!$C$8)*(N21:DU21))/F21*H21</f>
        <v>0</v>
      </c>
      <c r="DY21" s="210">
        <f>SUMPRODUCT((($I21+COLUMN($N$3:$DU$3)-COLUMN($N$3))&gt;='KALENDER MINGGU'!$B$9)*(($I21+COLUMN($N$3:$DU$3)-COLUMN($N$3))&lt;='KALENDER MINGGU'!$C$9)*(N21:DU21))/F21*H21</f>
        <v>0</v>
      </c>
      <c r="DZ21" s="210">
        <f>SUMPRODUCT((($I21+COLUMN($N$3:$DU$3)-COLUMN($N$3))&gt;='KALENDER MINGGU'!$B$10)*(($I21+COLUMN($N$3:$DU$3)-COLUMN($N$3))&lt;='KALENDER MINGGU'!$C$10)*(N21:DU21))/F21*H21</f>
        <v>0</v>
      </c>
      <c r="EA21" s="210">
        <f>SUMPRODUCT((($I21+COLUMN($N$3:$DU$3)-COLUMN($N$3))&gt;='KALENDER MINGGU'!$B$11)*(($I21+COLUMN($N$3:$DU$3)-COLUMN($N$3))&lt;='KALENDER MINGGU'!$C$11)*(N21:DU21))/F21*H21</f>
        <v>0</v>
      </c>
      <c r="EB21" s="210">
        <f>SUMPRODUCT((($I21+COLUMN($N$3:$DU$3)-COLUMN($N$3))&gt;='KALENDER MINGGU'!$B$12)*(($I21+COLUMN($N$3:$DU$3)-COLUMN($N$3))&lt;='KALENDER MINGGU'!$C$12)*(N21:DU21))/F21*H21</f>
        <v>0</v>
      </c>
      <c r="EC21" s="210">
        <f>SUMPRODUCT((($I21+COLUMN($N$3:$DU$3)-COLUMN($N$3))&gt;='KALENDER MINGGU'!$B$13)*(($I21+COLUMN($N$3:$DU$3)-COLUMN($N$3))&lt;='KALENDER MINGGU'!$C$13)*(N21:DU21))/F21*H21</f>
        <v>0</v>
      </c>
      <c r="ED21" s="210">
        <f>SUMPRODUCT((($I21+COLUMN($N$3:$DU$3)-COLUMN($N$3))&gt;='KALENDER MINGGU'!$B$14)*(($I21+COLUMN($N$3:$DU$3)-COLUMN($N$3))&lt;='KALENDER MINGGU'!$C$14)*(N21:DU21))/F21*H21</f>
        <v>0</v>
      </c>
      <c r="EE21" s="210">
        <f>SUMPRODUCT((($I21+COLUMN($N$3:$DU$3)-COLUMN($N$3))&gt;='KALENDER MINGGU'!$B$15)*(($I21+COLUMN($N$3:$DU$3)-COLUMN($N$3))&lt;='KALENDER MINGGU'!$C$15)*(N21:DU21))/F21*H21</f>
        <v>0</v>
      </c>
      <c r="EF21" s="210">
        <f>SUMPRODUCT((($I21+COLUMN($N$3:$DU$3)-COLUMN($N$3))&gt;='KALENDER MINGGU'!$B$16)*(($I21+COLUMN($N$3:$DU$3)-COLUMN($N$3))&lt;='KALENDER MINGGU'!$C$16)*(N21:DU21))/F21*H21</f>
        <v>0</v>
      </c>
      <c r="EG21" s="210">
        <f>SUMPRODUCT((($I21+COLUMN($N$3:$DU$3)-COLUMN($N$3))&gt;='KALENDER MINGGU'!$B$17)*(($I21+COLUMN($N$3:$DU$3)-COLUMN($N$3))&lt;='KALENDER MINGGU'!$C$17)*(N21:DU21))/F21*H21</f>
        <v>0</v>
      </c>
      <c r="EH21" s="210">
        <f>SUMPRODUCT((($I21+COLUMN($N$3:$DU$3)-COLUMN($N$3))&gt;='KALENDER MINGGU'!$B$18)*(($I21+COLUMN($N$3:$DU$3)-COLUMN($N$3))&lt;='KALENDER MINGGU'!$C$18)*(N21:DU21))/F21*H21</f>
        <v>0</v>
      </c>
      <c r="EI21" s="210">
        <f>SUMPRODUCT((($I21+COLUMN($N$3:$DU$3)-COLUMN($N$3))&gt;='KALENDER MINGGU'!$B$19)*(($I21+COLUMN($N$3:$DU$3)-COLUMN($N$3))&lt;='KALENDER MINGGU'!$C$19)*(N21:DU21))/F21*H21</f>
        <v>0</v>
      </c>
      <c r="EJ21" s="210">
        <f>SUMPRODUCT((($I21+COLUMN($N$3:$DU$3)-COLUMN($N$3))&gt;='KALENDER MINGGU'!$B$20)*(($I21+COLUMN($N$3:$DU$3)-COLUMN($N$3))&lt;='KALENDER MINGGU'!$C$20)*(N21:DU21))/F21*H21</f>
        <v>0</v>
      </c>
      <c r="EK21" s="210">
        <f>SUMPRODUCT((($I21+COLUMN($N$3:$DU$3)-COLUMN($N$3))&gt;='KALENDER MINGGU'!$B$21)*(($I21+COLUMN($N$3:$DU$3)-COLUMN($N$3))&lt;='KALENDER MINGGU'!$C$21)*(N21:DU21))/F21*H21</f>
        <v>0</v>
      </c>
    </row>
    <row r="22" spans="1:141" ht="15" customHeight="1" x14ac:dyDescent="0.2">
      <c r="A22" s="208">
        <v>19</v>
      </c>
      <c r="B22" s="208">
        <v>28</v>
      </c>
      <c r="C22" s="208" t="str">
        <f>IF(B22&lt;160,'BOBOT PEK'!$B$4,IF(B22&lt;207,'BOBOT PEK'!$B$160,'BOBOT PEK'!$B$207))</f>
        <v>Pekerjaan Gudang Umum</v>
      </c>
      <c r="D22" s="208" t="s">
        <v>49</v>
      </c>
      <c r="E22" s="208" t="str">
        <f>'BOBOT PEK'!C28</f>
        <v>Perapian kabel  dalam gudang</v>
      </c>
      <c r="F22" s="209">
        <f>IF(OR('BOBOT PEK'!E28="",'BOBOT PEK'!E28=0),1,'BOBOT PEK'!E28)</f>
        <v>54</v>
      </c>
      <c r="G22" s="208" t="str">
        <f>IF('BOBOT PEK'!F28="","ls",'BOBOT PEK'!F28)</f>
        <v>m</v>
      </c>
      <c r="H22" s="210">
        <f>'BOBOT PEK'!J28</f>
        <v>0.49734802800204686</v>
      </c>
      <c r="I22" s="211">
        <f>'KALENDER MINGGU'!$B$3</f>
        <v>46226</v>
      </c>
      <c r="J22" s="209">
        <f t="shared" si="0"/>
        <v>0</v>
      </c>
      <c r="K22" s="209">
        <f t="shared" si="1"/>
        <v>54</v>
      </c>
      <c r="L22" s="212">
        <f t="shared" si="2"/>
        <v>0</v>
      </c>
      <c r="M22" s="208" t="str">
        <f t="shared" si="3"/>
        <v>OK</v>
      </c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13"/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  <c r="BC22" s="213"/>
      <c r="BD22" s="213"/>
      <c r="BE22" s="213"/>
      <c r="BF22" s="213"/>
      <c r="BG22" s="213"/>
      <c r="BH22" s="213"/>
      <c r="BI22" s="213"/>
      <c r="BJ22" s="213"/>
      <c r="BK22" s="213"/>
      <c r="BL22" s="213"/>
      <c r="BM22" s="213"/>
      <c r="BN22" s="213"/>
      <c r="BO22" s="213"/>
      <c r="BP22" s="213"/>
      <c r="BQ22" s="213"/>
      <c r="BR22" s="213"/>
      <c r="BS22" s="213"/>
      <c r="BT22" s="213"/>
      <c r="BU22" s="213"/>
      <c r="BV22" s="213"/>
      <c r="BW22" s="213"/>
      <c r="BX22" s="213"/>
      <c r="BY22" s="213"/>
      <c r="BZ22" s="213"/>
      <c r="CA22" s="213"/>
      <c r="CB22" s="213"/>
      <c r="CC22" s="213"/>
      <c r="CD22" s="213"/>
      <c r="CE22" s="213"/>
      <c r="CF22" s="213"/>
      <c r="CG22" s="213"/>
      <c r="CH22" s="213"/>
      <c r="CI22" s="213"/>
      <c r="CJ22" s="213"/>
      <c r="CK22" s="213"/>
      <c r="CL22" s="213"/>
      <c r="CM22" s="213"/>
      <c r="CN22" s="213"/>
      <c r="CO22" s="213"/>
      <c r="CP22" s="213"/>
      <c r="CQ22" s="213"/>
      <c r="CR22" s="213"/>
      <c r="CS22" s="213"/>
      <c r="CT22" s="213"/>
      <c r="CU22" s="213"/>
      <c r="CV22" s="213"/>
      <c r="CW22" s="213"/>
      <c r="CX22" s="213"/>
      <c r="CY22" s="213"/>
      <c r="CZ22" s="213"/>
      <c r="DA22" s="213"/>
      <c r="DB22" s="213"/>
      <c r="DC22" s="213"/>
      <c r="DD22" s="213"/>
      <c r="DE22" s="213"/>
      <c r="DF22" s="213"/>
      <c r="DG22" s="213"/>
      <c r="DH22" s="213"/>
      <c r="DI22" s="213"/>
      <c r="DJ22" s="213"/>
      <c r="DK22" s="213"/>
      <c r="DL22" s="213"/>
      <c r="DM22" s="213"/>
      <c r="DN22" s="213"/>
      <c r="DO22" s="213"/>
      <c r="DP22" s="213"/>
      <c r="DQ22" s="213"/>
      <c r="DR22" s="213"/>
      <c r="DS22" s="213"/>
      <c r="DT22" s="213"/>
      <c r="DU22" s="213"/>
      <c r="DV22" s="210">
        <f>SUMPRODUCT((($I22+COLUMN($N$3:$DU$3)-COLUMN($N$3))&gt;='KALENDER MINGGU'!$B$6)*(($I22+COLUMN($N$3:$DU$3)-COLUMN($N$3))&lt;='KALENDER MINGGU'!$C$6)*(N22:DU22))/F22*H22</f>
        <v>0</v>
      </c>
      <c r="DW22" s="210">
        <f>SUMPRODUCT((($I22+COLUMN($N$3:$DU$3)-COLUMN($N$3))&gt;='KALENDER MINGGU'!$B$7)*(($I22+COLUMN($N$3:$DU$3)-COLUMN($N$3))&lt;='KALENDER MINGGU'!$C$7)*(N22:DU22))/F22*H22</f>
        <v>0</v>
      </c>
      <c r="DX22" s="210">
        <f>SUMPRODUCT((($I22+COLUMN($N$3:$DU$3)-COLUMN($N$3))&gt;='KALENDER MINGGU'!$B$8)*(($I22+COLUMN($N$3:$DU$3)-COLUMN($N$3))&lt;='KALENDER MINGGU'!$C$8)*(N22:DU22))/F22*H22</f>
        <v>0</v>
      </c>
      <c r="DY22" s="210">
        <f>SUMPRODUCT((($I22+COLUMN($N$3:$DU$3)-COLUMN($N$3))&gt;='KALENDER MINGGU'!$B$9)*(($I22+COLUMN($N$3:$DU$3)-COLUMN($N$3))&lt;='KALENDER MINGGU'!$C$9)*(N22:DU22))/F22*H22</f>
        <v>0</v>
      </c>
      <c r="DZ22" s="210">
        <f>SUMPRODUCT((($I22+COLUMN($N$3:$DU$3)-COLUMN($N$3))&gt;='KALENDER MINGGU'!$B$10)*(($I22+COLUMN($N$3:$DU$3)-COLUMN($N$3))&lt;='KALENDER MINGGU'!$C$10)*(N22:DU22))/F22*H22</f>
        <v>0</v>
      </c>
      <c r="EA22" s="210">
        <f>SUMPRODUCT((($I22+COLUMN($N$3:$DU$3)-COLUMN($N$3))&gt;='KALENDER MINGGU'!$B$11)*(($I22+COLUMN($N$3:$DU$3)-COLUMN($N$3))&lt;='KALENDER MINGGU'!$C$11)*(N22:DU22))/F22*H22</f>
        <v>0</v>
      </c>
      <c r="EB22" s="210">
        <f>SUMPRODUCT((($I22+COLUMN($N$3:$DU$3)-COLUMN($N$3))&gt;='KALENDER MINGGU'!$B$12)*(($I22+COLUMN($N$3:$DU$3)-COLUMN($N$3))&lt;='KALENDER MINGGU'!$C$12)*(N22:DU22))/F22*H22</f>
        <v>0</v>
      </c>
      <c r="EC22" s="210">
        <f>SUMPRODUCT((($I22+COLUMN($N$3:$DU$3)-COLUMN($N$3))&gt;='KALENDER MINGGU'!$B$13)*(($I22+COLUMN($N$3:$DU$3)-COLUMN($N$3))&lt;='KALENDER MINGGU'!$C$13)*(N22:DU22))/F22*H22</f>
        <v>0</v>
      </c>
      <c r="ED22" s="210">
        <f>SUMPRODUCT((($I22+COLUMN($N$3:$DU$3)-COLUMN($N$3))&gt;='KALENDER MINGGU'!$B$14)*(($I22+COLUMN($N$3:$DU$3)-COLUMN($N$3))&lt;='KALENDER MINGGU'!$C$14)*(N22:DU22))/F22*H22</f>
        <v>0</v>
      </c>
      <c r="EE22" s="210">
        <f>SUMPRODUCT((($I22+COLUMN($N$3:$DU$3)-COLUMN($N$3))&gt;='KALENDER MINGGU'!$B$15)*(($I22+COLUMN($N$3:$DU$3)-COLUMN($N$3))&lt;='KALENDER MINGGU'!$C$15)*(N22:DU22))/F22*H22</f>
        <v>0</v>
      </c>
      <c r="EF22" s="210">
        <f>SUMPRODUCT((($I22+COLUMN($N$3:$DU$3)-COLUMN($N$3))&gt;='KALENDER MINGGU'!$B$16)*(($I22+COLUMN($N$3:$DU$3)-COLUMN($N$3))&lt;='KALENDER MINGGU'!$C$16)*(N22:DU22))/F22*H22</f>
        <v>0</v>
      </c>
      <c r="EG22" s="210">
        <f>SUMPRODUCT((($I22+COLUMN($N$3:$DU$3)-COLUMN($N$3))&gt;='KALENDER MINGGU'!$B$17)*(($I22+COLUMN($N$3:$DU$3)-COLUMN($N$3))&lt;='KALENDER MINGGU'!$C$17)*(N22:DU22))/F22*H22</f>
        <v>0</v>
      </c>
      <c r="EH22" s="210">
        <f>SUMPRODUCT((($I22+COLUMN($N$3:$DU$3)-COLUMN($N$3))&gt;='KALENDER MINGGU'!$B$18)*(($I22+COLUMN($N$3:$DU$3)-COLUMN($N$3))&lt;='KALENDER MINGGU'!$C$18)*(N22:DU22))/F22*H22</f>
        <v>0</v>
      </c>
      <c r="EI22" s="210">
        <f>SUMPRODUCT((($I22+COLUMN($N$3:$DU$3)-COLUMN($N$3))&gt;='KALENDER MINGGU'!$B$19)*(($I22+COLUMN($N$3:$DU$3)-COLUMN($N$3))&lt;='KALENDER MINGGU'!$C$19)*(N22:DU22))/F22*H22</f>
        <v>0</v>
      </c>
      <c r="EJ22" s="210">
        <f>SUMPRODUCT((($I22+COLUMN($N$3:$DU$3)-COLUMN($N$3))&gt;='KALENDER MINGGU'!$B$20)*(($I22+COLUMN($N$3:$DU$3)-COLUMN($N$3))&lt;='KALENDER MINGGU'!$C$20)*(N22:DU22))/F22*H22</f>
        <v>0</v>
      </c>
      <c r="EK22" s="210">
        <f>SUMPRODUCT((($I22+COLUMN($N$3:$DU$3)-COLUMN($N$3))&gt;='KALENDER MINGGU'!$B$21)*(($I22+COLUMN($N$3:$DU$3)-COLUMN($N$3))&lt;='KALENDER MINGGU'!$C$21)*(N22:DU22))/F22*H22</f>
        <v>0</v>
      </c>
    </row>
    <row r="23" spans="1:141" ht="15" customHeight="1" x14ac:dyDescent="0.2">
      <c r="A23" s="208">
        <v>20</v>
      </c>
      <c r="B23" s="208">
        <v>32</v>
      </c>
      <c r="C23" s="208" t="str">
        <f>IF(B23&lt;160,'BOBOT PEK'!$B$4,IF(B23&lt;207,'BOBOT PEK'!$B$160,'BOBOT PEK'!$B$207))</f>
        <v>Pekerjaan Gudang Umum</v>
      </c>
      <c r="D23" s="208" t="s">
        <v>80</v>
      </c>
      <c r="E23" s="208" t="str">
        <f>'BOBOT PEK'!C32</f>
        <v>Perbaikan atap existing</v>
      </c>
      <c r="F23" s="209">
        <f>IF(OR('BOBOT PEK'!E32="",'BOBOT PEK'!E32=0),1,'BOBOT PEK'!E32)</f>
        <v>30</v>
      </c>
      <c r="G23" s="208" t="str">
        <f>IF('BOBOT PEK'!F32="","ls",'BOBOT PEK'!F32)</f>
        <v>m²</v>
      </c>
      <c r="H23" s="210">
        <f>'BOBOT PEK'!J32</f>
        <v>3.0700495555681905E-2</v>
      </c>
      <c r="I23" s="211">
        <f>'KALENDER MINGGU'!$B$3</f>
        <v>46226</v>
      </c>
      <c r="J23" s="209">
        <f t="shared" si="0"/>
        <v>0</v>
      </c>
      <c r="K23" s="209">
        <f t="shared" si="1"/>
        <v>30</v>
      </c>
      <c r="L23" s="212">
        <f t="shared" si="2"/>
        <v>0</v>
      </c>
      <c r="M23" s="208" t="str">
        <f t="shared" si="3"/>
        <v>OK</v>
      </c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  <c r="BC23" s="213"/>
      <c r="BD23" s="213"/>
      <c r="BE23" s="213"/>
      <c r="BF23" s="213"/>
      <c r="BG23" s="213"/>
      <c r="BH23" s="213"/>
      <c r="BI23" s="213"/>
      <c r="BJ23" s="213"/>
      <c r="BK23" s="213"/>
      <c r="BL23" s="213"/>
      <c r="BM23" s="213"/>
      <c r="BN23" s="213"/>
      <c r="BO23" s="213"/>
      <c r="BP23" s="213"/>
      <c r="BQ23" s="213"/>
      <c r="BR23" s="213"/>
      <c r="BS23" s="213"/>
      <c r="BT23" s="213"/>
      <c r="BU23" s="213"/>
      <c r="BV23" s="213"/>
      <c r="BW23" s="213"/>
      <c r="BX23" s="213"/>
      <c r="BY23" s="213"/>
      <c r="BZ23" s="213"/>
      <c r="CA23" s="213"/>
      <c r="CB23" s="213"/>
      <c r="CC23" s="213"/>
      <c r="CD23" s="213"/>
      <c r="CE23" s="213"/>
      <c r="CF23" s="213"/>
      <c r="CG23" s="213"/>
      <c r="CH23" s="213"/>
      <c r="CI23" s="213"/>
      <c r="CJ23" s="213"/>
      <c r="CK23" s="213"/>
      <c r="CL23" s="213"/>
      <c r="CM23" s="213"/>
      <c r="CN23" s="213"/>
      <c r="CO23" s="213"/>
      <c r="CP23" s="213"/>
      <c r="CQ23" s="213"/>
      <c r="CR23" s="213"/>
      <c r="CS23" s="213"/>
      <c r="CT23" s="213"/>
      <c r="CU23" s="213"/>
      <c r="CV23" s="213"/>
      <c r="CW23" s="213"/>
      <c r="CX23" s="213"/>
      <c r="CY23" s="213"/>
      <c r="CZ23" s="213"/>
      <c r="DA23" s="213"/>
      <c r="DB23" s="213"/>
      <c r="DC23" s="213"/>
      <c r="DD23" s="213"/>
      <c r="DE23" s="213"/>
      <c r="DF23" s="213"/>
      <c r="DG23" s="213"/>
      <c r="DH23" s="213"/>
      <c r="DI23" s="213"/>
      <c r="DJ23" s="213"/>
      <c r="DK23" s="213"/>
      <c r="DL23" s="213"/>
      <c r="DM23" s="213"/>
      <c r="DN23" s="213"/>
      <c r="DO23" s="213"/>
      <c r="DP23" s="213"/>
      <c r="DQ23" s="213"/>
      <c r="DR23" s="213"/>
      <c r="DS23" s="213"/>
      <c r="DT23" s="213"/>
      <c r="DU23" s="213"/>
      <c r="DV23" s="210">
        <f>SUMPRODUCT((($I23+COLUMN($N$3:$DU$3)-COLUMN($N$3))&gt;='KALENDER MINGGU'!$B$6)*(($I23+COLUMN($N$3:$DU$3)-COLUMN($N$3))&lt;='KALENDER MINGGU'!$C$6)*(N23:DU23))/F23*H23</f>
        <v>0</v>
      </c>
      <c r="DW23" s="210">
        <f>SUMPRODUCT((($I23+COLUMN($N$3:$DU$3)-COLUMN($N$3))&gt;='KALENDER MINGGU'!$B$7)*(($I23+COLUMN($N$3:$DU$3)-COLUMN($N$3))&lt;='KALENDER MINGGU'!$C$7)*(N23:DU23))/F23*H23</f>
        <v>0</v>
      </c>
      <c r="DX23" s="210">
        <f>SUMPRODUCT((($I23+COLUMN($N$3:$DU$3)-COLUMN($N$3))&gt;='KALENDER MINGGU'!$B$8)*(($I23+COLUMN($N$3:$DU$3)-COLUMN($N$3))&lt;='KALENDER MINGGU'!$C$8)*(N23:DU23))/F23*H23</f>
        <v>0</v>
      </c>
      <c r="DY23" s="210">
        <f>SUMPRODUCT((($I23+COLUMN($N$3:$DU$3)-COLUMN($N$3))&gt;='KALENDER MINGGU'!$B$9)*(($I23+COLUMN($N$3:$DU$3)-COLUMN($N$3))&lt;='KALENDER MINGGU'!$C$9)*(N23:DU23))/F23*H23</f>
        <v>0</v>
      </c>
      <c r="DZ23" s="210">
        <f>SUMPRODUCT((($I23+COLUMN($N$3:$DU$3)-COLUMN($N$3))&gt;='KALENDER MINGGU'!$B$10)*(($I23+COLUMN($N$3:$DU$3)-COLUMN($N$3))&lt;='KALENDER MINGGU'!$C$10)*(N23:DU23))/F23*H23</f>
        <v>0</v>
      </c>
      <c r="EA23" s="210">
        <f>SUMPRODUCT((($I23+COLUMN($N$3:$DU$3)-COLUMN($N$3))&gt;='KALENDER MINGGU'!$B$11)*(($I23+COLUMN($N$3:$DU$3)-COLUMN($N$3))&lt;='KALENDER MINGGU'!$C$11)*(N23:DU23))/F23*H23</f>
        <v>0</v>
      </c>
      <c r="EB23" s="210">
        <f>SUMPRODUCT((($I23+COLUMN($N$3:$DU$3)-COLUMN($N$3))&gt;='KALENDER MINGGU'!$B$12)*(($I23+COLUMN($N$3:$DU$3)-COLUMN($N$3))&lt;='KALENDER MINGGU'!$C$12)*(N23:DU23))/F23*H23</f>
        <v>0</v>
      </c>
      <c r="EC23" s="210">
        <f>SUMPRODUCT((($I23+COLUMN($N$3:$DU$3)-COLUMN($N$3))&gt;='KALENDER MINGGU'!$B$13)*(($I23+COLUMN($N$3:$DU$3)-COLUMN($N$3))&lt;='KALENDER MINGGU'!$C$13)*(N23:DU23))/F23*H23</f>
        <v>0</v>
      </c>
      <c r="ED23" s="210">
        <f>SUMPRODUCT((($I23+COLUMN($N$3:$DU$3)-COLUMN($N$3))&gt;='KALENDER MINGGU'!$B$14)*(($I23+COLUMN($N$3:$DU$3)-COLUMN($N$3))&lt;='KALENDER MINGGU'!$C$14)*(N23:DU23))/F23*H23</f>
        <v>0</v>
      </c>
      <c r="EE23" s="210">
        <f>SUMPRODUCT((($I23+COLUMN($N$3:$DU$3)-COLUMN($N$3))&gt;='KALENDER MINGGU'!$B$15)*(($I23+COLUMN($N$3:$DU$3)-COLUMN($N$3))&lt;='KALENDER MINGGU'!$C$15)*(N23:DU23))/F23*H23</f>
        <v>0</v>
      </c>
      <c r="EF23" s="210">
        <f>SUMPRODUCT((($I23+COLUMN($N$3:$DU$3)-COLUMN($N$3))&gt;='KALENDER MINGGU'!$B$16)*(($I23+COLUMN($N$3:$DU$3)-COLUMN($N$3))&lt;='KALENDER MINGGU'!$C$16)*(N23:DU23))/F23*H23</f>
        <v>0</v>
      </c>
      <c r="EG23" s="210">
        <f>SUMPRODUCT((($I23+COLUMN($N$3:$DU$3)-COLUMN($N$3))&gt;='KALENDER MINGGU'!$B$17)*(($I23+COLUMN($N$3:$DU$3)-COLUMN($N$3))&lt;='KALENDER MINGGU'!$C$17)*(N23:DU23))/F23*H23</f>
        <v>0</v>
      </c>
      <c r="EH23" s="210">
        <f>SUMPRODUCT((($I23+COLUMN($N$3:$DU$3)-COLUMN($N$3))&gt;='KALENDER MINGGU'!$B$18)*(($I23+COLUMN($N$3:$DU$3)-COLUMN($N$3))&lt;='KALENDER MINGGU'!$C$18)*(N23:DU23))/F23*H23</f>
        <v>0</v>
      </c>
      <c r="EI23" s="210">
        <f>SUMPRODUCT((($I23+COLUMN($N$3:$DU$3)-COLUMN($N$3))&gt;='KALENDER MINGGU'!$B$19)*(($I23+COLUMN($N$3:$DU$3)-COLUMN($N$3))&lt;='KALENDER MINGGU'!$C$19)*(N23:DU23))/F23*H23</f>
        <v>0</v>
      </c>
      <c r="EJ23" s="210">
        <f>SUMPRODUCT((($I23+COLUMN($N$3:$DU$3)-COLUMN($N$3))&gt;='KALENDER MINGGU'!$B$20)*(($I23+COLUMN($N$3:$DU$3)-COLUMN($N$3))&lt;='KALENDER MINGGU'!$C$20)*(N23:DU23))/F23*H23</f>
        <v>0</v>
      </c>
      <c r="EK23" s="210">
        <f>SUMPRODUCT((($I23+COLUMN($N$3:$DU$3)-COLUMN($N$3))&gt;='KALENDER MINGGU'!$B$21)*(($I23+COLUMN($N$3:$DU$3)-COLUMN($N$3))&lt;='KALENDER MINGGU'!$C$21)*(N23:DU23))/F23*H23</f>
        <v>0</v>
      </c>
    </row>
    <row r="24" spans="1:141" ht="15" customHeight="1" x14ac:dyDescent="0.2">
      <c r="A24" s="208">
        <v>21</v>
      </c>
      <c r="B24" s="208">
        <v>33</v>
      </c>
      <c r="C24" s="208" t="str">
        <f>IF(B24&lt;160,'BOBOT PEK'!$B$4,IF(B24&lt;207,'BOBOT PEK'!$B$160,'BOBOT PEK'!$B$207))</f>
        <v>Pekerjaan Gudang Umum</v>
      </c>
      <c r="D24" s="208" t="s">
        <v>80</v>
      </c>
      <c r="E24" s="208" t="str">
        <f>'BOBOT PEK'!C33</f>
        <v>Pekerjaan bongkaran lantai paving block existing</v>
      </c>
      <c r="F24" s="209">
        <f>IF(OR('BOBOT PEK'!E33="",'BOBOT PEK'!E33=0),1,'BOBOT PEK'!E33)</f>
        <v>105</v>
      </c>
      <c r="G24" s="208" t="str">
        <f>IF('BOBOT PEK'!F33="","ls",'BOBOT PEK'!F33)</f>
        <v>m²</v>
      </c>
      <c r="H24" s="210">
        <f>'BOBOT PEK'!J33</f>
        <v>9.4020267639275831E-2</v>
      </c>
      <c r="I24" s="211">
        <f>'KALENDER MINGGU'!$B$3</f>
        <v>46226</v>
      </c>
      <c r="J24" s="209">
        <f t="shared" si="0"/>
        <v>33</v>
      </c>
      <c r="K24" s="209">
        <f t="shared" si="1"/>
        <v>72</v>
      </c>
      <c r="L24" s="212">
        <f t="shared" si="2"/>
        <v>0.31428571428571428</v>
      </c>
      <c r="M24" s="208" t="str">
        <f t="shared" si="3"/>
        <v>OK</v>
      </c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213"/>
      <c r="BF24" s="213"/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>
        <v>3</v>
      </c>
      <c r="BR24" s="213"/>
      <c r="BS24" s="213"/>
      <c r="BT24" s="213"/>
      <c r="BU24" s="213"/>
      <c r="BV24" s="213"/>
      <c r="BW24" s="213"/>
      <c r="BX24" s="213"/>
      <c r="BY24" s="213">
        <v>10</v>
      </c>
      <c r="BZ24" s="213">
        <v>10</v>
      </c>
      <c r="CA24" s="213">
        <v>10</v>
      </c>
      <c r="CB24" s="213"/>
      <c r="CC24" s="213"/>
      <c r="CD24" s="213"/>
      <c r="CE24" s="213"/>
      <c r="CF24" s="213"/>
      <c r="CG24" s="213"/>
      <c r="CH24" s="213"/>
      <c r="CI24" s="213"/>
      <c r="CJ24" s="213"/>
      <c r="CK24" s="213"/>
      <c r="CL24" s="213"/>
      <c r="CM24" s="213"/>
      <c r="CN24" s="213"/>
      <c r="CO24" s="213"/>
      <c r="CP24" s="213"/>
      <c r="CQ24" s="213"/>
      <c r="CR24" s="213"/>
      <c r="CS24" s="213"/>
      <c r="CT24" s="213"/>
      <c r="CU24" s="213"/>
      <c r="CV24" s="213"/>
      <c r="CW24" s="213"/>
      <c r="CX24" s="213"/>
      <c r="CY24" s="213"/>
      <c r="CZ24" s="213"/>
      <c r="DA24" s="213"/>
      <c r="DB24" s="213"/>
      <c r="DC24" s="213"/>
      <c r="DD24" s="213"/>
      <c r="DE24" s="213"/>
      <c r="DF24" s="213"/>
      <c r="DG24" s="213"/>
      <c r="DH24" s="213"/>
      <c r="DI24" s="213"/>
      <c r="DJ24" s="213"/>
      <c r="DK24" s="213"/>
      <c r="DL24" s="213"/>
      <c r="DM24" s="213"/>
      <c r="DN24" s="213"/>
      <c r="DO24" s="213"/>
      <c r="DP24" s="213"/>
      <c r="DQ24" s="213"/>
      <c r="DR24" s="213"/>
      <c r="DS24" s="213"/>
      <c r="DT24" s="213"/>
      <c r="DU24" s="213"/>
      <c r="DV24" s="210">
        <f>SUMPRODUCT((($I24+COLUMN($N$3:$DU$3)-COLUMN($N$3))&gt;='KALENDER MINGGU'!$B$6)*(($I24+COLUMN($N$3:$DU$3)-COLUMN($N$3))&lt;='KALENDER MINGGU'!$C$6)*(N24:DU24))/F24*H24</f>
        <v>0</v>
      </c>
      <c r="DW24" s="210">
        <f>SUMPRODUCT((($I24+COLUMN($N$3:$DU$3)-COLUMN($N$3))&gt;='KALENDER MINGGU'!$B$7)*(($I24+COLUMN($N$3:$DU$3)-COLUMN($N$3))&lt;='KALENDER MINGGU'!$C$7)*(N24:DU24))/F24*H24</f>
        <v>0</v>
      </c>
      <c r="DX24" s="210">
        <f>SUMPRODUCT((($I24+COLUMN($N$3:$DU$3)-COLUMN($N$3))&gt;='KALENDER MINGGU'!$B$8)*(($I24+COLUMN($N$3:$DU$3)-COLUMN($N$3))&lt;='KALENDER MINGGU'!$C$8)*(N24:DU24))/F24*H24</f>
        <v>0</v>
      </c>
      <c r="DY24" s="210">
        <f>SUMPRODUCT((($I24+COLUMN($N$3:$DU$3)-COLUMN($N$3))&gt;='KALENDER MINGGU'!$B$9)*(($I24+COLUMN($N$3:$DU$3)-COLUMN($N$3))&lt;='KALENDER MINGGU'!$C$9)*(N24:DU24))/F24*H24</f>
        <v>0</v>
      </c>
      <c r="DZ24" s="210">
        <f>SUMPRODUCT((($I24+COLUMN($N$3:$DU$3)-COLUMN($N$3))&gt;='KALENDER MINGGU'!$B$10)*(($I24+COLUMN($N$3:$DU$3)-COLUMN($N$3))&lt;='KALENDER MINGGU'!$C$10)*(N24:DU24))/F24*H24</f>
        <v>0</v>
      </c>
      <c r="EA24" s="210">
        <f>SUMPRODUCT((($I24+COLUMN($N$3:$DU$3)-COLUMN($N$3))&gt;='KALENDER MINGGU'!$B$11)*(($I24+COLUMN($N$3:$DU$3)-COLUMN($N$3))&lt;='KALENDER MINGGU'!$C$11)*(N24:DU24))/F24*H24</f>
        <v>0</v>
      </c>
      <c r="EB24" s="210">
        <f>SUMPRODUCT((($I24+COLUMN($N$3:$DU$3)-COLUMN($N$3))&gt;='KALENDER MINGGU'!$B$12)*(($I24+COLUMN($N$3:$DU$3)-COLUMN($N$3))&lt;='KALENDER MINGGU'!$C$12)*(N24:DU24))/F24*H24</f>
        <v>0</v>
      </c>
      <c r="EC24" s="210">
        <f>SUMPRODUCT((($I24+COLUMN($N$3:$DU$3)-COLUMN($N$3))&gt;='KALENDER MINGGU'!$B$13)*(($I24+COLUMN($N$3:$DU$3)-COLUMN($N$3))&lt;='KALENDER MINGGU'!$C$13)*(N24:DU24))/F24*H24</f>
        <v>2.6862933611221666E-3</v>
      </c>
      <c r="ED24" s="210">
        <f>SUMPRODUCT((($I24+COLUMN($N$3:$DU$3)-COLUMN($N$3))&gt;='KALENDER MINGGU'!$B$14)*(($I24+COLUMN($N$3:$DU$3)-COLUMN($N$3))&lt;='KALENDER MINGGU'!$C$14)*(N24:DU24))/F24*H24</f>
        <v>0</v>
      </c>
      <c r="EE24" s="210">
        <f>SUMPRODUCT((($I24+COLUMN($N$3:$DU$3)-COLUMN($N$3))&gt;='KALENDER MINGGU'!$B$15)*(($I24+COLUMN($N$3:$DU$3)-COLUMN($N$3))&lt;='KALENDER MINGGU'!$C$15)*(N24:DU24))/F24*H24</f>
        <v>2.6862933611221666E-2</v>
      </c>
      <c r="EF24" s="210">
        <f>SUMPRODUCT((($I24+COLUMN($N$3:$DU$3)-COLUMN($N$3))&gt;='KALENDER MINGGU'!$B$16)*(($I24+COLUMN($N$3:$DU$3)-COLUMN($N$3))&lt;='KALENDER MINGGU'!$C$16)*(N24:DU24))/F24*H24</f>
        <v>0</v>
      </c>
      <c r="EG24" s="210">
        <f>SUMPRODUCT((($I24+COLUMN($N$3:$DU$3)-COLUMN($N$3))&gt;='KALENDER MINGGU'!$B$17)*(($I24+COLUMN($N$3:$DU$3)-COLUMN($N$3))&lt;='KALENDER MINGGU'!$C$17)*(N24:DU24))/F24*H24</f>
        <v>0</v>
      </c>
      <c r="EH24" s="210">
        <f>SUMPRODUCT((($I24+COLUMN($N$3:$DU$3)-COLUMN($N$3))&gt;='KALENDER MINGGU'!$B$18)*(($I24+COLUMN($N$3:$DU$3)-COLUMN($N$3))&lt;='KALENDER MINGGU'!$C$18)*(N24:DU24))/F24*H24</f>
        <v>0</v>
      </c>
      <c r="EI24" s="210">
        <f>SUMPRODUCT((($I24+COLUMN($N$3:$DU$3)-COLUMN($N$3))&gt;='KALENDER MINGGU'!$B$19)*(($I24+COLUMN($N$3:$DU$3)-COLUMN($N$3))&lt;='KALENDER MINGGU'!$C$19)*(N24:DU24))/F24*H24</f>
        <v>0</v>
      </c>
      <c r="EJ24" s="210">
        <f>SUMPRODUCT((($I24+COLUMN($N$3:$DU$3)-COLUMN($N$3))&gt;='KALENDER MINGGU'!$B$20)*(($I24+COLUMN($N$3:$DU$3)-COLUMN($N$3))&lt;='KALENDER MINGGU'!$C$20)*(N24:DU24))/F24*H24</f>
        <v>0</v>
      </c>
      <c r="EK24" s="210">
        <f>SUMPRODUCT((($I24+COLUMN($N$3:$DU$3)-COLUMN($N$3))&gt;='KALENDER MINGGU'!$B$21)*(($I24+COLUMN($N$3:$DU$3)-COLUMN($N$3))&lt;='KALENDER MINGGU'!$C$21)*(N24:DU24))/F24*H24</f>
        <v>0</v>
      </c>
    </row>
    <row r="25" spans="1:141" ht="15" customHeight="1" x14ac:dyDescent="0.2">
      <c r="A25" s="208">
        <v>22</v>
      </c>
      <c r="B25" s="208">
        <v>34</v>
      </c>
      <c r="C25" s="208" t="str">
        <f>IF(B25&lt;160,'BOBOT PEK'!$B$4,IF(B25&lt;207,'BOBOT PEK'!$B$160,'BOBOT PEK'!$B$207))</f>
        <v>Pekerjaan Gudang Umum</v>
      </c>
      <c r="D25" s="208" t="s">
        <v>80</v>
      </c>
      <c r="E25" s="208" t="str">
        <f>'BOBOT PEK'!C34</f>
        <v>Pekerjaan pasang rangka kolom dan atap area parkir + penutup + talang</v>
      </c>
      <c r="F25" s="209">
        <f>IF(OR('BOBOT PEK'!E34="",'BOBOT PEK'!E34=0),1,'BOBOT PEK'!E34)</f>
        <v>40</v>
      </c>
      <c r="G25" s="208" t="str">
        <f>IF('BOBOT PEK'!F34="","ls",'BOBOT PEK'!F34)</f>
        <v>m²</v>
      </c>
      <c r="H25" s="210">
        <f>'BOBOT PEK'!J34</f>
        <v>0.28142120926041747</v>
      </c>
      <c r="I25" s="211">
        <f>'KALENDER MINGGU'!$B$3</f>
        <v>46226</v>
      </c>
      <c r="J25" s="209">
        <f t="shared" si="0"/>
        <v>0</v>
      </c>
      <c r="K25" s="209">
        <f t="shared" si="1"/>
        <v>40</v>
      </c>
      <c r="L25" s="212">
        <f t="shared" si="2"/>
        <v>0</v>
      </c>
      <c r="M25" s="208" t="str">
        <f t="shared" si="3"/>
        <v>OK</v>
      </c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  <c r="BC25" s="213"/>
      <c r="BD25" s="213"/>
      <c r="BE25" s="213"/>
      <c r="BF25" s="213"/>
      <c r="BG25" s="213"/>
      <c r="BH25" s="213"/>
      <c r="BI25" s="213"/>
      <c r="BJ25" s="213"/>
      <c r="BK25" s="213"/>
      <c r="BL25" s="213"/>
      <c r="BM25" s="213"/>
      <c r="BN25" s="213"/>
      <c r="BO25" s="213"/>
      <c r="BP25" s="213"/>
      <c r="BQ25" s="213"/>
      <c r="BR25" s="213"/>
      <c r="BS25" s="213"/>
      <c r="BT25" s="213"/>
      <c r="BU25" s="213"/>
      <c r="BV25" s="213"/>
      <c r="BW25" s="213"/>
      <c r="BX25" s="213"/>
      <c r="BY25" s="213"/>
      <c r="BZ25" s="213"/>
      <c r="CA25" s="213"/>
      <c r="CB25" s="213"/>
      <c r="CC25" s="213"/>
      <c r="CD25" s="213"/>
      <c r="CE25" s="213"/>
      <c r="CF25" s="213"/>
      <c r="CG25" s="213"/>
      <c r="CH25" s="213"/>
      <c r="CI25" s="213"/>
      <c r="CJ25" s="213"/>
      <c r="CK25" s="213"/>
      <c r="CL25" s="213"/>
      <c r="CM25" s="213"/>
      <c r="CN25" s="213"/>
      <c r="CO25" s="213"/>
      <c r="CP25" s="213"/>
      <c r="CQ25" s="213"/>
      <c r="CR25" s="213"/>
      <c r="CS25" s="213"/>
      <c r="CT25" s="213"/>
      <c r="CU25" s="213"/>
      <c r="CV25" s="213"/>
      <c r="CW25" s="213"/>
      <c r="CX25" s="213"/>
      <c r="CY25" s="213"/>
      <c r="CZ25" s="213"/>
      <c r="DA25" s="213"/>
      <c r="DB25" s="213"/>
      <c r="DC25" s="213"/>
      <c r="DD25" s="213"/>
      <c r="DE25" s="213"/>
      <c r="DF25" s="213"/>
      <c r="DG25" s="213"/>
      <c r="DH25" s="213"/>
      <c r="DI25" s="213"/>
      <c r="DJ25" s="213"/>
      <c r="DK25" s="213"/>
      <c r="DL25" s="213"/>
      <c r="DM25" s="213"/>
      <c r="DN25" s="213"/>
      <c r="DO25" s="213"/>
      <c r="DP25" s="213"/>
      <c r="DQ25" s="213"/>
      <c r="DR25" s="213"/>
      <c r="DS25" s="213"/>
      <c r="DT25" s="213"/>
      <c r="DU25" s="213"/>
      <c r="DV25" s="210">
        <f>SUMPRODUCT((($I25+COLUMN($N$3:$DU$3)-COLUMN($N$3))&gt;='KALENDER MINGGU'!$B$6)*(($I25+COLUMN($N$3:$DU$3)-COLUMN($N$3))&lt;='KALENDER MINGGU'!$C$6)*(N25:DU25))/F25*H25</f>
        <v>0</v>
      </c>
      <c r="DW25" s="210">
        <f>SUMPRODUCT((($I25+COLUMN($N$3:$DU$3)-COLUMN($N$3))&gt;='KALENDER MINGGU'!$B$7)*(($I25+COLUMN($N$3:$DU$3)-COLUMN($N$3))&lt;='KALENDER MINGGU'!$C$7)*(N25:DU25))/F25*H25</f>
        <v>0</v>
      </c>
      <c r="DX25" s="210">
        <f>SUMPRODUCT((($I25+COLUMN($N$3:$DU$3)-COLUMN($N$3))&gt;='KALENDER MINGGU'!$B$8)*(($I25+COLUMN($N$3:$DU$3)-COLUMN($N$3))&lt;='KALENDER MINGGU'!$C$8)*(N25:DU25))/F25*H25</f>
        <v>0</v>
      </c>
      <c r="DY25" s="210">
        <f>SUMPRODUCT((($I25+COLUMN($N$3:$DU$3)-COLUMN($N$3))&gt;='KALENDER MINGGU'!$B$9)*(($I25+COLUMN($N$3:$DU$3)-COLUMN($N$3))&lt;='KALENDER MINGGU'!$C$9)*(N25:DU25))/F25*H25</f>
        <v>0</v>
      </c>
      <c r="DZ25" s="210">
        <f>SUMPRODUCT((($I25+COLUMN($N$3:$DU$3)-COLUMN($N$3))&gt;='KALENDER MINGGU'!$B$10)*(($I25+COLUMN($N$3:$DU$3)-COLUMN($N$3))&lt;='KALENDER MINGGU'!$C$10)*(N25:DU25))/F25*H25</f>
        <v>0</v>
      </c>
      <c r="EA25" s="210">
        <f>SUMPRODUCT((($I25+COLUMN($N$3:$DU$3)-COLUMN($N$3))&gt;='KALENDER MINGGU'!$B$11)*(($I25+COLUMN($N$3:$DU$3)-COLUMN($N$3))&lt;='KALENDER MINGGU'!$C$11)*(N25:DU25))/F25*H25</f>
        <v>0</v>
      </c>
      <c r="EB25" s="210">
        <f>SUMPRODUCT((($I25+COLUMN($N$3:$DU$3)-COLUMN($N$3))&gt;='KALENDER MINGGU'!$B$12)*(($I25+COLUMN($N$3:$DU$3)-COLUMN($N$3))&lt;='KALENDER MINGGU'!$C$12)*(N25:DU25))/F25*H25</f>
        <v>0</v>
      </c>
      <c r="EC25" s="210">
        <f>SUMPRODUCT((($I25+COLUMN($N$3:$DU$3)-COLUMN($N$3))&gt;='KALENDER MINGGU'!$B$13)*(($I25+COLUMN($N$3:$DU$3)-COLUMN($N$3))&lt;='KALENDER MINGGU'!$C$13)*(N25:DU25))/F25*H25</f>
        <v>0</v>
      </c>
      <c r="ED25" s="210">
        <f>SUMPRODUCT((($I25+COLUMN($N$3:$DU$3)-COLUMN($N$3))&gt;='KALENDER MINGGU'!$B$14)*(($I25+COLUMN($N$3:$DU$3)-COLUMN($N$3))&lt;='KALENDER MINGGU'!$C$14)*(N25:DU25))/F25*H25</f>
        <v>0</v>
      </c>
      <c r="EE25" s="210">
        <f>SUMPRODUCT((($I25+COLUMN($N$3:$DU$3)-COLUMN($N$3))&gt;='KALENDER MINGGU'!$B$15)*(($I25+COLUMN($N$3:$DU$3)-COLUMN($N$3))&lt;='KALENDER MINGGU'!$C$15)*(N25:DU25))/F25*H25</f>
        <v>0</v>
      </c>
      <c r="EF25" s="210">
        <f>SUMPRODUCT((($I25+COLUMN($N$3:$DU$3)-COLUMN($N$3))&gt;='KALENDER MINGGU'!$B$16)*(($I25+COLUMN($N$3:$DU$3)-COLUMN($N$3))&lt;='KALENDER MINGGU'!$C$16)*(N25:DU25))/F25*H25</f>
        <v>0</v>
      </c>
      <c r="EG25" s="210">
        <f>SUMPRODUCT((($I25+COLUMN($N$3:$DU$3)-COLUMN($N$3))&gt;='KALENDER MINGGU'!$B$17)*(($I25+COLUMN($N$3:$DU$3)-COLUMN($N$3))&lt;='KALENDER MINGGU'!$C$17)*(N25:DU25))/F25*H25</f>
        <v>0</v>
      </c>
      <c r="EH25" s="210">
        <f>SUMPRODUCT((($I25+COLUMN($N$3:$DU$3)-COLUMN($N$3))&gt;='KALENDER MINGGU'!$B$18)*(($I25+COLUMN($N$3:$DU$3)-COLUMN($N$3))&lt;='KALENDER MINGGU'!$C$18)*(N25:DU25))/F25*H25</f>
        <v>0</v>
      </c>
      <c r="EI25" s="210">
        <f>SUMPRODUCT((($I25+COLUMN($N$3:$DU$3)-COLUMN($N$3))&gt;='KALENDER MINGGU'!$B$19)*(($I25+COLUMN($N$3:$DU$3)-COLUMN($N$3))&lt;='KALENDER MINGGU'!$C$19)*(N25:DU25))/F25*H25</f>
        <v>0</v>
      </c>
      <c r="EJ25" s="210">
        <f>SUMPRODUCT((($I25+COLUMN($N$3:$DU$3)-COLUMN($N$3))&gt;='KALENDER MINGGU'!$B$20)*(($I25+COLUMN($N$3:$DU$3)-COLUMN($N$3))&lt;='KALENDER MINGGU'!$C$20)*(N25:DU25))/F25*H25</f>
        <v>0</v>
      </c>
      <c r="EK25" s="210">
        <f>SUMPRODUCT((($I25+COLUMN($N$3:$DU$3)-COLUMN($N$3))&gt;='KALENDER MINGGU'!$B$21)*(($I25+COLUMN($N$3:$DU$3)-COLUMN($N$3))&lt;='KALENDER MINGGU'!$C$21)*(N25:DU25))/F25*H25</f>
        <v>0</v>
      </c>
    </row>
    <row r="26" spans="1:141" ht="15" customHeight="1" x14ac:dyDescent="0.2">
      <c r="A26" s="208">
        <v>23</v>
      </c>
      <c r="B26" s="208">
        <v>35</v>
      </c>
      <c r="C26" s="208" t="str">
        <f>IF(B26&lt;160,'BOBOT PEK'!$B$4,IF(B26&lt;207,'BOBOT PEK'!$B$160,'BOBOT PEK'!$B$207))</f>
        <v>Pekerjaan Gudang Umum</v>
      </c>
      <c r="D26" s="208" t="s">
        <v>80</v>
      </c>
      <c r="E26" s="208" t="str">
        <f>'BOBOT PEK'!C35</f>
        <v>Pemasangan atap transparan di area tambahan</v>
      </c>
      <c r="F26" s="209">
        <f>IF(OR('BOBOT PEK'!E35="",'BOBOT PEK'!E35=0),1,'BOBOT PEK'!E35)</f>
        <v>14</v>
      </c>
      <c r="G26" s="208" t="str">
        <f>IF('BOBOT PEK'!F35="","ls",'BOBOT PEK'!F35)</f>
        <v>m²</v>
      </c>
      <c r="H26" s="210">
        <f>'BOBOT PEK'!J35</f>
        <v>5.730759170393955E-2</v>
      </c>
      <c r="I26" s="211">
        <f>'KALENDER MINGGU'!$B$3</f>
        <v>46226</v>
      </c>
      <c r="J26" s="209">
        <f t="shared" si="0"/>
        <v>0</v>
      </c>
      <c r="K26" s="209">
        <f t="shared" si="1"/>
        <v>14</v>
      </c>
      <c r="L26" s="212">
        <f t="shared" si="2"/>
        <v>0</v>
      </c>
      <c r="M26" s="208" t="str">
        <f t="shared" si="3"/>
        <v>OK</v>
      </c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  <c r="BC26" s="213"/>
      <c r="BD26" s="213"/>
      <c r="BE26" s="213"/>
      <c r="BF26" s="213"/>
      <c r="BG26" s="213"/>
      <c r="BH26" s="213"/>
      <c r="BI26" s="213"/>
      <c r="BJ26" s="213"/>
      <c r="BK26" s="213"/>
      <c r="BL26" s="213"/>
      <c r="BM26" s="213"/>
      <c r="BN26" s="213"/>
      <c r="BO26" s="213"/>
      <c r="BP26" s="213"/>
      <c r="BQ26" s="213"/>
      <c r="BR26" s="213"/>
      <c r="BS26" s="213"/>
      <c r="BT26" s="213"/>
      <c r="BU26" s="213"/>
      <c r="BV26" s="213"/>
      <c r="BW26" s="213"/>
      <c r="BX26" s="213"/>
      <c r="BY26" s="213"/>
      <c r="BZ26" s="213"/>
      <c r="CA26" s="213"/>
      <c r="CB26" s="213"/>
      <c r="CC26" s="213"/>
      <c r="CD26" s="213"/>
      <c r="CE26" s="213"/>
      <c r="CF26" s="213"/>
      <c r="CG26" s="213"/>
      <c r="CH26" s="213"/>
      <c r="CI26" s="213"/>
      <c r="CJ26" s="213"/>
      <c r="CK26" s="213"/>
      <c r="CL26" s="213"/>
      <c r="CM26" s="213"/>
      <c r="CN26" s="213"/>
      <c r="CO26" s="213"/>
      <c r="CP26" s="213"/>
      <c r="CQ26" s="213"/>
      <c r="CR26" s="213"/>
      <c r="CS26" s="213"/>
      <c r="CT26" s="213"/>
      <c r="CU26" s="213"/>
      <c r="CV26" s="213"/>
      <c r="CW26" s="213"/>
      <c r="CX26" s="213"/>
      <c r="CY26" s="213"/>
      <c r="CZ26" s="213"/>
      <c r="DA26" s="213"/>
      <c r="DB26" s="213"/>
      <c r="DC26" s="213"/>
      <c r="DD26" s="213"/>
      <c r="DE26" s="213"/>
      <c r="DF26" s="213"/>
      <c r="DG26" s="213"/>
      <c r="DH26" s="213"/>
      <c r="DI26" s="213"/>
      <c r="DJ26" s="213"/>
      <c r="DK26" s="213"/>
      <c r="DL26" s="213"/>
      <c r="DM26" s="213"/>
      <c r="DN26" s="213"/>
      <c r="DO26" s="213"/>
      <c r="DP26" s="213"/>
      <c r="DQ26" s="213"/>
      <c r="DR26" s="213"/>
      <c r="DS26" s="213"/>
      <c r="DT26" s="213"/>
      <c r="DU26" s="213"/>
      <c r="DV26" s="210">
        <f>SUMPRODUCT((($I26+COLUMN($N$3:$DU$3)-COLUMN($N$3))&gt;='KALENDER MINGGU'!$B$6)*(($I26+COLUMN($N$3:$DU$3)-COLUMN($N$3))&lt;='KALENDER MINGGU'!$C$6)*(N26:DU26))/F26*H26</f>
        <v>0</v>
      </c>
      <c r="DW26" s="210">
        <f>SUMPRODUCT((($I26+COLUMN($N$3:$DU$3)-COLUMN($N$3))&gt;='KALENDER MINGGU'!$B$7)*(($I26+COLUMN($N$3:$DU$3)-COLUMN($N$3))&lt;='KALENDER MINGGU'!$C$7)*(N26:DU26))/F26*H26</f>
        <v>0</v>
      </c>
      <c r="DX26" s="210">
        <f>SUMPRODUCT((($I26+COLUMN($N$3:$DU$3)-COLUMN($N$3))&gt;='KALENDER MINGGU'!$B$8)*(($I26+COLUMN($N$3:$DU$3)-COLUMN($N$3))&lt;='KALENDER MINGGU'!$C$8)*(N26:DU26))/F26*H26</f>
        <v>0</v>
      </c>
      <c r="DY26" s="210">
        <f>SUMPRODUCT((($I26+COLUMN($N$3:$DU$3)-COLUMN($N$3))&gt;='KALENDER MINGGU'!$B$9)*(($I26+COLUMN($N$3:$DU$3)-COLUMN($N$3))&lt;='KALENDER MINGGU'!$C$9)*(N26:DU26))/F26*H26</f>
        <v>0</v>
      </c>
      <c r="DZ26" s="210">
        <f>SUMPRODUCT((($I26+COLUMN($N$3:$DU$3)-COLUMN($N$3))&gt;='KALENDER MINGGU'!$B$10)*(($I26+COLUMN($N$3:$DU$3)-COLUMN($N$3))&lt;='KALENDER MINGGU'!$C$10)*(N26:DU26))/F26*H26</f>
        <v>0</v>
      </c>
      <c r="EA26" s="210">
        <f>SUMPRODUCT((($I26+COLUMN($N$3:$DU$3)-COLUMN($N$3))&gt;='KALENDER MINGGU'!$B$11)*(($I26+COLUMN($N$3:$DU$3)-COLUMN($N$3))&lt;='KALENDER MINGGU'!$C$11)*(N26:DU26))/F26*H26</f>
        <v>0</v>
      </c>
      <c r="EB26" s="210">
        <f>SUMPRODUCT((($I26+COLUMN($N$3:$DU$3)-COLUMN($N$3))&gt;='KALENDER MINGGU'!$B$12)*(($I26+COLUMN($N$3:$DU$3)-COLUMN($N$3))&lt;='KALENDER MINGGU'!$C$12)*(N26:DU26))/F26*H26</f>
        <v>0</v>
      </c>
      <c r="EC26" s="210">
        <f>SUMPRODUCT((($I26+COLUMN($N$3:$DU$3)-COLUMN($N$3))&gt;='KALENDER MINGGU'!$B$13)*(($I26+COLUMN($N$3:$DU$3)-COLUMN($N$3))&lt;='KALENDER MINGGU'!$C$13)*(N26:DU26))/F26*H26</f>
        <v>0</v>
      </c>
      <c r="ED26" s="210">
        <f>SUMPRODUCT((($I26+COLUMN($N$3:$DU$3)-COLUMN($N$3))&gt;='KALENDER MINGGU'!$B$14)*(($I26+COLUMN($N$3:$DU$3)-COLUMN($N$3))&lt;='KALENDER MINGGU'!$C$14)*(N26:DU26))/F26*H26</f>
        <v>0</v>
      </c>
      <c r="EE26" s="210">
        <f>SUMPRODUCT((($I26+COLUMN($N$3:$DU$3)-COLUMN($N$3))&gt;='KALENDER MINGGU'!$B$15)*(($I26+COLUMN($N$3:$DU$3)-COLUMN($N$3))&lt;='KALENDER MINGGU'!$C$15)*(N26:DU26))/F26*H26</f>
        <v>0</v>
      </c>
      <c r="EF26" s="210">
        <f>SUMPRODUCT((($I26+COLUMN($N$3:$DU$3)-COLUMN($N$3))&gt;='KALENDER MINGGU'!$B$16)*(($I26+COLUMN($N$3:$DU$3)-COLUMN($N$3))&lt;='KALENDER MINGGU'!$C$16)*(N26:DU26))/F26*H26</f>
        <v>0</v>
      </c>
      <c r="EG26" s="210">
        <f>SUMPRODUCT((($I26+COLUMN($N$3:$DU$3)-COLUMN($N$3))&gt;='KALENDER MINGGU'!$B$17)*(($I26+COLUMN($N$3:$DU$3)-COLUMN($N$3))&lt;='KALENDER MINGGU'!$C$17)*(N26:DU26))/F26*H26</f>
        <v>0</v>
      </c>
      <c r="EH26" s="210">
        <f>SUMPRODUCT((($I26+COLUMN($N$3:$DU$3)-COLUMN($N$3))&gt;='KALENDER MINGGU'!$B$18)*(($I26+COLUMN($N$3:$DU$3)-COLUMN($N$3))&lt;='KALENDER MINGGU'!$C$18)*(N26:DU26))/F26*H26</f>
        <v>0</v>
      </c>
      <c r="EI26" s="210">
        <f>SUMPRODUCT((($I26+COLUMN($N$3:$DU$3)-COLUMN($N$3))&gt;='KALENDER MINGGU'!$B$19)*(($I26+COLUMN($N$3:$DU$3)-COLUMN($N$3))&lt;='KALENDER MINGGU'!$C$19)*(N26:DU26))/F26*H26</f>
        <v>0</v>
      </c>
      <c r="EJ26" s="210">
        <f>SUMPRODUCT((($I26+COLUMN($N$3:$DU$3)-COLUMN($N$3))&gt;='KALENDER MINGGU'!$B$20)*(($I26+COLUMN($N$3:$DU$3)-COLUMN($N$3))&lt;='KALENDER MINGGU'!$C$20)*(N26:DU26))/F26*H26</f>
        <v>0</v>
      </c>
      <c r="EK26" s="210">
        <f>SUMPRODUCT((($I26+COLUMN($N$3:$DU$3)-COLUMN($N$3))&gt;='KALENDER MINGGU'!$B$21)*(($I26+COLUMN($N$3:$DU$3)-COLUMN($N$3))&lt;='KALENDER MINGGU'!$C$21)*(N26:DU26))/F26*H26</f>
        <v>0</v>
      </c>
    </row>
    <row r="27" spans="1:141" ht="15" customHeight="1" x14ac:dyDescent="0.2">
      <c r="A27" s="208">
        <v>24</v>
      </c>
      <c r="B27" s="208">
        <v>36</v>
      </c>
      <c r="C27" s="208" t="str">
        <f>IF(B27&lt;160,'BOBOT PEK'!$B$4,IF(B27&lt;207,'BOBOT PEK'!$B$160,'BOBOT PEK'!$B$207))</f>
        <v>Pekerjaan Gudang Umum</v>
      </c>
      <c r="D27" s="208" t="s">
        <v>80</v>
      </c>
      <c r="E27" s="208" t="str">
        <f>'BOBOT PEK'!C36</f>
        <v>Pemadatan dan peninggian lantai parkir</v>
      </c>
      <c r="F27" s="209">
        <f>IF(OR('BOBOT PEK'!E36="",'BOBOT PEK'!E36=0),1,'BOBOT PEK'!E36)</f>
        <v>185</v>
      </c>
      <c r="G27" s="208" t="str">
        <f>IF('BOBOT PEK'!F36="","ls",'BOBOT PEK'!F36)</f>
        <v>m²</v>
      </c>
      <c r="H27" s="210">
        <f>'BOBOT PEK'!J36</f>
        <v>0.70994895972514405</v>
      </c>
      <c r="I27" s="211">
        <f>'KALENDER MINGGU'!$B$3</f>
        <v>46226</v>
      </c>
      <c r="J27" s="209">
        <f t="shared" si="0"/>
        <v>0</v>
      </c>
      <c r="K27" s="209">
        <f t="shared" si="1"/>
        <v>185</v>
      </c>
      <c r="L27" s="212">
        <f t="shared" si="2"/>
        <v>0</v>
      </c>
      <c r="M27" s="208" t="str">
        <f t="shared" si="3"/>
        <v>OK</v>
      </c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  <c r="BC27" s="213"/>
      <c r="BD27" s="213"/>
      <c r="BE27" s="213"/>
      <c r="BF27" s="213"/>
      <c r="BG27" s="213"/>
      <c r="BH27" s="213"/>
      <c r="BI27" s="213"/>
      <c r="BJ27" s="213"/>
      <c r="BK27" s="213"/>
      <c r="BL27" s="213"/>
      <c r="BM27" s="213"/>
      <c r="BN27" s="213"/>
      <c r="BO27" s="213"/>
      <c r="BP27" s="213"/>
      <c r="BQ27" s="213"/>
      <c r="BR27" s="213"/>
      <c r="BS27" s="213"/>
      <c r="BT27" s="213"/>
      <c r="BU27" s="213"/>
      <c r="BV27" s="213"/>
      <c r="BW27" s="213"/>
      <c r="BX27" s="213"/>
      <c r="BY27" s="213"/>
      <c r="BZ27" s="213"/>
      <c r="CA27" s="213"/>
      <c r="CB27" s="213"/>
      <c r="CC27" s="213"/>
      <c r="CD27" s="213"/>
      <c r="CE27" s="213"/>
      <c r="CF27" s="213"/>
      <c r="CG27" s="213"/>
      <c r="CH27" s="213"/>
      <c r="CI27" s="213"/>
      <c r="CJ27" s="213"/>
      <c r="CK27" s="213"/>
      <c r="CL27" s="213"/>
      <c r="CM27" s="213"/>
      <c r="CN27" s="213"/>
      <c r="CO27" s="213"/>
      <c r="CP27" s="213"/>
      <c r="CQ27" s="213"/>
      <c r="CR27" s="213"/>
      <c r="CS27" s="213"/>
      <c r="CT27" s="213"/>
      <c r="CU27" s="213"/>
      <c r="CV27" s="213"/>
      <c r="CW27" s="213"/>
      <c r="CX27" s="213"/>
      <c r="CY27" s="213"/>
      <c r="CZ27" s="213"/>
      <c r="DA27" s="213"/>
      <c r="DB27" s="213"/>
      <c r="DC27" s="213"/>
      <c r="DD27" s="213"/>
      <c r="DE27" s="213"/>
      <c r="DF27" s="213"/>
      <c r="DG27" s="213"/>
      <c r="DH27" s="213"/>
      <c r="DI27" s="213"/>
      <c r="DJ27" s="213"/>
      <c r="DK27" s="213"/>
      <c r="DL27" s="213"/>
      <c r="DM27" s="213"/>
      <c r="DN27" s="213"/>
      <c r="DO27" s="213"/>
      <c r="DP27" s="213"/>
      <c r="DQ27" s="213"/>
      <c r="DR27" s="213"/>
      <c r="DS27" s="213"/>
      <c r="DT27" s="213"/>
      <c r="DU27" s="213"/>
      <c r="DV27" s="210">
        <f>SUMPRODUCT((($I27+COLUMN($N$3:$DU$3)-COLUMN($N$3))&gt;='KALENDER MINGGU'!$B$6)*(($I27+COLUMN($N$3:$DU$3)-COLUMN($N$3))&lt;='KALENDER MINGGU'!$C$6)*(N27:DU27))/F27*H27</f>
        <v>0</v>
      </c>
      <c r="DW27" s="210">
        <f>SUMPRODUCT((($I27+COLUMN($N$3:$DU$3)-COLUMN($N$3))&gt;='KALENDER MINGGU'!$B$7)*(($I27+COLUMN($N$3:$DU$3)-COLUMN($N$3))&lt;='KALENDER MINGGU'!$C$7)*(N27:DU27))/F27*H27</f>
        <v>0</v>
      </c>
      <c r="DX27" s="210">
        <f>SUMPRODUCT((($I27+COLUMN($N$3:$DU$3)-COLUMN($N$3))&gt;='KALENDER MINGGU'!$B$8)*(($I27+COLUMN($N$3:$DU$3)-COLUMN($N$3))&lt;='KALENDER MINGGU'!$C$8)*(N27:DU27))/F27*H27</f>
        <v>0</v>
      </c>
      <c r="DY27" s="210">
        <f>SUMPRODUCT((($I27+COLUMN($N$3:$DU$3)-COLUMN($N$3))&gt;='KALENDER MINGGU'!$B$9)*(($I27+COLUMN($N$3:$DU$3)-COLUMN($N$3))&lt;='KALENDER MINGGU'!$C$9)*(N27:DU27))/F27*H27</f>
        <v>0</v>
      </c>
      <c r="DZ27" s="210">
        <f>SUMPRODUCT((($I27+COLUMN($N$3:$DU$3)-COLUMN($N$3))&gt;='KALENDER MINGGU'!$B$10)*(($I27+COLUMN($N$3:$DU$3)-COLUMN($N$3))&lt;='KALENDER MINGGU'!$C$10)*(N27:DU27))/F27*H27</f>
        <v>0</v>
      </c>
      <c r="EA27" s="210">
        <f>SUMPRODUCT((($I27+COLUMN($N$3:$DU$3)-COLUMN($N$3))&gt;='KALENDER MINGGU'!$B$11)*(($I27+COLUMN($N$3:$DU$3)-COLUMN($N$3))&lt;='KALENDER MINGGU'!$C$11)*(N27:DU27))/F27*H27</f>
        <v>0</v>
      </c>
      <c r="EB27" s="210">
        <f>SUMPRODUCT((($I27+COLUMN($N$3:$DU$3)-COLUMN($N$3))&gt;='KALENDER MINGGU'!$B$12)*(($I27+COLUMN($N$3:$DU$3)-COLUMN($N$3))&lt;='KALENDER MINGGU'!$C$12)*(N27:DU27))/F27*H27</f>
        <v>0</v>
      </c>
      <c r="EC27" s="210">
        <f>SUMPRODUCT((($I27+COLUMN($N$3:$DU$3)-COLUMN($N$3))&gt;='KALENDER MINGGU'!$B$13)*(($I27+COLUMN($N$3:$DU$3)-COLUMN($N$3))&lt;='KALENDER MINGGU'!$C$13)*(N27:DU27))/F27*H27</f>
        <v>0</v>
      </c>
      <c r="ED27" s="210">
        <f>SUMPRODUCT((($I27+COLUMN($N$3:$DU$3)-COLUMN($N$3))&gt;='KALENDER MINGGU'!$B$14)*(($I27+COLUMN($N$3:$DU$3)-COLUMN($N$3))&lt;='KALENDER MINGGU'!$C$14)*(N27:DU27))/F27*H27</f>
        <v>0</v>
      </c>
      <c r="EE27" s="210">
        <f>SUMPRODUCT((($I27+COLUMN($N$3:$DU$3)-COLUMN($N$3))&gt;='KALENDER MINGGU'!$B$15)*(($I27+COLUMN($N$3:$DU$3)-COLUMN($N$3))&lt;='KALENDER MINGGU'!$C$15)*(N27:DU27))/F27*H27</f>
        <v>0</v>
      </c>
      <c r="EF27" s="210">
        <f>SUMPRODUCT((($I27+COLUMN($N$3:$DU$3)-COLUMN($N$3))&gt;='KALENDER MINGGU'!$B$16)*(($I27+COLUMN($N$3:$DU$3)-COLUMN($N$3))&lt;='KALENDER MINGGU'!$C$16)*(N27:DU27))/F27*H27</f>
        <v>0</v>
      </c>
      <c r="EG27" s="210">
        <f>SUMPRODUCT((($I27+COLUMN($N$3:$DU$3)-COLUMN($N$3))&gt;='KALENDER MINGGU'!$B$17)*(($I27+COLUMN($N$3:$DU$3)-COLUMN($N$3))&lt;='KALENDER MINGGU'!$C$17)*(N27:DU27))/F27*H27</f>
        <v>0</v>
      </c>
      <c r="EH27" s="210">
        <f>SUMPRODUCT((($I27+COLUMN($N$3:$DU$3)-COLUMN($N$3))&gt;='KALENDER MINGGU'!$B$18)*(($I27+COLUMN($N$3:$DU$3)-COLUMN($N$3))&lt;='KALENDER MINGGU'!$C$18)*(N27:DU27))/F27*H27</f>
        <v>0</v>
      </c>
      <c r="EI27" s="210">
        <f>SUMPRODUCT((($I27+COLUMN($N$3:$DU$3)-COLUMN($N$3))&gt;='KALENDER MINGGU'!$B$19)*(($I27+COLUMN($N$3:$DU$3)-COLUMN($N$3))&lt;='KALENDER MINGGU'!$C$19)*(N27:DU27))/F27*H27</f>
        <v>0</v>
      </c>
      <c r="EJ27" s="210">
        <f>SUMPRODUCT((($I27+COLUMN($N$3:$DU$3)-COLUMN($N$3))&gt;='KALENDER MINGGU'!$B$20)*(($I27+COLUMN($N$3:$DU$3)-COLUMN($N$3))&lt;='KALENDER MINGGU'!$C$20)*(N27:DU27))/F27*H27</f>
        <v>0</v>
      </c>
      <c r="EK27" s="210">
        <f>SUMPRODUCT((($I27+COLUMN($N$3:$DU$3)-COLUMN($N$3))&gt;='KALENDER MINGGU'!$B$21)*(($I27+COLUMN($N$3:$DU$3)-COLUMN($N$3))&lt;='KALENDER MINGGU'!$C$21)*(N27:DU27))/F27*H27</f>
        <v>0</v>
      </c>
    </row>
    <row r="28" spans="1:141" ht="15" customHeight="1" x14ac:dyDescent="0.2">
      <c r="A28" s="208">
        <v>25</v>
      </c>
      <c r="B28" s="208">
        <v>37</v>
      </c>
      <c r="C28" s="208" t="str">
        <f>IF(B28&lt;160,'BOBOT PEK'!$B$4,IF(B28&lt;207,'BOBOT PEK'!$B$160,'BOBOT PEK'!$B$207))</f>
        <v>Pekerjaan Gudang Umum</v>
      </c>
      <c r="D28" s="208" t="s">
        <v>80</v>
      </c>
      <c r="E28" s="208" t="str">
        <f>'BOBOT PEK'!C37</f>
        <v>Pasang paving block lantai parkir</v>
      </c>
      <c r="F28" s="209">
        <f>IF(OR('BOBOT PEK'!E37="",'BOBOT PEK'!E37=0),1,'BOBOT PEK'!E37)</f>
        <v>93</v>
      </c>
      <c r="G28" s="208" t="str">
        <f>IF('BOBOT PEK'!F37="","ls",'BOBOT PEK'!F37)</f>
        <v>m²</v>
      </c>
      <c r="H28" s="210">
        <f>'BOBOT PEK'!J37</f>
        <v>0.44016835502958929</v>
      </c>
      <c r="I28" s="211">
        <f>'KALENDER MINGGU'!$B$3</f>
        <v>46226</v>
      </c>
      <c r="J28" s="209">
        <f t="shared" si="0"/>
        <v>0</v>
      </c>
      <c r="K28" s="209">
        <f t="shared" si="1"/>
        <v>93</v>
      </c>
      <c r="L28" s="212">
        <f t="shared" si="2"/>
        <v>0</v>
      </c>
      <c r="M28" s="208" t="str">
        <f t="shared" si="3"/>
        <v>OK</v>
      </c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  <c r="BC28" s="213"/>
      <c r="BD28" s="213"/>
      <c r="BE28" s="213"/>
      <c r="BF28" s="213"/>
      <c r="BG28" s="213"/>
      <c r="BH28" s="213"/>
      <c r="BI28" s="213"/>
      <c r="BJ28" s="213"/>
      <c r="BK28" s="213"/>
      <c r="BL28" s="213"/>
      <c r="BM28" s="213"/>
      <c r="BN28" s="213"/>
      <c r="BO28" s="213"/>
      <c r="BP28" s="213"/>
      <c r="BQ28" s="213"/>
      <c r="BR28" s="213"/>
      <c r="BS28" s="213"/>
      <c r="BT28" s="213"/>
      <c r="BU28" s="213"/>
      <c r="BV28" s="213"/>
      <c r="BW28" s="213"/>
      <c r="BX28" s="213"/>
      <c r="BY28" s="213"/>
      <c r="BZ28" s="213"/>
      <c r="CA28" s="213"/>
      <c r="CB28" s="213"/>
      <c r="CC28" s="213"/>
      <c r="CD28" s="213"/>
      <c r="CE28" s="213"/>
      <c r="CF28" s="213"/>
      <c r="CG28" s="213"/>
      <c r="CH28" s="213"/>
      <c r="CI28" s="213"/>
      <c r="CJ28" s="213"/>
      <c r="CK28" s="213"/>
      <c r="CL28" s="213"/>
      <c r="CM28" s="213"/>
      <c r="CN28" s="213"/>
      <c r="CO28" s="213"/>
      <c r="CP28" s="213"/>
      <c r="CQ28" s="213"/>
      <c r="CR28" s="213"/>
      <c r="CS28" s="213"/>
      <c r="CT28" s="213"/>
      <c r="CU28" s="213"/>
      <c r="CV28" s="213"/>
      <c r="CW28" s="213"/>
      <c r="CX28" s="213"/>
      <c r="CY28" s="213"/>
      <c r="CZ28" s="213"/>
      <c r="DA28" s="213"/>
      <c r="DB28" s="213"/>
      <c r="DC28" s="213"/>
      <c r="DD28" s="213"/>
      <c r="DE28" s="213"/>
      <c r="DF28" s="213"/>
      <c r="DG28" s="213"/>
      <c r="DH28" s="213"/>
      <c r="DI28" s="213"/>
      <c r="DJ28" s="213"/>
      <c r="DK28" s="213"/>
      <c r="DL28" s="213"/>
      <c r="DM28" s="213"/>
      <c r="DN28" s="213"/>
      <c r="DO28" s="213"/>
      <c r="DP28" s="213"/>
      <c r="DQ28" s="213"/>
      <c r="DR28" s="213"/>
      <c r="DS28" s="213"/>
      <c r="DT28" s="213"/>
      <c r="DU28" s="213"/>
      <c r="DV28" s="210">
        <f>SUMPRODUCT((($I28+COLUMN($N$3:$DU$3)-COLUMN($N$3))&gt;='KALENDER MINGGU'!$B$6)*(($I28+COLUMN($N$3:$DU$3)-COLUMN($N$3))&lt;='KALENDER MINGGU'!$C$6)*(N28:DU28))/F28*H28</f>
        <v>0</v>
      </c>
      <c r="DW28" s="210">
        <f>SUMPRODUCT((($I28+COLUMN($N$3:$DU$3)-COLUMN($N$3))&gt;='KALENDER MINGGU'!$B$7)*(($I28+COLUMN($N$3:$DU$3)-COLUMN($N$3))&lt;='KALENDER MINGGU'!$C$7)*(N28:DU28))/F28*H28</f>
        <v>0</v>
      </c>
      <c r="DX28" s="210">
        <f>SUMPRODUCT((($I28+COLUMN($N$3:$DU$3)-COLUMN($N$3))&gt;='KALENDER MINGGU'!$B$8)*(($I28+COLUMN($N$3:$DU$3)-COLUMN($N$3))&lt;='KALENDER MINGGU'!$C$8)*(N28:DU28))/F28*H28</f>
        <v>0</v>
      </c>
      <c r="DY28" s="210">
        <f>SUMPRODUCT((($I28+COLUMN($N$3:$DU$3)-COLUMN($N$3))&gt;='KALENDER MINGGU'!$B$9)*(($I28+COLUMN($N$3:$DU$3)-COLUMN($N$3))&lt;='KALENDER MINGGU'!$C$9)*(N28:DU28))/F28*H28</f>
        <v>0</v>
      </c>
      <c r="DZ28" s="210">
        <f>SUMPRODUCT((($I28+COLUMN($N$3:$DU$3)-COLUMN($N$3))&gt;='KALENDER MINGGU'!$B$10)*(($I28+COLUMN($N$3:$DU$3)-COLUMN($N$3))&lt;='KALENDER MINGGU'!$C$10)*(N28:DU28))/F28*H28</f>
        <v>0</v>
      </c>
      <c r="EA28" s="210">
        <f>SUMPRODUCT((($I28+COLUMN($N$3:$DU$3)-COLUMN($N$3))&gt;='KALENDER MINGGU'!$B$11)*(($I28+COLUMN($N$3:$DU$3)-COLUMN($N$3))&lt;='KALENDER MINGGU'!$C$11)*(N28:DU28))/F28*H28</f>
        <v>0</v>
      </c>
      <c r="EB28" s="210">
        <f>SUMPRODUCT((($I28+COLUMN($N$3:$DU$3)-COLUMN($N$3))&gt;='KALENDER MINGGU'!$B$12)*(($I28+COLUMN($N$3:$DU$3)-COLUMN($N$3))&lt;='KALENDER MINGGU'!$C$12)*(N28:DU28))/F28*H28</f>
        <v>0</v>
      </c>
      <c r="EC28" s="210">
        <f>SUMPRODUCT((($I28+COLUMN($N$3:$DU$3)-COLUMN($N$3))&gt;='KALENDER MINGGU'!$B$13)*(($I28+COLUMN($N$3:$DU$3)-COLUMN($N$3))&lt;='KALENDER MINGGU'!$C$13)*(N28:DU28))/F28*H28</f>
        <v>0</v>
      </c>
      <c r="ED28" s="210">
        <f>SUMPRODUCT((($I28+COLUMN($N$3:$DU$3)-COLUMN($N$3))&gt;='KALENDER MINGGU'!$B$14)*(($I28+COLUMN($N$3:$DU$3)-COLUMN($N$3))&lt;='KALENDER MINGGU'!$C$14)*(N28:DU28))/F28*H28</f>
        <v>0</v>
      </c>
      <c r="EE28" s="210">
        <f>SUMPRODUCT((($I28+COLUMN($N$3:$DU$3)-COLUMN($N$3))&gt;='KALENDER MINGGU'!$B$15)*(($I28+COLUMN($N$3:$DU$3)-COLUMN($N$3))&lt;='KALENDER MINGGU'!$C$15)*(N28:DU28))/F28*H28</f>
        <v>0</v>
      </c>
      <c r="EF28" s="210">
        <f>SUMPRODUCT((($I28+COLUMN($N$3:$DU$3)-COLUMN($N$3))&gt;='KALENDER MINGGU'!$B$16)*(($I28+COLUMN($N$3:$DU$3)-COLUMN($N$3))&lt;='KALENDER MINGGU'!$C$16)*(N28:DU28))/F28*H28</f>
        <v>0</v>
      </c>
      <c r="EG28" s="210">
        <f>SUMPRODUCT((($I28+COLUMN($N$3:$DU$3)-COLUMN($N$3))&gt;='KALENDER MINGGU'!$B$17)*(($I28+COLUMN($N$3:$DU$3)-COLUMN($N$3))&lt;='KALENDER MINGGU'!$C$17)*(N28:DU28))/F28*H28</f>
        <v>0</v>
      </c>
      <c r="EH28" s="210">
        <f>SUMPRODUCT((($I28+COLUMN($N$3:$DU$3)-COLUMN($N$3))&gt;='KALENDER MINGGU'!$B$18)*(($I28+COLUMN($N$3:$DU$3)-COLUMN($N$3))&lt;='KALENDER MINGGU'!$C$18)*(N28:DU28))/F28*H28</f>
        <v>0</v>
      </c>
      <c r="EI28" s="210">
        <f>SUMPRODUCT((($I28+COLUMN($N$3:$DU$3)-COLUMN($N$3))&gt;='KALENDER MINGGU'!$B$19)*(($I28+COLUMN($N$3:$DU$3)-COLUMN($N$3))&lt;='KALENDER MINGGU'!$C$19)*(N28:DU28))/F28*H28</f>
        <v>0</v>
      </c>
      <c r="EJ28" s="210">
        <f>SUMPRODUCT((($I28+COLUMN($N$3:$DU$3)-COLUMN($N$3))&gt;='KALENDER MINGGU'!$B$20)*(($I28+COLUMN($N$3:$DU$3)-COLUMN($N$3))&lt;='KALENDER MINGGU'!$C$20)*(N28:DU28))/F28*H28</f>
        <v>0</v>
      </c>
      <c r="EK28" s="210">
        <f>SUMPRODUCT((($I28+COLUMN($N$3:$DU$3)-COLUMN($N$3))&gt;='KALENDER MINGGU'!$B$21)*(($I28+COLUMN($N$3:$DU$3)-COLUMN($N$3))&lt;='KALENDER MINGGU'!$C$21)*(N28:DU28))/F28*H28</f>
        <v>0</v>
      </c>
    </row>
    <row r="29" spans="1:141" ht="15" customHeight="1" x14ac:dyDescent="0.2">
      <c r="A29" s="208">
        <v>26</v>
      </c>
      <c r="B29" s="208">
        <v>38</v>
      </c>
      <c r="C29" s="208" t="str">
        <f>IF(B29&lt;160,'BOBOT PEK'!$B$4,IF(B29&lt;207,'BOBOT PEK'!$B$160,'BOBOT PEK'!$B$207))</f>
        <v>Pekerjaan Gudang Umum</v>
      </c>
      <c r="D29" s="208" t="s">
        <v>80</v>
      </c>
      <c r="E29" s="208" t="str">
        <f>'BOBOT PEK'!C38</f>
        <v>Instalasi penerangan + downlight exposed + bohlam 12 w</v>
      </c>
      <c r="F29" s="209">
        <f>IF(OR('BOBOT PEK'!E38="",'BOBOT PEK'!E38=0),1,'BOBOT PEK'!E38)</f>
        <v>10</v>
      </c>
      <c r="G29" s="208" t="str">
        <f>IF('BOBOT PEK'!F38="","ls",'BOBOT PEK'!F38)</f>
        <v>unit</v>
      </c>
      <c r="H29" s="210">
        <f>'BOBOT PEK'!J38</f>
        <v>9.3124836518901771E-2</v>
      </c>
      <c r="I29" s="211">
        <f>'KALENDER MINGGU'!$B$3</f>
        <v>46226</v>
      </c>
      <c r="J29" s="209">
        <f t="shared" si="0"/>
        <v>0</v>
      </c>
      <c r="K29" s="209">
        <f t="shared" si="1"/>
        <v>10</v>
      </c>
      <c r="L29" s="212">
        <f t="shared" si="2"/>
        <v>0</v>
      </c>
      <c r="M29" s="208" t="str">
        <f t="shared" si="3"/>
        <v>OK</v>
      </c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  <c r="BC29" s="213"/>
      <c r="BD29" s="213"/>
      <c r="BE29" s="213"/>
      <c r="BF29" s="213"/>
      <c r="BG29" s="213"/>
      <c r="BH29" s="213"/>
      <c r="BI29" s="213"/>
      <c r="BJ29" s="213"/>
      <c r="BK29" s="213"/>
      <c r="BL29" s="213"/>
      <c r="BM29" s="213"/>
      <c r="BN29" s="213"/>
      <c r="BO29" s="213"/>
      <c r="BP29" s="213"/>
      <c r="BQ29" s="213"/>
      <c r="BR29" s="213"/>
      <c r="BS29" s="213"/>
      <c r="BT29" s="213"/>
      <c r="BU29" s="213"/>
      <c r="BV29" s="213"/>
      <c r="BW29" s="213"/>
      <c r="BX29" s="213"/>
      <c r="BY29" s="213"/>
      <c r="BZ29" s="213"/>
      <c r="CA29" s="213"/>
      <c r="CB29" s="213"/>
      <c r="CC29" s="213"/>
      <c r="CD29" s="213"/>
      <c r="CE29" s="213"/>
      <c r="CF29" s="213"/>
      <c r="CG29" s="213"/>
      <c r="CH29" s="213"/>
      <c r="CI29" s="213"/>
      <c r="CJ29" s="213"/>
      <c r="CK29" s="213"/>
      <c r="CL29" s="213"/>
      <c r="CM29" s="213"/>
      <c r="CN29" s="213"/>
      <c r="CO29" s="213"/>
      <c r="CP29" s="213"/>
      <c r="CQ29" s="213"/>
      <c r="CR29" s="213"/>
      <c r="CS29" s="213"/>
      <c r="CT29" s="213"/>
      <c r="CU29" s="213"/>
      <c r="CV29" s="213"/>
      <c r="CW29" s="213"/>
      <c r="CX29" s="213"/>
      <c r="CY29" s="213"/>
      <c r="CZ29" s="213"/>
      <c r="DA29" s="213"/>
      <c r="DB29" s="213"/>
      <c r="DC29" s="213"/>
      <c r="DD29" s="213"/>
      <c r="DE29" s="213"/>
      <c r="DF29" s="213"/>
      <c r="DG29" s="213"/>
      <c r="DH29" s="213"/>
      <c r="DI29" s="213"/>
      <c r="DJ29" s="213"/>
      <c r="DK29" s="213"/>
      <c r="DL29" s="213"/>
      <c r="DM29" s="213"/>
      <c r="DN29" s="213"/>
      <c r="DO29" s="213"/>
      <c r="DP29" s="213"/>
      <c r="DQ29" s="213"/>
      <c r="DR29" s="213"/>
      <c r="DS29" s="213"/>
      <c r="DT29" s="213"/>
      <c r="DU29" s="213"/>
      <c r="DV29" s="210">
        <f>SUMPRODUCT((($I29+COLUMN($N$3:$DU$3)-COLUMN($N$3))&gt;='KALENDER MINGGU'!$B$6)*(($I29+COLUMN($N$3:$DU$3)-COLUMN($N$3))&lt;='KALENDER MINGGU'!$C$6)*(N29:DU29))/F29*H29</f>
        <v>0</v>
      </c>
      <c r="DW29" s="210">
        <f>SUMPRODUCT((($I29+COLUMN($N$3:$DU$3)-COLUMN($N$3))&gt;='KALENDER MINGGU'!$B$7)*(($I29+COLUMN($N$3:$DU$3)-COLUMN($N$3))&lt;='KALENDER MINGGU'!$C$7)*(N29:DU29))/F29*H29</f>
        <v>0</v>
      </c>
      <c r="DX29" s="210">
        <f>SUMPRODUCT((($I29+COLUMN($N$3:$DU$3)-COLUMN($N$3))&gt;='KALENDER MINGGU'!$B$8)*(($I29+COLUMN($N$3:$DU$3)-COLUMN($N$3))&lt;='KALENDER MINGGU'!$C$8)*(N29:DU29))/F29*H29</f>
        <v>0</v>
      </c>
      <c r="DY29" s="210">
        <f>SUMPRODUCT((($I29+COLUMN($N$3:$DU$3)-COLUMN($N$3))&gt;='KALENDER MINGGU'!$B$9)*(($I29+COLUMN($N$3:$DU$3)-COLUMN($N$3))&lt;='KALENDER MINGGU'!$C$9)*(N29:DU29))/F29*H29</f>
        <v>0</v>
      </c>
      <c r="DZ29" s="210">
        <f>SUMPRODUCT((($I29+COLUMN($N$3:$DU$3)-COLUMN($N$3))&gt;='KALENDER MINGGU'!$B$10)*(($I29+COLUMN($N$3:$DU$3)-COLUMN($N$3))&lt;='KALENDER MINGGU'!$C$10)*(N29:DU29))/F29*H29</f>
        <v>0</v>
      </c>
      <c r="EA29" s="210">
        <f>SUMPRODUCT((($I29+COLUMN($N$3:$DU$3)-COLUMN($N$3))&gt;='KALENDER MINGGU'!$B$11)*(($I29+COLUMN($N$3:$DU$3)-COLUMN($N$3))&lt;='KALENDER MINGGU'!$C$11)*(N29:DU29))/F29*H29</f>
        <v>0</v>
      </c>
      <c r="EB29" s="210">
        <f>SUMPRODUCT((($I29+COLUMN($N$3:$DU$3)-COLUMN($N$3))&gt;='KALENDER MINGGU'!$B$12)*(($I29+COLUMN($N$3:$DU$3)-COLUMN($N$3))&lt;='KALENDER MINGGU'!$C$12)*(N29:DU29))/F29*H29</f>
        <v>0</v>
      </c>
      <c r="EC29" s="210">
        <f>SUMPRODUCT((($I29+COLUMN($N$3:$DU$3)-COLUMN($N$3))&gt;='KALENDER MINGGU'!$B$13)*(($I29+COLUMN($N$3:$DU$3)-COLUMN($N$3))&lt;='KALENDER MINGGU'!$C$13)*(N29:DU29))/F29*H29</f>
        <v>0</v>
      </c>
      <c r="ED29" s="210">
        <f>SUMPRODUCT((($I29+COLUMN($N$3:$DU$3)-COLUMN($N$3))&gt;='KALENDER MINGGU'!$B$14)*(($I29+COLUMN($N$3:$DU$3)-COLUMN($N$3))&lt;='KALENDER MINGGU'!$C$14)*(N29:DU29))/F29*H29</f>
        <v>0</v>
      </c>
      <c r="EE29" s="210">
        <f>SUMPRODUCT((($I29+COLUMN($N$3:$DU$3)-COLUMN($N$3))&gt;='KALENDER MINGGU'!$B$15)*(($I29+COLUMN($N$3:$DU$3)-COLUMN($N$3))&lt;='KALENDER MINGGU'!$C$15)*(N29:DU29))/F29*H29</f>
        <v>0</v>
      </c>
      <c r="EF29" s="210">
        <f>SUMPRODUCT((($I29+COLUMN($N$3:$DU$3)-COLUMN($N$3))&gt;='KALENDER MINGGU'!$B$16)*(($I29+COLUMN($N$3:$DU$3)-COLUMN($N$3))&lt;='KALENDER MINGGU'!$C$16)*(N29:DU29))/F29*H29</f>
        <v>0</v>
      </c>
      <c r="EG29" s="210">
        <f>SUMPRODUCT((($I29+COLUMN($N$3:$DU$3)-COLUMN($N$3))&gt;='KALENDER MINGGU'!$B$17)*(($I29+COLUMN($N$3:$DU$3)-COLUMN($N$3))&lt;='KALENDER MINGGU'!$C$17)*(N29:DU29))/F29*H29</f>
        <v>0</v>
      </c>
      <c r="EH29" s="210">
        <f>SUMPRODUCT((($I29+COLUMN($N$3:$DU$3)-COLUMN($N$3))&gt;='KALENDER MINGGU'!$B$18)*(($I29+COLUMN($N$3:$DU$3)-COLUMN($N$3))&lt;='KALENDER MINGGU'!$C$18)*(N29:DU29))/F29*H29</f>
        <v>0</v>
      </c>
      <c r="EI29" s="210">
        <f>SUMPRODUCT((($I29+COLUMN($N$3:$DU$3)-COLUMN($N$3))&gt;='KALENDER MINGGU'!$B$19)*(($I29+COLUMN($N$3:$DU$3)-COLUMN($N$3))&lt;='KALENDER MINGGU'!$C$19)*(N29:DU29))/F29*H29</f>
        <v>0</v>
      </c>
      <c r="EJ29" s="210">
        <f>SUMPRODUCT((($I29+COLUMN($N$3:$DU$3)-COLUMN($N$3))&gt;='KALENDER MINGGU'!$B$20)*(($I29+COLUMN($N$3:$DU$3)-COLUMN($N$3))&lt;='KALENDER MINGGU'!$C$20)*(N29:DU29))/F29*H29</f>
        <v>0</v>
      </c>
      <c r="EK29" s="210">
        <f>SUMPRODUCT((($I29+COLUMN($N$3:$DU$3)-COLUMN($N$3))&gt;='KALENDER MINGGU'!$B$21)*(($I29+COLUMN($N$3:$DU$3)-COLUMN($N$3))&lt;='KALENDER MINGGU'!$C$21)*(N29:DU29))/F29*H29</f>
        <v>0</v>
      </c>
    </row>
    <row r="30" spans="1:141" ht="15" customHeight="1" x14ac:dyDescent="0.2">
      <c r="A30" s="208">
        <v>27</v>
      </c>
      <c r="B30" s="208">
        <v>39</v>
      </c>
      <c r="C30" s="208" t="str">
        <f>IF(B30&lt;160,'BOBOT PEK'!$B$4,IF(B30&lt;207,'BOBOT PEK'!$B$160,'BOBOT PEK'!$B$207))</f>
        <v>Pekerjaan Gudang Umum</v>
      </c>
      <c r="D30" s="208" t="s">
        <v>80</v>
      </c>
      <c r="E30" s="208" t="str">
        <f>'BOBOT PEK'!C39</f>
        <v>Perapian kabel existing dan dinding existing</v>
      </c>
      <c r="F30" s="209">
        <f>IF(OR('BOBOT PEK'!E39="",'BOBOT PEK'!E39=0),1,'BOBOT PEK'!E39)</f>
        <v>1</v>
      </c>
      <c r="G30" s="208" t="str">
        <f>IF('BOBOT PEK'!F39="","ls",'BOBOT PEK'!F39)</f>
        <v>Is</v>
      </c>
      <c r="H30" s="210">
        <f>'BOBOT PEK'!J39</f>
        <v>0.11512685833380715</v>
      </c>
      <c r="I30" s="211">
        <f>'KALENDER MINGGU'!$B$3</f>
        <v>46226</v>
      </c>
      <c r="J30" s="209">
        <f t="shared" si="0"/>
        <v>0</v>
      </c>
      <c r="K30" s="209">
        <f t="shared" si="1"/>
        <v>1</v>
      </c>
      <c r="L30" s="212">
        <f t="shared" si="2"/>
        <v>0</v>
      </c>
      <c r="M30" s="208" t="str">
        <f t="shared" si="3"/>
        <v>OK</v>
      </c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  <c r="BC30" s="213"/>
      <c r="BD30" s="213"/>
      <c r="BE30" s="213"/>
      <c r="BF30" s="213"/>
      <c r="BG30" s="213"/>
      <c r="BH30" s="213"/>
      <c r="BI30" s="213"/>
      <c r="BJ30" s="213"/>
      <c r="BK30" s="213"/>
      <c r="BL30" s="213"/>
      <c r="BM30" s="213"/>
      <c r="BN30" s="213"/>
      <c r="BO30" s="213"/>
      <c r="BP30" s="213"/>
      <c r="BQ30" s="213"/>
      <c r="BR30" s="213"/>
      <c r="BS30" s="213"/>
      <c r="BT30" s="213"/>
      <c r="BU30" s="213"/>
      <c r="BV30" s="213"/>
      <c r="BW30" s="213"/>
      <c r="BX30" s="213"/>
      <c r="BY30" s="213"/>
      <c r="BZ30" s="213"/>
      <c r="CA30" s="213"/>
      <c r="CB30" s="213"/>
      <c r="CC30" s="213"/>
      <c r="CD30" s="213"/>
      <c r="CE30" s="213"/>
      <c r="CF30" s="213"/>
      <c r="CG30" s="213"/>
      <c r="CH30" s="213"/>
      <c r="CI30" s="213"/>
      <c r="CJ30" s="213"/>
      <c r="CK30" s="213"/>
      <c r="CL30" s="213"/>
      <c r="CM30" s="213"/>
      <c r="CN30" s="213"/>
      <c r="CO30" s="213"/>
      <c r="CP30" s="213"/>
      <c r="CQ30" s="213"/>
      <c r="CR30" s="213"/>
      <c r="CS30" s="213"/>
      <c r="CT30" s="213"/>
      <c r="CU30" s="213"/>
      <c r="CV30" s="213"/>
      <c r="CW30" s="213"/>
      <c r="CX30" s="213"/>
      <c r="CY30" s="213"/>
      <c r="CZ30" s="213"/>
      <c r="DA30" s="213"/>
      <c r="DB30" s="213"/>
      <c r="DC30" s="213"/>
      <c r="DD30" s="213"/>
      <c r="DE30" s="213"/>
      <c r="DF30" s="213"/>
      <c r="DG30" s="213"/>
      <c r="DH30" s="213"/>
      <c r="DI30" s="213"/>
      <c r="DJ30" s="213"/>
      <c r="DK30" s="213"/>
      <c r="DL30" s="213"/>
      <c r="DM30" s="213"/>
      <c r="DN30" s="213"/>
      <c r="DO30" s="213"/>
      <c r="DP30" s="213"/>
      <c r="DQ30" s="213"/>
      <c r="DR30" s="213"/>
      <c r="DS30" s="213"/>
      <c r="DT30" s="213"/>
      <c r="DU30" s="213"/>
      <c r="DV30" s="210">
        <f>SUMPRODUCT((($I30+COLUMN($N$3:$DU$3)-COLUMN($N$3))&gt;='KALENDER MINGGU'!$B$6)*(($I30+COLUMN($N$3:$DU$3)-COLUMN($N$3))&lt;='KALENDER MINGGU'!$C$6)*(N30:DU30))/F30*H30</f>
        <v>0</v>
      </c>
      <c r="DW30" s="210">
        <f>SUMPRODUCT((($I30+COLUMN($N$3:$DU$3)-COLUMN($N$3))&gt;='KALENDER MINGGU'!$B$7)*(($I30+COLUMN($N$3:$DU$3)-COLUMN($N$3))&lt;='KALENDER MINGGU'!$C$7)*(N30:DU30))/F30*H30</f>
        <v>0</v>
      </c>
      <c r="DX30" s="210">
        <f>SUMPRODUCT((($I30+COLUMN($N$3:$DU$3)-COLUMN($N$3))&gt;='KALENDER MINGGU'!$B$8)*(($I30+COLUMN($N$3:$DU$3)-COLUMN($N$3))&lt;='KALENDER MINGGU'!$C$8)*(N30:DU30))/F30*H30</f>
        <v>0</v>
      </c>
      <c r="DY30" s="210">
        <f>SUMPRODUCT((($I30+COLUMN($N$3:$DU$3)-COLUMN($N$3))&gt;='KALENDER MINGGU'!$B$9)*(($I30+COLUMN($N$3:$DU$3)-COLUMN($N$3))&lt;='KALENDER MINGGU'!$C$9)*(N30:DU30))/F30*H30</f>
        <v>0</v>
      </c>
      <c r="DZ30" s="210">
        <f>SUMPRODUCT((($I30+COLUMN($N$3:$DU$3)-COLUMN($N$3))&gt;='KALENDER MINGGU'!$B$10)*(($I30+COLUMN($N$3:$DU$3)-COLUMN($N$3))&lt;='KALENDER MINGGU'!$C$10)*(N30:DU30))/F30*H30</f>
        <v>0</v>
      </c>
      <c r="EA30" s="210">
        <f>SUMPRODUCT((($I30+COLUMN($N$3:$DU$3)-COLUMN($N$3))&gt;='KALENDER MINGGU'!$B$11)*(($I30+COLUMN($N$3:$DU$3)-COLUMN($N$3))&lt;='KALENDER MINGGU'!$C$11)*(N30:DU30))/F30*H30</f>
        <v>0</v>
      </c>
      <c r="EB30" s="210">
        <f>SUMPRODUCT((($I30+COLUMN($N$3:$DU$3)-COLUMN($N$3))&gt;='KALENDER MINGGU'!$B$12)*(($I30+COLUMN($N$3:$DU$3)-COLUMN($N$3))&lt;='KALENDER MINGGU'!$C$12)*(N30:DU30))/F30*H30</f>
        <v>0</v>
      </c>
      <c r="EC30" s="210">
        <f>SUMPRODUCT((($I30+COLUMN($N$3:$DU$3)-COLUMN($N$3))&gt;='KALENDER MINGGU'!$B$13)*(($I30+COLUMN($N$3:$DU$3)-COLUMN($N$3))&lt;='KALENDER MINGGU'!$C$13)*(N30:DU30))/F30*H30</f>
        <v>0</v>
      </c>
      <c r="ED30" s="210">
        <f>SUMPRODUCT((($I30+COLUMN($N$3:$DU$3)-COLUMN($N$3))&gt;='KALENDER MINGGU'!$B$14)*(($I30+COLUMN($N$3:$DU$3)-COLUMN($N$3))&lt;='KALENDER MINGGU'!$C$14)*(N30:DU30))/F30*H30</f>
        <v>0</v>
      </c>
      <c r="EE30" s="210">
        <f>SUMPRODUCT((($I30+COLUMN($N$3:$DU$3)-COLUMN($N$3))&gt;='KALENDER MINGGU'!$B$15)*(($I30+COLUMN($N$3:$DU$3)-COLUMN($N$3))&lt;='KALENDER MINGGU'!$C$15)*(N30:DU30))/F30*H30</f>
        <v>0</v>
      </c>
      <c r="EF30" s="210">
        <f>SUMPRODUCT((($I30+COLUMN($N$3:$DU$3)-COLUMN($N$3))&gt;='KALENDER MINGGU'!$B$16)*(($I30+COLUMN($N$3:$DU$3)-COLUMN($N$3))&lt;='KALENDER MINGGU'!$C$16)*(N30:DU30))/F30*H30</f>
        <v>0</v>
      </c>
      <c r="EG30" s="210">
        <f>SUMPRODUCT((($I30+COLUMN($N$3:$DU$3)-COLUMN($N$3))&gt;='KALENDER MINGGU'!$B$17)*(($I30+COLUMN($N$3:$DU$3)-COLUMN($N$3))&lt;='KALENDER MINGGU'!$C$17)*(N30:DU30))/F30*H30</f>
        <v>0</v>
      </c>
      <c r="EH30" s="210">
        <f>SUMPRODUCT((($I30+COLUMN($N$3:$DU$3)-COLUMN($N$3))&gt;='KALENDER MINGGU'!$B$18)*(($I30+COLUMN($N$3:$DU$3)-COLUMN($N$3))&lt;='KALENDER MINGGU'!$C$18)*(N30:DU30))/F30*H30</f>
        <v>0</v>
      </c>
      <c r="EI30" s="210">
        <f>SUMPRODUCT((($I30+COLUMN($N$3:$DU$3)-COLUMN($N$3))&gt;='KALENDER MINGGU'!$B$19)*(($I30+COLUMN($N$3:$DU$3)-COLUMN($N$3))&lt;='KALENDER MINGGU'!$C$19)*(N30:DU30))/F30*H30</f>
        <v>0</v>
      </c>
      <c r="EJ30" s="210">
        <f>SUMPRODUCT((($I30+COLUMN($N$3:$DU$3)-COLUMN($N$3))&gt;='KALENDER MINGGU'!$B$20)*(($I30+COLUMN($N$3:$DU$3)-COLUMN($N$3))&lt;='KALENDER MINGGU'!$C$20)*(N30:DU30))/F30*H30</f>
        <v>0</v>
      </c>
      <c r="EK30" s="210">
        <f>SUMPRODUCT((($I30+COLUMN($N$3:$DU$3)-COLUMN($N$3))&gt;='KALENDER MINGGU'!$B$21)*(($I30+COLUMN($N$3:$DU$3)-COLUMN($N$3))&lt;='KALENDER MINGGU'!$C$21)*(N30:DU30))/F30*H30</f>
        <v>0</v>
      </c>
    </row>
    <row r="31" spans="1:141" ht="15" customHeight="1" x14ac:dyDescent="0.2">
      <c r="A31" s="208">
        <v>28</v>
      </c>
      <c r="B31" s="208">
        <v>40</v>
      </c>
      <c r="C31" s="208" t="str">
        <f>IF(B31&lt;160,'BOBOT PEK'!$B$4,IF(B31&lt;207,'BOBOT PEK'!$B$160,'BOBOT PEK'!$B$207))</f>
        <v>Pekerjaan Gudang Umum</v>
      </c>
      <c r="D31" s="208" t="s">
        <v>80</v>
      </c>
      <c r="E31" s="208" t="str">
        <f>'BOBOT PEK'!C40</f>
        <v>Pembuatan saluran bawah paving</v>
      </c>
      <c r="F31" s="209">
        <f>IF(OR('BOBOT PEK'!E40="",'BOBOT PEK'!E40=0),1,'BOBOT PEK'!E40)</f>
        <v>6</v>
      </c>
      <c r="G31" s="208" t="str">
        <f>IF('BOBOT PEK'!F40="","ls",'BOBOT PEK'!F40)</f>
        <v>Is</v>
      </c>
      <c r="H31" s="210">
        <f>'BOBOT PEK'!J40</f>
        <v>9.2101486667045707E-2</v>
      </c>
      <c r="I31" s="211">
        <f>'KALENDER MINGGU'!$B$3</f>
        <v>46226</v>
      </c>
      <c r="J31" s="209">
        <f t="shared" si="0"/>
        <v>0</v>
      </c>
      <c r="K31" s="209">
        <f t="shared" si="1"/>
        <v>6</v>
      </c>
      <c r="L31" s="212">
        <f t="shared" si="2"/>
        <v>0</v>
      </c>
      <c r="M31" s="208" t="str">
        <f t="shared" si="3"/>
        <v>OK</v>
      </c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  <c r="BC31" s="213"/>
      <c r="BD31" s="213"/>
      <c r="BE31" s="213"/>
      <c r="BF31" s="213"/>
      <c r="BG31" s="213"/>
      <c r="BH31" s="213"/>
      <c r="BI31" s="213"/>
      <c r="BJ31" s="213"/>
      <c r="BK31" s="213"/>
      <c r="BL31" s="213"/>
      <c r="BM31" s="213"/>
      <c r="BN31" s="213"/>
      <c r="BO31" s="213"/>
      <c r="BP31" s="213"/>
      <c r="BQ31" s="213"/>
      <c r="BR31" s="213"/>
      <c r="BS31" s="213"/>
      <c r="BT31" s="213"/>
      <c r="BU31" s="213"/>
      <c r="BV31" s="213"/>
      <c r="BW31" s="213"/>
      <c r="BX31" s="213"/>
      <c r="BY31" s="213"/>
      <c r="BZ31" s="213"/>
      <c r="CA31" s="213"/>
      <c r="CB31" s="213"/>
      <c r="CC31" s="213"/>
      <c r="CD31" s="213"/>
      <c r="CE31" s="213"/>
      <c r="CF31" s="213"/>
      <c r="CG31" s="213"/>
      <c r="CH31" s="213"/>
      <c r="CI31" s="213"/>
      <c r="CJ31" s="213"/>
      <c r="CK31" s="213"/>
      <c r="CL31" s="213"/>
      <c r="CM31" s="213"/>
      <c r="CN31" s="213"/>
      <c r="CO31" s="213"/>
      <c r="CP31" s="213"/>
      <c r="CQ31" s="213"/>
      <c r="CR31" s="213"/>
      <c r="CS31" s="213"/>
      <c r="CT31" s="213"/>
      <c r="CU31" s="213"/>
      <c r="CV31" s="213"/>
      <c r="CW31" s="213"/>
      <c r="CX31" s="213"/>
      <c r="CY31" s="213"/>
      <c r="CZ31" s="213"/>
      <c r="DA31" s="213"/>
      <c r="DB31" s="213"/>
      <c r="DC31" s="213"/>
      <c r="DD31" s="213"/>
      <c r="DE31" s="213"/>
      <c r="DF31" s="213"/>
      <c r="DG31" s="213"/>
      <c r="DH31" s="213"/>
      <c r="DI31" s="213"/>
      <c r="DJ31" s="213"/>
      <c r="DK31" s="213"/>
      <c r="DL31" s="213"/>
      <c r="DM31" s="213"/>
      <c r="DN31" s="213"/>
      <c r="DO31" s="213"/>
      <c r="DP31" s="213"/>
      <c r="DQ31" s="213"/>
      <c r="DR31" s="213"/>
      <c r="DS31" s="213"/>
      <c r="DT31" s="213"/>
      <c r="DU31" s="213"/>
      <c r="DV31" s="210">
        <f>SUMPRODUCT((($I31+COLUMN($N$3:$DU$3)-COLUMN($N$3))&gt;='KALENDER MINGGU'!$B$6)*(($I31+COLUMN($N$3:$DU$3)-COLUMN($N$3))&lt;='KALENDER MINGGU'!$C$6)*(N31:DU31))/F31*H31</f>
        <v>0</v>
      </c>
      <c r="DW31" s="210">
        <f>SUMPRODUCT((($I31+COLUMN($N$3:$DU$3)-COLUMN($N$3))&gt;='KALENDER MINGGU'!$B$7)*(($I31+COLUMN($N$3:$DU$3)-COLUMN($N$3))&lt;='KALENDER MINGGU'!$C$7)*(N31:DU31))/F31*H31</f>
        <v>0</v>
      </c>
      <c r="DX31" s="210">
        <f>SUMPRODUCT((($I31+COLUMN($N$3:$DU$3)-COLUMN($N$3))&gt;='KALENDER MINGGU'!$B$8)*(($I31+COLUMN($N$3:$DU$3)-COLUMN($N$3))&lt;='KALENDER MINGGU'!$C$8)*(N31:DU31))/F31*H31</f>
        <v>0</v>
      </c>
      <c r="DY31" s="210">
        <f>SUMPRODUCT((($I31+COLUMN($N$3:$DU$3)-COLUMN($N$3))&gt;='KALENDER MINGGU'!$B$9)*(($I31+COLUMN($N$3:$DU$3)-COLUMN($N$3))&lt;='KALENDER MINGGU'!$C$9)*(N31:DU31))/F31*H31</f>
        <v>0</v>
      </c>
      <c r="DZ31" s="210">
        <f>SUMPRODUCT((($I31+COLUMN($N$3:$DU$3)-COLUMN($N$3))&gt;='KALENDER MINGGU'!$B$10)*(($I31+COLUMN($N$3:$DU$3)-COLUMN($N$3))&lt;='KALENDER MINGGU'!$C$10)*(N31:DU31))/F31*H31</f>
        <v>0</v>
      </c>
      <c r="EA31" s="210">
        <f>SUMPRODUCT((($I31+COLUMN($N$3:$DU$3)-COLUMN($N$3))&gt;='KALENDER MINGGU'!$B$11)*(($I31+COLUMN($N$3:$DU$3)-COLUMN($N$3))&lt;='KALENDER MINGGU'!$C$11)*(N31:DU31))/F31*H31</f>
        <v>0</v>
      </c>
      <c r="EB31" s="210">
        <f>SUMPRODUCT((($I31+COLUMN($N$3:$DU$3)-COLUMN($N$3))&gt;='KALENDER MINGGU'!$B$12)*(($I31+COLUMN($N$3:$DU$3)-COLUMN($N$3))&lt;='KALENDER MINGGU'!$C$12)*(N31:DU31))/F31*H31</f>
        <v>0</v>
      </c>
      <c r="EC31" s="210">
        <f>SUMPRODUCT((($I31+COLUMN($N$3:$DU$3)-COLUMN($N$3))&gt;='KALENDER MINGGU'!$B$13)*(($I31+COLUMN($N$3:$DU$3)-COLUMN($N$3))&lt;='KALENDER MINGGU'!$C$13)*(N31:DU31))/F31*H31</f>
        <v>0</v>
      </c>
      <c r="ED31" s="210">
        <f>SUMPRODUCT((($I31+COLUMN($N$3:$DU$3)-COLUMN($N$3))&gt;='KALENDER MINGGU'!$B$14)*(($I31+COLUMN($N$3:$DU$3)-COLUMN($N$3))&lt;='KALENDER MINGGU'!$C$14)*(N31:DU31))/F31*H31</f>
        <v>0</v>
      </c>
      <c r="EE31" s="210">
        <f>SUMPRODUCT((($I31+COLUMN($N$3:$DU$3)-COLUMN($N$3))&gt;='KALENDER MINGGU'!$B$15)*(($I31+COLUMN($N$3:$DU$3)-COLUMN($N$3))&lt;='KALENDER MINGGU'!$C$15)*(N31:DU31))/F31*H31</f>
        <v>0</v>
      </c>
      <c r="EF31" s="210">
        <f>SUMPRODUCT((($I31+COLUMN($N$3:$DU$3)-COLUMN($N$3))&gt;='KALENDER MINGGU'!$B$16)*(($I31+COLUMN($N$3:$DU$3)-COLUMN($N$3))&lt;='KALENDER MINGGU'!$C$16)*(N31:DU31))/F31*H31</f>
        <v>0</v>
      </c>
      <c r="EG31" s="210">
        <f>SUMPRODUCT((($I31+COLUMN($N$3:$DU$3)-COLUMN($N$3))&gt;='KALENDER MINGGU'!$B$17)*(($I31+COLUMN($N$3:$DU$3)-COLUMN($N$3))&lt;='KALENDER MINGGU'!$C$17)*(N31:DU31))/F31*H31</f>
        <v>0</v>
      </c>
      <c r="EH31" s="210">
        <f>SUMPRODUCT((($I31+COLUMN($N$3:$DU$3)-COLUMN($N$3))&gt;='KALENDER MINGGU'!$B$18)*(($I31+COLUMN($N$3:$DU$3)-COLUMN($N$3))&lt;='KALENDER MINGGU'!$C$18)*(N31:DU31))/F31*H31</f>
        <v>0</v>
      </c>
      <c r="EI31" s="210">
        <f>SUMPRODUCT((($I31+COLUMN($N$3:$DU$3)-COLUMN($N$3))&gt;='KALENDER MINGGU'!$B$19)*(($I31+COLUMN($N$3:$DU$3)-COLUMN($N$3))&lt;='KALENDER MINGGU'!$C$19)*(N31:DU31))/F31*H31</f>
        <v>0</v>
      </c>
      <c r="EJ31" s="210">
        <f>SUMPRODUCT((($I31+COLUMN($N$3:$DU$3)-COLUMN($N$3))&gt;='KALENDER MINGGU'!$B$20)*(($I31+COLUMN($N$3:$DU$3)-COLUMN($N$3))&lt;='KALENDER MINGGU'!$C$20)*(N31:DU31))/F31*H31</f>
        <v>0</v>
      </c>
      <c r="EK31" s="210">
        <f>SUMPRODUCT((($I31+COLUMN($N$3:$DU$3)-COLUMN($N$3))&gt;='KALENDER MINGGU'!$B$21)*(($I31+COLUMN($N$3:$DU$3)-COLUMN($N$3))&lt;='KALENDER MINGGU'!$C$21)*(N31:DU31))/F31*H31</f>
        <v>0</v>
      </c>
    </row>
    <row r="32" spans="1:141" ht="15" customHeight="1" x14ac:dyDescent="0.2">
      <c r="A32" s="208">
        <v>29</v>
      </c>
      <c r="B32" s="208">
        <v>41</v>
      </c>
      <c r="C32" s="208" t="str">
        <f>IF(B32&lt;160,'BOBOT PEK'!$B$4,IF(B32&lt;207,'BOBOT PEK'!$B$160,'BOBOT PEK'!$B$207))</f>
        <v>Pekerjaan Gudang Umum</v>
      </c>
      <c r="D32" s="208" t="s">
        <v>80</v>
      </c>
      <c r="E32" s="208" t="str">
        <f>'BOBOT PEK'!C41</f>
        <v>Pembongkaran besi kerangkeng motor</v>
      </c>
      <c r="F32" s="209">
        <f>IF(OR('BOBOT PEK'!E41="",'BOBOT PEK'!E41=0),1,'BOBOT PEK'!E41)</f>
        <v>1</v>
      </c>
      <c r="G32" s="208" t="str">
        <f>IF('BOBOT PEK'!F41="","ls",'BOBOT PEK'!F41)</f>
        <v>Is</v>
      </c>
      <c r="H32" s="210">
        <f>'BOBOT PEK'!J41</f>
        <v>2.5583746296401588E-2</v>
      </c>
      <c r="I32" s="211">
        <f>'KALENDER MINGGU'!$B$3</f>
        <v>46226</v>
      </c>
      <c r="J32" s="209">
        <f t="shared" si="0"/>
        <v>0</v>
      </c>
      <c r="K32" s="209">
        <f t="shared" si="1"/>
        <v>1</v>
      </c>
      <c r="L32" s="212">
        <f t="shared" si="2"/>
        <v>0</v>
      </c>
      <c r="M32" s="208" t="str">
        <f t="shared" si="3"/>
        <v>OK</v>
      </c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  <c r="BC32" s="213"/>
      <c r="BD32" s="213"/>
      <c r="BE32" s="213"/>
      <c r="BF32" s="213"/>
      <c r="BG32" s="213"/>
      <c r="BH32" s="213"/>
      <c r="BI32" s="213"/>
      <c r="BJ32" s="213"/>
      <c r="BK32" s="213"/>
      <c r="BL32" s="213"/>
      <c r="BM32" s="213"/>
      <c r="BN32" s="213"/>
      <c r="BO32" s="213"/>
      <c r="BP32" s="213"/>
      <c r="BQ32" s="213"/>
      <c r="BR32" s="213"/>
      <c r="BS32" s="213"/>
      <c r="BT32" s="213"/>
      <c r="BU32" s="213"/>
      <c r="BV32" s="213"/>
      <c r="BW32" s="213"/>
      <c r="BX32" s="213"/>
      <c r="BY32" s="213"/>
      <c r="BZ32" s="213"/>
      <c r="CA32" s="213"/>
      <c r="CB32" s="213"/>
      <c r="CC32" s="213"/>
      <c r="CD32" s="213"/>
      <c r="CE32" s="213"/>
      <c r="CF32" s="213"/>
      <c r="CG32" s="213"/>
      <c r="CH32" s="213"/>
      <c r="CI32" s="213"/>
      <c r="CJ32" s="213"/>
      <c r="CK32" s="213"/>
      <c r="CL32" s="213"/>
      <c r="CM32" s="213"/>
      <c r="CN32" s="213"/>
      <c r="CO32" s="213"/>
      <c r="CP32" s="213"/>
      <c r="CQ32" s="213"/>
      <c r="CR32" s="213"/>
      <c r="CS32" s="213"/>
      <c r="CT32" s="213"/>
      <c r="CU32" s="213"/>
      <c r="CV32" s="213"/>
      <c r="CW32" s="213"/>
      <c r="CX32" s="213"/>
      <c r="CY32" s="213"/>
      <c r="CZ32" s="213"/>
      <c r="DA32" s="213"/>
      <c r="DB32" s="213"/>
      <c r="DC32" s="213"/>
      <c r="DD32" s="213"/>
      <c r="DE32" s="213"/>
      <c r="DF32" s="213"/>
      <c r="DG32" s="213"/>
      <c r="DH32" s="213"/>
      <c r="DI32" s="213"/>
      <c r="DJ32" s="213"/>
      <c r="DK32" s="213"/>
      <c r="DL32" s="213"/>
      <c r="DM32" s="213"/>
      <c r="DN32" s="213"/>
      <c r="DO32" s="213"/>
      <c r="DP32" s="213"/>
      <c r="DQ32" s="213"/>
      <c r="DR32" s="213"/>
      <c r="DS32" s="213"/>
      <c r="DT32" s="213"/>
      <c r="DU32" s="213"/>
      <c r="DV32" s="210">
        <f>SUMPRODUCT((($I32+COLUMN($N$3:$DU$3)-COLUMN($N$3))&gt;='KALENDER MINGGU'!$B$6)*(($I32+COLUMN($N$3:$DU$3)-COLUMN($N$3))&lt;='KALENDER MINGGU'!$C$6)*(N32:DU32))/F32*H32</f>
        <v>0</v>
      </c>
      <c r="DW32" s="210">
        <f>SUMPRODUCT((($I32+COLUMN($N$3:$DU$3)-COLUMN($N$3))&gt;='KALENDER MINGGU'!$B$7)*(($I32+COLUMN($N$3:$DU$3)-COLUMN($N$3))&lt;='KALENDER MINGGU'!$C$7)*(N32:DU32))/F32*H32</f>
        <v>0</v>
      </c>
      <c r="DX32" s="210">
        <f>SUMPRODUCT((($I32+COLUMN($N$3:$DU$3)-COLUMN($N$3))&gt;='KALENDER MINGGU'!$B$8)*(($I32+COLUMN($N$3:$DU$3)-COLUMN($N$3))&lt;='KALENDER MINGGU'!$C$8)*(N32:DU32))/F32*H32</f>
        <v>0</v>
      </c>
      <c r="DY32" s="210">
        <f>SUMPRODUCT((($I32+COLUMN($N$3:$DU$3)-COLUMN($N$3))&gt;='KALENDER MINGGU'!$B$9)*(($I32+COLUMN($N$3:$DU$3)-COLUMN($N$3))&lt;='KALENDER MINGGU'!$C$9)*(N32:DU32))/F32*H32</f>
        <v>0</v>
      </c>
      <c r="DZ32" s="210">
        <f>SUMPRODUCT((($I32+COLUMN($N$3:$DU$3)-COLUMN($N$3))&gt;='KALENDER MINGGU'!$B$10)*(($I32+COLUMN($N$3:$DU$3)-COLUMN($N$3))&lt;='KALENDER MINGGU'!$C$10)*(N32:DU32))/F32*H32</f>
        <v>0</v>
      </c>
      <c r="EA32" s="210">
        <f>SUMPRODUCT((($I32+COLUMN($N$3:$DU$3)-COLUMN($N$3))&gt;='KALENDER MINGGU'!$B$11)*(($I32+COLUMN($N$3:$DU$3)-COLUMN($N$3))&lt;='KALENDER MINGGU'!$C$11)*(N32:DU32))/F32*H32</f>
        <v>0</v>
      </c>
      <c r="EB32" s="210">
        <f>SUMPRODUCT((($I32+COLUMN($N$3:$DU$3)-COLUMN($N$3))&gt;='KALENDER MINGGU'!$B$12)*(($I32+COLUMN($N$3:$DU$3)-COLUMN($N$3))&lt;='KALENDER MINGGU'!$C$12)*(N32:DU32))/F32*H32</f>
        <v>0</v>
      </c>
      <c r="EC32" s="210">
        <f>SUMPRODUCT((($I32+COLUMN($N$3:$DU$3)-COLUMN($N$3))&gt;='KALENDER MINGGU'!$B$13)*(($I32+COLUMN($N$3:$DU$3)-COLUMN($N$3))&lt;='KALENDER MINGGU'!$C$13)*(N32:DU32))/F32*H32</f>
        <v>0</v>
      </c>
      <c r="ED32" s="210">
        <f>SUMPRODUCT((($I32+COLUMN($N$3:$DU$3)-COLUMN($N$3))&gt;='KALENDER MINGGU'!$B$14)*(($I32+COLUMN($N$3:$DU$3)-COLUMN($N$3))&lt;='KALENDER MINGGU'!$C$14)*(N32:DU32))/F32*H32</f>
        <v>0</v>
      </c>
      <c r="EE32" s="210">
        <f>SUMPRODUCT((($I32+COLUMN($N$3:$DU$3)-COLUMN($N$3))&gt;='KALENDER MINGGU'!$B$15)*(($I32+COLUMN($N$3:$DU$3)-COLUMN($N$3))&lt;='KALENDER MINGGU'!$C$15)*(N32:DU32))/F32*H32</f>
        <v>0</v>
      </c>
      <c r="EF32" s="210">
        <f>SUMPRODUCT((($I32+COLUMN($N$3:$DU$3)-COLUMN($N$3))&gt;='KALENDER MINGGU'!$B$16)*(($I32+COLUMN($N$3:$DU$3)-COLUMN($N$3))&lt;='KALENDER MINGGU'!$C$16)*(N32:DU32))/F32*H32</f>
        <v>0</v>
      </c>
      <c r="EG32" s="210">
        <f>SUMPRODUCT((($I32+COLUMN($N$3:$DU$3)-COLUMN($N$3))&gt;='KALENDER MINGGU'!$B$17)*(($I32+COLUMN($N$3:$DU$3)-COLUMN($N$3))&lt;='KALENDER MINGGU'!$C$17)*(N32:DU32))/F32*H32</f>
        <v>0</v>
      </c>
      <c r="EH32" s="210">
        <f>SUMPRODUCT((($I32+COLUMN($N$3:$DU$3)-COLUMN($N$3))&gt;='KALENDER MINGGU'!$B$18)*(($I32+COLUMN($N$3:$DU$3)-COLUMN($N$3))&lt;='KALENDER MINGGU'!$C$18)*(N32:DU32))/F32*H32</f>
        <v>0</v>
      </c>
      <c r="EI32" s="210">
        <f>SUMPRODUCT((($I32+COLUMN($N$3:$DU$3)-COLUMN($N$3))&gt;='KALENDER MINGGU'!$B$19)*(($I32+COLUMN($N$3:$DU$3)-COLUMN($N$3))&lt;='KALENDER MINGGU'!$C$19)*(N32:DU32))/F32*H32</f>
        <v>0</v>
      </c>
      <c r="EJ32" s="210">
        <f>SUMPRODUCT((($I32+COLUMN($N$3:$DU$3)-COLUMN($N$3))&gt;='KALENDER MINGGU'!$B$20)*(($I32+COLUMN($N$3:$DU$3)-COLUMN($N$3))&lt;='KALENDER MINGGU'!$C$20)*(N32:DU32))/F32*H32</f>
        <v>0</v>
      </c>
      <c r="EK32" s="210">
        <f>SUMPRODUCT((($I32+COLUMN($N$3:$DU$3)-COLUMN($N$3))&gt;='KALENDER MINGGU'!$B$21)*(($I32+COLUMN($N$3:$DU$3)-COLUMN($N$3))&lt;='KALENDER MINGGU'!$C$21)*(N32:DU32))/F32*H32</f>
        <v>0</v>
      </c>
    </row>
    <row r="33" spans="1:141" ht="15" customHeight="1" x14ac:dyDescent="0.2">
      <c r="A33" s="208">
        <v>30</v>
      </c>
      <c r="B33" s="208">
        <v>45</v>
      </c>
      <c r="C33" s="208" t="str">
        <f>IF(B33&lt;160,'BOBOT PEK'!$B$4,IF(B33&lt;207,'BOBOT PEK'!$B$160,'BOBOT PEK'!$B$207))</f>
        <v>Pekerjaan Gudang Umum</v>
      </c>
      <c r="D33" s="208" t="s">
        <v>100</v>
      </c>
      <c r="E33" s="208" t="str">
        <f>'BOBOT PEK'!C45</f>
        <v>Pekerjaan bongkaran dinding pagar existing</v>
      </c>
      <c r="F33" s="209">
        <f>IF(OR('BOBOT PEK'!E45="",'BOBOT PEK'!E45=0),1,'BOBOT PEK'!E45)</f>
        <v>88</v>
      </c>
      <c r="G33" s="208" t="str">
        <f>IF('BOBOT PEK'!F45="","ls",'BOBOT PEK'!F45)</f>
        <v>m²</v>
      </c>
      <c r="H33" s="210">
        <f>'BOBOT PEK'!J45</f>
        <v>0.12382533207458367</v>
      </c>
      <c r="I33" s="211">
        <f>'KALENDER MINGGU'!$B$3</f>
        <v>46226</v>
      </c>
      <c r="J33" s="209">
        <f t="shared" si="0"/>
        <v>88</v>
      </c>
      <c r="K33" s="209">
        <f t="shared" si="1"/>
        <v>0</v>
      </c>
      <c r="L33" s="212">
        <f t="shared" si="2"/>
        <v>1</v>
      </c>
      <c r="M33" s="208" t="str">
        <f t="shared" si="3"/>
        <v>OK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>
        <v>10</v>
      </c>
      <c r="AH33" s="213">
        <v>10</v>
      </c>
      <c r="AI33" s="213"/>
      <c r="AJ33" s="213"/>
      <c r="AK33" s="213"/>
      <c r="AL33" s="213"/>
      <c r="AM33" s="213"/>
      <c r="AN33" s="213"/>
      <c r="AO33" s="213"/>
      <c r="AP33" s="213">
        <v>68</v>
      </c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  <c r="BC33" s="213"/>
      <c r="BD33" s="213"/>
      <c r="BE33" s="213"/>
      <c r="BF33" s="213"/>
      <c r="BG33" s="213"/>
      <c r="BH33" s="213"/>
      <c r="BI33" s="213"/>
      <c r="BJ33" s="213"/>
      <c r="BK33" s="213"/>
      <c r="BL33" s="213"/>
      <c r="BM33" s="213"/>
      <c r="BN33" s="213"/>
      <c r="BO33" s="213"/>
      <c r="BP33" s="213"/>
      <c r="BQ33" s="213"/>
      <c r="BR33" s="213"/>
      <c r="BS33" s="213"/>
      <c r="BT33" s="213"/>
      <c r="BU33" s="213"/>
      <c r="BV33" s="213"/>
      <c r="BW33" s="213"/>
      <c r="BX33" s="213"/>
      <c r="BY33" s="213"/>
      <c r="BZ33" s="213"/>
      <c r="CA33" s="213"/>
      <c r="CB33" s="213"/>
      <c r="CC33" s="213"/>
      <c r="CD33" s="213"/>
      <c r="CE33" s="213"/>
      <c r="CF33" s="213"/>
      <c r="CG33" s="213"/>
      <c r="CH33" s="213"/>
      <c r="CI33" s="213"/>
      <c r="CJ33" s="213"/>
      <c r="CK33" s="213"/>
      <c r="CL33" s="213"/>
      <c r="CM33" s="213"/>
      <c r="CN33" s="213"/>
      <c r="CO33" s="213"/>
      <c r="CP33" s="213"/>
      <c r="CQ33" s="213"/>
      <c r="CR33" s="213"/>
      <c r="CS33" s="213"/>
      <c r="CT33" s="213"/>
      <c r="CU33" s="213"/>
      <c r="CV33" s="213"/>
      <c r="CW33" s="213"/>
      <c r="CX33" s="213"/>
      <c r="CY33" s="213"/>
      <c r="CZ33" s="213"/>
      <c r="DA33" s="213"/>
      <c r="DB33" s="213"/>
      <c r="DC33" s="213"/>
      <c r="DD33" s="213"/>
      <c r="DE33" s="213"/>
      <c r="DF33" s="213"/>
      <c r="DG33" s="213"/>
      <c r="DH33" s="213"/>
      <c r="DI33" s="213"/>
      <c r="DJ33" s="213"/>
      <c r="DK33" s="213"/>
      <c r="DL33" s="213"/>
      <c r="DM33" s="213"/>
      <c r="DN33" s="213"/>
      <c r="DO33" s="213"/>
      <c r="DP33" s="213"/>
      <c r="DQ33" s="213"/>
      <c r="DR33" s="213"/>
      <c r="DS33" s="213"/>
      <c r="DT33" s="213"/>
      <c r="DU33" s="213"/>
      <c r="DV33" s="210">
        <f>SUMPRODUCT((($I33+COLUMN($N$3:$DU$3)-COLUMN($N$3))&gt;='KALENDER MINGGU'!$B$6)*(($I33+COLUMN($N$3:$DU$3)-COLUMN($N$3))&lt;='KALENDER MINGGU'!$C$6)*(N33:DU33))/F33*H33</f>
        <v>0</v>
      </c>
      <c r="DW33" s="210">
        <f>SUMPRODUCT((($I33+COLUMN($N$3:$DU$3)-COLUMN($N$3))&gt;='KALENDER MINGGU'!$B$7)*(($I33+COLUMN($N$3:$DU$3)-COLUMN($N$3))&lt;='KALENDER MINGGU'!$C$7)*(N33:DU33))/F33*H33</f>
        <v>0</v>
      </c>
      <c r="DX33" s="210">
        <f>SUMPRODUCT((($I33+COLUMN($N$3:$DU$3)-COLUMN($N$3))&gt;='KALENDER MINGGU'!$B$8)*(($I33+COLUMN($N$3:$DU$3)-COLUMN($N$3))&lt;='KALENDER MINGGU'!$C$8)*(N33:DU33))/F33*H33</f>
        <v>2.8142120926041743E-2</v>
      </c>
      <c r="DY33" s="210">
        <f>SUMPRODUCT((($I33+COLUMN($N$3:$DU$3)-COLUMN($N$3))&gt;='KALENDER MINGGU'!$B$9)*(($I33+COLUMN($N$3:$DU$3)-COLUMN($N$3))&lt;='KALENDER MINGGU'!$C$9)*(N33:DU33))/F33*H33</f>
        <v>0</v>
      </c>
      <c r="DZ33" s="210">
        <f>SUMPRODUCT((($I33+COLUMN($N$3:$DU$3)-COLUMN($N$3))&gt;='KALENDER MINGGU'!$B$10)*(($I33+COLUMN($N$3:$DU$3)-COLUMN($N$3))&lt;='KALENDER MINGGU'!$C$10)*(N33:DU33))/F33*H33</f>
        <v>9.5683211148541919E-2</v>
      </c>
      <c r="EA33" s="210">
        <f>SUMPRODUCT((($I33+COLUMN($N$3:$DU$3)-COLUMN($N$3))&gt;='KALENDER MINGGU'!$B$11)*(($I33+COLUMN($N$3:$DU$3)-COLUMN($N$3))&lt;='KALENDER MINGGU'!$C$11)*(N33:DU33))/F33*H33</f>
        <v>0</v>
      </c>
      <c r="EB33" s="210">
        <f>SUMPRODUCT((($I33+COLUMN($N$3:$DU$3)-COLUMN($N$3))&gt;='KALENDER MINGGU'!$B$12)*(($I33+COLUMN($N$3:$DU$3)-COLUMN($N$3))&lt;='KALENDER MINGGU'!$C$12)*(N33:DU33))/F33*H33</f>
        <v>0</v>
      </c>
      <c r="EC33" s="210">
        <f>SUMPRODUCT((($I33+COLUMN($N$3:$DU$3)-COLUMN($N$3))&gt;='KALENDER MINGGU'!$B$13)*(($I33+COLUMN($N$3:$DU$3)-COLUMN($N$3))&lt;='KALENDER MINGGU'!$C$13)*(N33:DU33))/F33*H33</f>
        <v>0</v>
      </c>
      <c r="ED33" s="210">
        <f>SUMPRODUCT((($I33+COLUMN($N$3:$DU$3)-COLUMN($N$3))&gt;='KALENDER MINGGU'!$B$14)*(($I33+COLUMN($N$3:$DU$3)-COLUMN($N$3))&lt;='KALENDER MINGGU'!$C$14)*(N33:DU33))/F33*H33</f>
        <v>0</v>
      </c>
      <c r="EE33" s="210">
        <f>SUMPRODUCT((($I33+COLUMN($N$3:$DU$3)-COLUMN($N$3))&gt;='KALENDER MINGGU'!$B$15)*(($I33+COLUMN($N$3:$DU$3)-COLUMN($N$3))&lt;='KALENDER MINGGU'!$C$15)*(N33:DU33))/F33*H33</f>
        <v>0</v>
      </c>
      <c r="EF33" s="210">
        <f>SUMPRODUCT((($I33+COLUMN($N$3:$DU$3)-COLUMN($N$3))&gt;='KALENDER MINGGU'!$B$16)*(($I33+COLUMN($N$3:$DU$3)-COLUMN($N$3))&lt;='KALENDER MINGGU'!$C$16)*(N33:DU33))/F33*H33</f>
        <v>0</v>
      </c>
      <c r="EG33" s="210">
        <f>SUMPRODUCT((($I33+COLUMN($N$3:$DU$3)-COLUMN($N$3))&gt;='KALENDER MINGGU'!$B$17)*(($I33+COLUMN($N$3:$DU$3)-COLUMN($N$3))&lt;='KALENDER MINGGU'!$C$17)*(N33:DU33))/F33*H33</f>
        <v>0</v>
      </c>
      <c r="EH33" s="210">
        <f>SUMPRODUCT((($I33+COLUMN($N$3:$DU$3)-COLUMN($N$3))&gt;='KALENDER MINGGU'!$B$18)*(($I33+COLUMN($N$3:$DU$3)-COLUMN($N$3))&lt;='KALENDER MINGGU'!$C$18)*(N33:DU33))/F33*H33</f>
        <v>0</v>
      </c>
      <c r="EI33" s="210">
        <f>SUMPRODUCT((($I33+COLUMN($N$3:$DU$3)-COLUMN($N$3))&gt;='KALENDER MINGGU'!$B$19)*(($I33+COLUMN($N$3:$DU$3)-COLUMN($N$3))&lt;='KALENDER MINGGU'!$C$19)*(N33:DU33))/F33*H33</f>
        <v>0</v>
      </c>
      <c r="EJ33" s="210">
        <f>SUMPRODUCT((($I33+COLUMN($N$3:$DU$3)-COLUMN($N$3))&gt;='KALENDER MINGGU'!$B$20)*(($I33+COLUMN($N$3:$DU$3)-COLUMN($N$3))&lt;='KALENDER MINGGU'!$C$20)*(N33:DU33))/F33*H33</f>
        <v>0</v>
      </c>
      <c r="EK33" s="210">
        <f>SUMPRODUCT((($I33+COLUMN($N$3:$DU$3)-COLUMN($N$3))&gt;='KALENDER MINGGU'!$B$21)*(($I33+COLUMN($N$3:$DU$3)-COLUMN($N$3))&lt;='KALENDER MINGGU'!$C$21)*(N33:DU33))/F33*H33</f>
        <v>0</v>
      </c>
    </row>
    <row r="34" spans="1:141" ht="15" customHeight="1" x14ac:dyDescent="0.2">
      <c r="A34" s="208">
        <v>31</v>
      </c>
      <c r="B34" s="208">
        <v>46</v>
      </c>
      <c r="C34" s="208" t="str">
        <f>IF(B34&lt;160,'BOBOT PEK'!$B$4,IF(B34&lt;207,'BOBOT PEK'!$B$160,'BOBOT PEK'!$B$207))</f>
        <v>Pekerjaan Gudang Umum</v>
      </c>
      <c r="D34" s="208" t="s">
        <v>100</v>
      </c>
      <c r="E34" s="208" t="str">
        <f>'BOBOT PEK'!C46</f>
        <v>Pekerjaan pasangan pagar precast sisi barat</v>
      </c>
      <c r="F34" s="209">
        <f>IF(OR('BOBOT PEK'!E46="",'BOBOT PEK'!E46=0),1,'BOBOT PEK'!E46)</f>
        <v>90</v>
      </c>
      <c r="G34" s="208" t="str">
        <f>IF('BOBOT PEK'!F46="","ls",'BOBOT PEK'!F46)</f>
        <v>m²</v>
      </c>
      <c r="H34" s="210">
        <f>'BOBOT PEK'!J46</f>
        <v>0.90950218083707646</v>
      </c>
      <c r="I34" s="211">
        <f>'KALENDER MINGGU'!$B$3</f>
        <v>46226</v>
      </c>
      <c r="J34" s="209">
        <f t="shared" si="0"/>
        <v>62</v>
      </c>
      <c r="K34" s="209">
        <f t="shared" si="1"/>
        <v>28</v>
      </c>
      <c r="L34" s="212">
        <f t="shared" si="2"/>
        <v>0.68888888888888888</v>
      </c>
      <c r="M34" s="208" t="str">
        <f t="shared" si="3"/>
        <v>OK</v>
      </c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3"/>
      <c r="AI34" s="213"/>
      <c r="AJ34" s="213"/>
      <c r="AK34" s="213"/>
      <c r="AL34" s="213"/>
      <c r="AM34" s="213"/>
      <c r="AN34" s="213"/>
      <c r="AO34" s="213"/>
      <c r="AP34" s="213">
        <v>2</v>
      </c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  <c r="BC34" s="213"/>
      <c r="BD34" s="213"/>
      <c r="BE34" s="213"/>
      <c r="BF34" s="213"/>
      <c r="BG34" s="213"/>
      <c r="BH34" s="213"/>
      <c r="BI34" s="213"/>
      <c r="BJ34" s="213"/>
      <c r="BK34" s="213"/>
      <c r="BL34" s="213"/>
      <c r="BM34" s="213"/>
      <c r="BN34" s="213"/>
      <c r="BO34" s="213"/>
      <c r="BP34" s="213">
        <v>30</v>
      </c>
      <c r="BQ34" s="213"/>
      <c r="BR34" s="213"/>
      <c r="BS34" s="213"/>
      <c r="BT34" s="213"/>
      <c r="BU34" s="213"/>
      <c r="BV34" s="213"/>
      <c r="BW34" s="213"/>
      <c r="BX34" s="213"/>
      <c r="BY34" s="213"/>
      <c r="BZ34" s="213">
        <v>10</v>
      </c>
      <c r="CA34" s="213">
        <v>10</v>
      </c>
      <c r="CB34" s="213">
        <v>10</v>
      </c>
      <c r="CC34" s="213"/>
      <c r="CD34" s="213"/>
      <c r="CE34" s="213"/>
      <c r="CF34" s="213"/>
      <c r="CG34" s="213"/>
      <c r="CH34" s="213"/>
      <c r="CI34" s="213"/>
      <c r="CJ34" s="213"/>
      <c r="CK34" s="213"/>
      <c r="CL34" s="213"/>
      <c r="CM34" s="213"/>
      <c r="CN34" s="213"/>
      <c r="CO34" s="213"/>
      <c r="CP34" s="213"/>
      <c r="CQ34" s="213"/>
      <c r="CR34" s="213"/>
      <c r="CS34" s="213"/>
      <c r="CT34" s="213"/>
      <c r="CU34" s="213"/>
      <c r="CV34" s="213"/>
      <c r="CW34" s="213"/>
      <c r="CX34" s="213"/>
      <c r="CY34" s="213"/>
      <c r="CZ34" s="213"/>
      <c r="DA34" s="213"/>
      <c r="DB34" s="213"/>
      <c r="DC34" s="213"/>
      <c r="DD34" s="213"/>
      <c r="DE34" s="213"/>
      <c r="DF34" s="213"/>
      <c r="DG34" s="213"/>
      <c r="DH34" s="213"/>
      <c r="DI34" s="213"/>
      <c r="DJ34" s="213"/>
      <c r="DK34" s="213"/>
      <c r="DL34" s="213"/>
      <c r="DM34" s="213"/>
      <c r="DN34" s="213"/>
      <c r="DO34" s="213"/>
      <c r="DP34" s="213"/>
      <c r="DQ34" s="213"/>
      <c r="DR34" s="213"/>
      <c r="DS34" s="213"/>
      <c r="DT34" s="213"/>
      <c r="DU34" s="213"/>
      <c r="DV34" s="210">
        <f>SUMPRODUCT((($I34+COLUMN($N$3:$DU$3)-COLUMN($N$3))&gt;='KALENDER MINGGU'!$B$6)*(($I34+COLUMN($N$3:$DU$3)-COLUMN($N$3))&lt;='KALENDER MINGGU'!$C$6)*(N34:DU34))/F34*H34</f>
        <v>0</v>
      </c>
      <c r="DW34" s="210">
        <f>SUMPRODUCT((($I34+COLUMN($N$3:$DU$3)-COLUMN($N$3))&gt;='KALENDER MINGGU'!$B$7)*(($I34+COLUMN($N$3:$DU$3)-COLUMN($N$3))&lt;='KALENDER MINGGU'!$C$7)*(N34:DU34))/F34*H34</f>
        <v>0</v>
      </c>
      <c r="DX34" s="210">
        <f>SUMPRODUCT((($I34+COLUMN($N$3:$DU$3)-COLUMN($N$3))&gt;='KALENDER MINGGU'!$B$8)*(($I34+COLUMN($N$3:$DU$3)-COLUMN($N$3))&lt;='KALENDER MINGGU'!$C$8)*(N34:DU34))/F34*H34</f>
        <v>0</v>
      </c>
      <c r="DY34" s="210">
        <f>SUMPRODUCT((($I34+COLUMN($N$3:$DU$3)-COLUMN($N$3))&gt;='KALENDER MINGGU'!$B$9)*(($I34+COLUMN($N$3:$DU$3)-COLUMN($N$3))&lt;='KALENDER MINGGU'!$C$9)*(N34:DU34))/F34*H34</f>
        <v>0</v>
      </c>
      <c r="DZ34" s="210">
        <f>SUMPRODUCT((($I34+COLUMN($N$3:$DU$3)-COLUMN($N$3))&gt;='KALENDER MINGGU'!$B$10)*(($I34+COLUMN($N$3:$DU$3)-COLUMN($N$3))&lt;='KALENDER MINGGU'!$C$10)*(N34:DU34))/F34*H34</f>
        <v>2.0211159574157256E-2</v>
      </c>
      <c r="EA34" s="210">
        <f>SUMPRODUCT((($I34+COLUMN($N$3:$DU$3)-COLUMN($N$3))&gt;='KALENDER MINGGU'!$B$11)*(($I34+COLUMN($N$3:$DU$3)-COLUMN($N$3))&lt;='KALENDER MINGGU'!$C$11)*(N34:DU34))/F34*H34</f>
        <v>0</v>
      </c>
      <c r="EB34" s="210">
        <f>SUMPRODUCT((($I34+COLUMN($N$3:$DU$3)-COLUMN($N$3))&gt;='KALENDER MINGGU'!$B$12)*(($I34+COLUMN($N$3:$DU$3)-COLUMN($N$3))&lt;='KALENDER MINGGU'!$C$12)*(N34:DU34))/F34*H34</f>
        <v>0</v>
      </c>
      <c r="EC34" s="210">
        <f>SUMPRODUCT((($I34+COLUMN($N$3:$DU$3)-COLUMN($N$3))&gt;='KALENDER MINGGU'!$B$13)*(($I34+COLUMN($N$3:$DU$3)-COLUMN($N$3))&lt;='KALENDER MINGGU'!$C$13)*(N34:DU34))/F34*H34</f>
        <v>0.30316739361235878</v>
      </c>
      <c r="ED34" s="210">
        <f>SUMPRODUCT((($I34+COLUMN($N$3:$DU$3)-COLUMN($N$3))&gt;='KALENDER MINGGU'!$B$14)*(($I34+COLUMN($N$3:$DU$3)-COLUMN($N$3))&lt;='KALENDER MINGGU'!$C$14)*(N34:DU34))/F34*H34</f>
        <v>0</v>
      </c>
      <c r="EE34" s="210">
        <f>SUMPRODUCT((($I34+COLUMN($N$3:$DU$3)-COLUMN($N$3))&gt;='KALENDER MINGGU'!$B$15)*(($I34+COLUMN($N$3:$DU$3)-COLUMN($N$3))&lt;='KALENDER MINGGU'!$C$15)*(N34:DU34))/F34*H34</f>
        <v>0.30316739361235878</v>
      </c>
      <c r="EF34" s="210">
        <f>SUMPRODUCT((($I34+COLUMN($N$3:$DU$3)-COLUMN($N$3))&gt;='KALENDER MINGGU'!$B$16)*(($I34+COLUMN($N$3:$DU$3)-COLUMN($N$3))&lt;='KALENDER MINGGU'!$C$16)*(N34:DU34))/F34*H34</f>
        <v>0</v>
      </c>
      <c r="EG34" s="210">
        <f>SUMPRODUCT((($I34+COLUMN($N$3:$DU$3)-COLUMN($N$3))&gt;='KALENDER MINGGU'!$B$17)*(($I34+COLUMN($N$3:$DU$3)-COLUMN($N$3))&lt;='KALENDER MINGGU'!$C$17)*(N34:DU34))/F34*H34</f>
        <v>0</v>
      </c>
      <c r="EH34" s="210">
        <f>SUMPRODUCT((($I34+COLUMN($N$3:$DU$3)-COLUMN($N$3))&gt;='KALENDER MINGGU'!$B$18)*(($I34+COLUMN($N$3:$DU$3)-COLUMN($N$3))&lt;='KALENDER MINGGU'!$C$18)*(N34:DU34))/F34*H34</f>
        <v>0</v>
      </c>
      <c r="EI34" s="210">
        <f>SUMPRODUCT((($I34+COLUMN($N$3:$DU$3)-COLUMN($N$3))&gt;='KALENDER MINGGU'!$B$19)*(($I34+COLUMN($N$3:$DU$3)-COLUMN($N$3))&lt;='KALENDER MINGGU'!$C$19)*(N34:DU34))/F34*H34</f>
        <v>0</v>
      </c>
      <c r="EJ34" s="210">
        <f>SUMPRODUCT((($I34+COLUMN($N$3:$DU$3)-COLUMN($N$3))&gt;='KALENDER MINGGU'!$B$20)*(($I34+COLUMN($N$3:$DU$3)-COLUMN($N$3))&lt;='KALENDER MINGGU'!$C$20)*(N34:DU34))/F34*H34</f>
        <v>0</v>
      </c>
      <c r="EK34" s="210">
        <f>SUMPRODUCT((($I34+COLUMN($N$3:$DU$3)-COLUMN($N$3))&gt;='KALENDER MINGGU'!$B$21)*(($I34+COLUMN($N$3:$DU$3)-COLUMN($N$3))&lt;='KALENDER MINGGU'!$C$21)*(N34:DU34))/F34*H34</f>
        <v>0</v>
      </c>
    </row>
    <row r="35" spans="1:141" ht="15" customHeight="1" x14ac:dyDescent="0.2">
      <c r="A35" s="208">
        <v>32</v>
      </c>
      <c r="B35" s="208">
        <v>47</v>
      </c>
      <c r="C35" s="208" t="str">
        <f>IF(B35&lt;160,'BOBOT PEK'!$B$4,IF(B35&lt;207,'BOBOT PEK'!$B$160,'BOBOT PEK'!$B$207))</f>
        <v>Pekerjaan Gudang Umum</v>
      </c>
      <c r="D35" s="208" t="s">
        <v>100</v>
      </c>
      <c r="E35" s="208" t="str">
        <f>'BOBOT PEK'!C47</f>
        <v>Pasang rangka kawat razor</v>
      </c>
      <c r="F35" s="209">
        <f>IF(OR('BOBOT PEK'!E47="",'BOBOT PEK'!E47=0),1,'BOBOT PEK'!E47)</f>
        <v>1</v>
      </c>
      <c r="G35" s="208" t="str">
        <f>IF('BOBOT PEK'!F47="","ls",'BOBOT PEK'!F47)</f>
        <v>ls</v>
      </c>
      <c r="H35" s="210">
        <f>'BOBOT PEK'!J47</f>
        <v>0</v>
      </c>
      <c r="I35" s="211">
        <f>'KALENDER MINGGU'!$B$3</f>
        <v>46226</v>
      </c>
      <c r="J35" s="209">
        <f t="shared" si="0"/>
        <v>0</v>
      </c>
      <c r="K35" s="209">
        <f t="shared" si="1"/>
        <v>1</v>
      </c>
      <c r="L35" s="212">
        <f t="shared" si="2"/>
        <v>0</v>
      </c>
      <c r="M35" s="208" t="str">
        <f t="shared" si="3"/>
        <v>OK</v>
      </c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  <c r="BC35" s="213"/>
      <c r="BD35" s="213"/>
      <c r="BE35" s="213"/>
      <c r="BF35" s="213"/>
      <c r="BG35" s="213"/>
      <c r="BH35" s="213"/>
      <c r="BI35" s="213"/>
      <c r="BJ35" s="213"/>
      <c r="BK35" s="213"/>
      <c r="BL35" s="213"/>
      <c r="BM35" s="213"/>
      <c r="BN35" s="213"/>
      <c r="BO35" s="213"/>
      <c r="BP35" s="213"/>
      <c r="BQ35" s="213"/>
      <c r="BR35" s="213"/>
      <c r="BS35" s="213"/>
      <c r="BT35" s="213"/>
      <c r="BU35" s="213"/>
      <c r="BV35" s="213"/>
      <c r="BW35" s="213"/>
      <c r="BX35" s="213"/>
      <c r="BY35" s="213"/>
      <c r="BZ35" s="213"/>
      <c r="CA35" s="213"/>
      <c r="CB35" s="213"/>
      <c r="CC35" s="213"/>
      <c r="CD35" s="213"/>
      <c r="CE35" s="213"/>
      <c r="CF35" s="213"/>
      <c r="CG35" s="213"/>
      <c r="CH35" s="213"/>
      <c r="CI35" s="213"/>
      <c r="CJ35" s="213"/>
      <c r="CK35" s="213"/>
      <c r="CL35" s="213"/>
      <c r="CM35" s="213"/>
      <c r="CN35" s="213"/>
      <c r="CO35" s="213"/>
      <c r="CP35" s="213"/>
      <c r="CQ35" s="213"/>
      <c r="CR35" s="213"/>
      <c r="CS35" s="213"/>
      <c r="CT35" s="213"/>
      <c r="CU35" s="213"/>
      <c r="CV35" s="213"/>
      <c r="CW35" s="213"/>
      <c r="CX35" s="213"/>
      <c r="CY35" s="213"/>
      <c r="CZ35" s="213"/>
      <c r="DA35" s="213"/>
      <c r="DB35" s="213"/>
      <c r="DC35" s="213"/>
      <c r="DD35" s="213"/>
      <c r="DE35" s="213"/>
      <c r="DF35" s="213"/>
      <c r="DG35" s="213"/>
      <c r="DH35" s="213"/>
      <c r="DI35" s="213"/>
      <c r="DJ35" s="213"/>
      <c r="DK35" s="213"/>
      <c r="DL35" s="213"/>
      <c r="DM35" s="213"/>
      <c r="DN35" s="213"/>
      <c r="DO35" s="213"/>
      <c r="DP35" s="213"/>
      <c r="DQ35" s="213"/>
      <c r="DR35" s="213"/>
      <c r="DS35" s="213"/>
      <c r="DT35" s="213"/>
      <c r="DU35" s="213"/>
      <c r="DV35" s="210">
        <f>SUMPRODUCT((($I35+COLUMN($N$3:$DU$3)-COLUMN($N$3))&gt;='KALENDER MINGGU'!$B$6)*(($I35+COLUMN($N$3:$DU$3)-COLUMN($N$3))&lt;='KALENDER MINGGU'!$C$6)*(N35:DU35))/F35*H35</f>
        <v>0</v>
      </c>
      <c r="DW35" s="210">
        <f>SUMPRODUCT((($I35+COLUMN($N$3:$DU$3)-COLUMN($N$3))&gt;='KALENDER MINGGU'!$B$7)*(($I35+COLUMN($N$3:$DU$3)-COLUMN($N$3))&lt;='KALENDER MINGGU'!$C$7)*(N35:DU35))/F35*H35</f>
        <v>0</v>
      </c>
      <c r="DX35" s="210">
        <f>SUMPRODUCT((($I35+COLUMN($N$3:$DU$3)-COLUMN($N$3))&gt;='KALENDER MINGGU'!$B$8)*(($I35+COLUMN($N$3:$DU$3)-COLUMN($N$3))&lt;='KALENDER MINGGU'!$C$8)*(N35:DU35))/F35*H35</f>
        <v>0</v>
      </c>
      <c r="DY35" s="210">
        <f>SUMPRODUCT((($I35+COLUMN($N$3:$DU$3)-COLUMN($N$3))&gt;='KALENDER MINGGU'!$B$9)*(($I35+COLUMN($N$3:$DU$3)-COLUMN($N$3))&lt;='KALENDER MINGGU'!$C$9)*(N35:DU35))/F35*H35</f>
        <v>0</v>
      </c>
      <c r="DZ35" s="210">
        <f>SUMPRODUCT((($I35+COLUMN($N$3:$DU$3)-COLUMN($N$3))&gt;='KALENDER MINGGU'!$B$10)*(($I35+COLUMN($N$3:$DU$3)-COLUMN($N$3))&lt;='KALENDER MINGGU'!$C$10)*(N35:DU35))/F35*H35</f>
        <v>0</v>
      </c>
      <c r="EA35" s="210">
        <f>SUMPRODUCT((($I35+COLUMN($N$3:$DU$3)-COLUMN($N$3))&gt;='KALENDER MINGGU'!$B$11)*(($I35+COLUMN($N$3:$DU$3)-COLUMN($N$3))&lt;='KALENDER MINGGU'!$C$11)*(N35:DU35))/F35*H35</f>
        <v>0</v>
      </c>
      <c r="EB35" s="210">
        <f>SUMPRODUCT((($I35+COLUMN($N$3:$DU$3)-COLUMN($N$3))&gt;='KALENDER MINGGU'!$B$12)*(($I35+COLUMN($N$3:$DU$3)-COLUMN($N$3))&lt;='KALENDER MINGGU'!$C$12)*(N35:DU35))/F35*H35</f>
        <v>0</v>
      </c>
      <c r="EC35" s="210">
        <f>SUMPRODUCT((($I35+COLUMN($N$3:$DU$3)-COLUMN($N$3))&gt;='KALENDER MINGGU'!$B$13)*(($I35+COLUMN($N$3:$DU$3)-COLUMN($N$3))&lt;='KALENDER MINGGU'!$C$13)*(N35:DU35))/F35*H35</f>
        <v>0</v>
      </c>
      <c r="ED35" s="210">
        <f>SUMPRODUCT((($I35+COLUMN($N$3:$DU$3)-COLUMN($N$3))&gt;='KALENDER MINGGU'!$B$14)*(($I35+COLUMN($N$3:$DU$3)-COLUMN($N$3))&lt;='KALENDER MINGGU'!$C$14)*(N35:DU35))/F35*H35</f>
        <v>0</v>
      </c>
      <c r="EE35" s="210">
        <f>SUMPRODUCT((($I35+COLUMN($N$3:$DU$3)-COLUMN($N$3))&gt;='KALENDER MINGGU'!$B$15)*(($I35+COLUMN($N$3:$DU$3)-COLUMN($N$3))&lt;='KALENDER MINGGU'!$C$15)*(N35:DU35))/F35*H35</f>
        <v>0</v>
      </c>
      <c r="EF35" s="210">
        <f>SUMPRODUCT((($I35+COLUMN($N$3:$DU$3)-COLUMN($N$3))&gt;='KALENDER MINGGU'!$B$16)*(($I35+COLUMN($N$3:$DU$3)-COLUMN($N$3))&lt;='KALENDER MINGGU'!$C$16)*(N35:DU35))/F35*H35</f>
        <v>0</v>
      </c>
      <c r="EG35" s="210">
        <f>SUMPRODUCT((($I35+COLUMN($N$3:$DU$3)-COLUMN($N$3))&gt;='KALENDER MINGGU'!$B$17)*(($I35+COLUMN($N$3:$DU$3)-COLUMN($N$3))&lt;='KALENDER MINGGU'!$C$17)*(N35:DU35))/F35*H35</f>
        <v>0</v>
      </c>
      <c r="EH35" s="210">
        <f>SUMPRODUCT((($I35+COLUMN($N$3:$DU$3)-COLUMN($N$3))&gt;='KALENDER MINGGU'!$B$18)*(($I35+COLUMN($N$3:$DU$3)-COLUMN($N$3))&lt;='KALENDER MINGGU'!$C$18)*(N35:DU35))/F35*H35</f>
        <v>0</v>
      </c>
      <c r="EI35" s="210">
        <f>SUMPRODUCT((($I35+COLUMN($N$3:$DU$3)-COLUMN($N$3))&gt;='KALENDER MINGGU'!$B$19)*(($I35+COLUMN($N$3:$DU$3)-COLUMN($N$3))&lt;='KALENDER MINGGU'!$C$19)*(N35:DU35))/F35*H35</f>
        <v>0</v>
      </c>
      <c r="EJ35" s="210">
        <f>SUMPRODUCT((($I35+COLUMN($N$3:$DU$3)-COLUMN($N$3))&gt;='KALENDER MINGGU'!$B$20)*(($I35+COLUMN($N$3:$DU$3)-COLUMN($N$3))&lt;='KALENDER MINGGU'!$C$20)*(N35:DU35))/F35*H35</f>
        <v>0</v>
      </c>
      <c r="EK35" s="210">
        <f>SUMPRODUCT((($I35+COLUMN($N$3:$DU$3)-COLUMN($N$3))&gt;='KALENDER MINGGU'!$B$21)*(($I35+COLUMN($N$3:$DU$3)-COLUMN($N$3))&lt;='KALENDER MINGGU'!$C$21)*(N35:DU35))/F35*H35</f>
        <v>0</v>
      </c>
    </row>
    <row r="36" spans="1:141" ht="15" customHeight="1" x14ac:dyDescent="0.2">
      <c r="A36" s="208">
        <v>33</v>
      </c>
      <c r="B36" s="208">
        <v>48</v>
      </c>
      <c r="C36" s="208" t="str">
        <f>IF(B36&lt;160,'BOBOT PEK'!$B$4,IF(B36&lt;207,'BOBOT PEK'!$B$160,'BOBOT PEK'!$B$207))</f>
        <v>Pekerjaan Gudang Umum</v>
      </c>
      <c r="D36" s="208" t="s">
        <v>100</v>
      </c>
      <c r="E36" s="208" t="str">
        <f>'BOBOT PEK'!C48</f>
        <v>ex. Besi siku Uk. 40x40x4 mm</v>
      </c>
      <c r="F36" s="209">
        <f>IF(OR('BOBOT PEK'!E48="",'BOBOT PEK'!E48=0),1,'BOBOT PEK'!E48)</f>
        <v>352</v>
      </c>
      <c r="G36" s="208" t="str">
        <f>IF('BOBOT PEK'!F48="","ls",'BOBOT PEK'!F48)</f>
        <v>titik</v>
      </c>
      <c r="H36" s="210">
        <f>'BOBOT PEK'!J48</f>
        <v>1.1256848370416699</v>
      </c>
      <c r="I36" s="211">
        <f>'KALENDER MINGGU'!$B$3</f>
        <v>46226</v>
      </c>
      <c r="J36" s="209">
        <f t="shared" ref="J36:J67" si="4">SUM(N36:DU36)</f>
        <v>0</v>
      </c>
      <c r="K36" s="209">
        <f t="shared" ref="K36:K67" si="5">MAX(F36-J36,0)</f>
        <v>352</v>
      </c>
      <c r="L36" s="212">
        <f t="shared" ref="L36:L67" si="6">MIN(J36/F36,1)</f>
        <v>0</v>
      </c>
      <c r="M36" s="208" t="str">
        <f t="shared" ref="M36:M67" si="7">IF(J36&gt;F36,"MELEBIHI VOLUME!","OK")</f>
        <v>OK</v>
      </c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  <c r="BC36" s="213"/>
      <c r="BD36" s="213"/>
      <c r="BE36" s="213"/>
      <c r="BF36" s="213"/>
      <c r="BG36" s="213"/>
      <c r="BH36" s="213"/>
      <c r="BI36" s="213"/>
      <c r="BJ36" s="213"/>
      <c r="BK36" s="213"/>
      <c r="BL36" s="213"/>
      <c r="BM36" s="213"/>
      <c r="BN36" s="213"/>
      <c r="BO36" s="213"/>
      <c r="BP36" s="213"/>
      <c r="BQ36" s="213"/>
      <c r="BR36" s="213"/>
      <c r="BS36" s="213"/>
      <c r="BT36" s="213"/>
      <c r="BU36" s="213"/>
      <c r="BV36" s="213"/>
      <c r="BW36" s="213"/>
      <c r="BX36" s="213"/>
      <c r="BY36" s="213"/>
      <c r="BZ36" s="213"/>
      <c r="CA36" s="213"/>
      <c r="CB36" s="213"/>
      <c r="CC36" s="213"/>
      <c r="CD36" s="213"/>
      <c r="CE36" s="213"/>
      <c r="CF36" s="213"/>
      <c r="CG36" s="213"/>
      <c r="CH36" s="213"/>
      <c r="CI36" s="213"/>
      <c r="CJ36" s="213"/>
      <c r="CK36" s="213"/>
      <c r="CL36" s="213"/>
      <c r="CM36" s="213"/>
      <c r="CN36" s="213"/>
      <c r="CO36" s="213"/>
      <c r="CP36" s="213"/>
      <c r="CQ36" s="213"/>
      <c r="CR36" s="213"/>
      <c r="CS36" s="213"/>
      <c r="CT36" s="213"/>
      <c r="CU36" s="213"/>
      <c r="CV36" s="213"/>
      <c r="CW36" s="213"/>
      <c r="CX36" s="213"/>
      <c r="CY36" s="213"/>
      <c r="CZ36" s="213"/>
      <c r="DA36" s="213"/>
      <c r="DB36" s="213"/>
      <c r="DC36" s="213"/>
      <c r="DD36" s="213"/>
      <c r="DE36" s="213"/>
      <c r="DF36" s="213"/>
      <c r="DG36" s="213"/>
      <c r="DH36" s="213"/>
      <c r="DI36" s="213"/>
      <c r="DJ36" s="213"/>
      <c r="DK36" s="213"/>
      <c r="DL36" s="213"/>
      <c r="DM36" s="213"/>
      <c r="DN36" s="213"/>
      <c r="DO36" s="213"/>
      <c r="DP36" s="213"/>
      <c r="DQ36" s="213"/>
      <c r="DR36" s="213"/>
      <c r="DS36" s="213"/>
      <c r="DT36" s="213"/>
      <c r="DU36" s="213"/>
      <c r="DV36" s="210">
        <f>SUMPRODUCT((($I36+COLUMN($N$3:$DU$3)-COLUMN($N$3))&gt;='KALENDER MINGGU'!$B$6)*(($I36+COLUMN($N$3:$DU$3)-COLUMN($N$3))&lt;='KALENDER MINGGU'!$C$6)*(N36:DU36))/F36*H36</f>
        <v>0</v>
      </c>
      <c r="DW36" s="210">
        <f>SUMPRODUCT((($I36+COLUMN($N$3:$DU$3)-COLUMN($N$3))&gt;='KALENDER MINGGU'!$B$7)*(($I36+COLUMN($N$3:$DU$3)-COLUMN($N$3))&lt;='KALENDER MINGGU'!$C$7)*(N36:DU36))/F36*H36</f>
        <v>0</v>
      </c>
      <c r="DX36" s="210">
        <f>SUMPRODUCT((($I36+COLUMN($N$3:$DU$3)-COLUMN($N$3))&gt;='KALENDER MINGGU'!$B$8)*(($I36+COLUMN($N$3:$DU$3)-COLUMN($N$3))&lt;='KALENDER MINGGU'!$C$8)*(N36:DU36))/F36*H36</f>
        <v>0</v>
      </c>
      <c r="DY36" s="210">
        <f>SUMPRODUCT((($I36+COLUMN($N$3:$DU$3)-COLUMN($N$3))&gt;='KALENDER MINGGU'!$B$9)*(($I36+COLUMN($N$3:$DU$3)-COLUMN($N$3))&lt;='KALENDER MINGGU'!$C$9)*(N36:DU36))/F36*H36</f>
        <v>0</v>
      </c>
      <c r="DZ36" s="210">
        <f>SUMPRODUCT((($I36+COLUMN($N$3:$DU$3)-COLUMN($N$3))&gt;='KALENDER MINGGU'!$B$10)*(($I36+COLUMN($N$3:$DU$3)-COLUMN($N$3))&lt;='KALENDER MINGGU'!$C$10)*(N36:DU36))/F36*H36</f>
        <v>0</v>
      </c>
      <c r="EA36" s="210">
        <f>SUMPRODUCT((($I36+COLUMN($N$3:$DU$3)-COLUMN($N$3))&gt;='KALENDER MINGGU'!$B$11)*(($I36+COLUMN($N$3:$DU$3)-COLUMN($N$3))&lt;='KALENDER MINGGU'!$C$11)*(N36:DU36))/F36*H36</f>
        <v>0</v>
      </c>
      <c r="EB36" s="210">
        <f>SUMPRODUCT((($I36+COLUMN($N$3:$DU$3)-COLUMN($N$3))&gt;='KALENDER MINGGU'!$B$12)*(($I36+COLUMN($N$3:$DU$3)-COLUMN($N$3))&lt;='KALENDER MINGGU'!$C$12)*(N36:DU36))/F36*H36</f>
        <v>0</v>
      </c>
      <c r="EC36" s="210">
        <f>SUMPRODUCT((($I36+COLUMN($N$3:$DU$3)-COLUMN($N$3))&gt;='KALENDER MINGGU'!$B$13)*(($I36+COLUMN($N$3:$DU$3)-COLUMN($N$3))&lt;='KALENDER MINGGU'!$C$13)*(N36:DU36))/F36*H36</f>
        <v>0</v>
      </c>
      <c r="ED36" s="210">
        <f>SUMPRODUCT((($I36+COLUMN($N$3:$DU$3)-COLUMN($N$3))&gt;='KALENDER MINGGU'!$B$14)*(($I36+COLUMN($N$3:$DU$3)-COLUMN($N$3))&lt;='KALENDER MINGGU'!$C$14)*(N36:DU36))/F36*H36</f>
        <v>0</v>
      </c>
      <c r="EE36" s="210">
        <f>SUMPRODUCT((($I36+COLUMN($N$3:$DU$3)-COLUMN($N$3))&gt;='KALENDER MINGGU'!$B$15)*(($I36+COLUMN($N$3:$DU$3)-COLUMN($N$3))&lt;='KALENDER MINGGU'!$C$15)*(N36:DU36))/F36*H36</f>
        <v>0</v>
      </c>
      <c r="EF36" s="210">
        <f>SUMPRODUCT((($I36+COLUMN($N$3:$DU$3)-COLUMN($N$3))&gt;='KALENDER MINGGU'!$B$16)*(($I36+COLUMN($N$3:$DU$3)-COLUMN($N$3))&lt;='KALENDER MINGGU'!$C$16)*(N36:DU36))/F36*H36</f>
        <v>0</v>
      </c>
      <c r="EG36" s="210">
        <f>SUMPRODUCT((($I36+COLUMN($N$3:$DU$3)-COLUMN($N$3))&gt;='KALENDER MINGGU'!$B$17)*(($I36+COLUMN($N$3:$DU$3)-COLUMN($N$3))&lt;='KALENDER MINGGU'!$C$17)*(N36:DU36))/F36*H36</f>
        <v>0</v>
      </c>
      <c r="EH36" s="210">
        <f>SUMPRODUCT((($I36+COLUMN($N$3:$DU$3)-COLUMN($N$3))&gt;='KALENDER MINGGU'!$B$18)*(($I36+COLUMN($N$3:$DU$3)-COLUMN($N$3))&lt;='KALENDER MINGGU'!$C$18)*(N36:DU36))/F36*H36</f>
        <v>0</v>
      </c>
      <c r="EI36" s="210">
        <f>SUMPRODUCT((($I36+COLUMN($N$3:$DU$3)-COLUMN($N$3))&gt;='KALENDER MINGGU'!$B$19)*(($I36+COLUMN($N$3:$DU$3)-COLUMN($N$3))&lt;='KALENDER MINGGU'!$C$19)*(N36:DU36))/F36*H36</f>
        <v>0</v>
      </c>
      <c r="EJ36" s="210">
        <f>SUMPRODUCT((($I36+COLUMN($N$3:$DU$3)-COLUMN($N$3))&gt;='KALENDER MINGGU'!$B$20)*(($I36+COLUMN($N$3:$DU$3)-COLUMN($N$3))&lt;='KALENDER MINGGU'!$C$20)*(N36:DU36))/F36*H36</f>
        <v>0</v>
      </c>
      <c r="EK36" s="210">
        <f>SUMPRODUCT((($I36+COLUMN($N$3:$DU$3)-COLUMN($N$3))&gt;='KALENDER MINGGU'!$B$21)*(($I36+COLUMN($N$3:$DU$3)-COLUMN($N$3))&lt;='KALENDER MINGGU'!$C$21)*(N36:DU36))/F36*H36</f>
        <v>0</v>
      </c>
    </row>
    <row r="37" spans="1:141" ht="15" customHeight="1" x14ac:dyDescent="0.2">
      <c r="A37" s="208">
        <v>34</v>
      </c>
      <c r="B37" s="208">
        <v>49</v>
      </c>
      <c r="C37" s="208" t="str">
        <f>IF(B37&lt;160,'BOBOT PEK'!$B$4,IF(B37&lt;207,'BOBOT PEK'!$B$160,'BOBOT PEK'!$B$207))</f>
        <v>Pekerjaan Gudang Umum</v>
      </c>
      <c r="D37" s="208" t="s">
        <v>100</v>
      </c>
      <c r="E37" s="208" t="str">
        <f>'BOBOT PEK'!C49</f>
        <v>Pasang kawat razor (diameter gulungan 45-50 cm)</v>
      </c>
      <c r="F37" s="209">
        <f>IF(OR('BOBOT PEK'!E49="",'BOBOT PEK'!E49=0),1,'BOBOT PEK'!E49)</f>
        <v>528</v>
      </c>
      <c r="G37" s="208" t="str">
        <f>IF('BOBOT PEK'!F49="","ls",'BOBOT PEK'!F49)</f>
        <v>m'</v>
      </c>
      <c r="H37" s="210">
        <f>'BOBOT PEK'!J49</f>
        <v>1.1481985337825031</v>
      </c>
      <c r="I37" s="211">
        <f>'KALENDER MINGGU'!$B$3</f>
        <v>46226</v>
      </c>
      <c r="J37" s="209">
        <f t="shared" si="4"/>
        <v>0</v>
      </c>
      <c r="K37" s="209">
        <f t="shared" si="5"/>
        <v>528</v>
      </c>
      <c r="L37" s="212">
        <f t="shared" si="6"/>
        <v>0</v>
      </c>
      <c r="M37" s="208" t="str">
        <f t="shared" si="7"/>
        <v>OK</v>
      </c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  <c r="BC37" s="213"/>
      <c r="BD37" s="213"/>
      <c r="BE37" s="213"/>
      <c r="BF37" s="213"/>
      <c r="BG37" s="213"/>
      <c r="BH37" s="213"/>
      <c r="BI37" s="213"/>
      <c r="BJ37" s="213"/>
      <c r="BK37" s="213"/>
      <c r="BL37" s="213"/>
      <c r="BM37" s="213"/>
      <c r="BN37" s="213"/>
      <c r="BO37" s="213"/>
      <c r="BP37" s="213"/>
      <c r="BQ37" s="213"/>
      <c r="BR37" s="213"/>
      <c r="BS37" s="213"/>
      <c r="BT37" s="213"/>
      <c r="BU37" s="213"/>
      <c r="BV37" s="213"/>
      <c r="BW37" s="213"/>
      <c r="BX37" s="213"/>
      <c r="BY37" s="213"/>
      <c r="BZ37" s="213"/>
      <c r="CA37" s="213"/>
      <c r="CB37" s="213"/>
      <c r="CC37" s="213"/>
      <c r="CD37" s="213"/>
      <c r="CE37" s="213"/>
      <c r="CF37" s="213"/>
      <c r="CG37" s="213"/>
      <c r="CH37" s="213"/>
      <c r="CI37" s="213"/>
      <c r="CJ37" s="213"/>
      <c r="CK37" s="213"/>
      <c r="CL37" s="213"/>
      <c r="CM37" s="213"/>
      <c r="CN37" s="213"/>
      <c r="CO37" s="213"/>
      <c r="CP37" s="213"/>
      <c r="CQ37" s="213"/>
      <c r="CR37" s="213"/>
      <c r="CS37" s="213"/>
      <c r="CT37" s="213"/>
      <c r="CU37" s="213"/>
      <c r="CV37" s="213"/>
      <c r="CW37" s="213"/>
      <c r="CX37" s="213"/>
      <c r="CY37" s="213"/>
      <c r="CZ37" s="213"/>
      <c r="DA37" s="213"/>
      <c r="DB37" s="213"/>
      <c r="DC37" s="213"/>
      <c r="DD37" s="213"/>
      <c r="DE37" s="213"/>
      <c r="DF37" s="213"/>
      <c r="DG37" s="213"/>
      <c r="DH37" s="213"/>
      <c r="DI37" s="213"/>
      <c r="DJ37" s="213"/>
      <c r="DK37" s="213"/>
      <c r="DL37" s="213"/>
      <c r="DM37" s="213"/>
      <c r="DN37" s="213"/>
      <c r="DO37" s="213"/>
      <c r="DP37" s="213"/>
      <c r="DQ37" s="213"/>
      <c r="DR37" s="213"/>
      <c r="DS37" s="213"/>
      <c r="DT37" s="213"/>
      <c r="DU37" s="213"/>
      <c r="DV37" s="210">
        <f>SUMPRODUCT((($I37+COLUMN($N$3:$DU$3)-COLUMN($N$3))&gt;='KALENDER MINGGU'!$B$6)*(($I37+COLUMN($N$3:$DU$3)-COLUMN($N$3))&lt;='KALENDER MINGGU'!$C$6)*(N37:DU37))/F37*H37</f>
        <v>0</v>
      </c>
      <c r="DW37" s="210">
        <f>SUMPRODUCT((($I37+COLUMN($N$3:$DU$3)-COLUMN($N$3))&gt;='KALENDER MINGGU'!$B$7)*(($I37+COLUMN($N$3:$DU$3)-COLUMN($N$3))&lt;='KALENDER MINGGU'!$C$7)*(N37:DU37))/F37*H37</f>
        <v>0</v>
      </c>
      <c r="DX37" s="210">
        <f>SUMPRODUCT((($I37+COLUMN($N$3:$DU$3)-COLUMN($N$3))&gt;='KALENDER MINGGU'!$B$8)*(($I37+COLUMN($N$3:$DU$3)-COLUMN($N$3))&lt;='KALENDER MINGGU'!$C$8)*(N37:DU37))/F37*H37</f>
        <v>0</v>
      </c>
      <c r="DY37" s="210">
        <f>SUMPRODUCT((($I37+COLUMN($N$3:$DU$3)-COLUMN($N$3))&gt;='KALENDER MINGGU'!$B$9)*(($I37+COLUMN($N$3:$DU$3)-COLUMN($N$3))&lt;='KALENDER MINGGU'!$C$9)*(N37:DU37))/F37*H37</f>
        <v>0</v>
      </c>
      <c r="DZ37" s="210">
        <f>SUMPRODUCT((($I37+COLUMN($N$3:$DU$3)-COLUMN($N$3))&gt;='KALENDER MINGGU'!$B$10)*(($I37+COLUMN($N$3:$DU$3)-COLUMN($N$3))&lt;='KALENDER MINGGU'!$C$10)*(N37:DU37))/F37*H37</f>
        <v>0</v>
      </c>
      <c r="EA37" s="210">
        <f>SUMPRODUCT((($I37+COLUMN($N$3:$DU$3)-COLUMN($N$3))&gt;='KALENDER MINGGU'!$B$11)*(($I37+COLUMN($N$3:$DU$3)-COLUMN($N$3))&lt;='KALENDER MINGGU'!$C$11)*(N37:DU37))/F37*H37</f>
        <v>0</v>
      </c>
      <c r="EB37" s="210">
        <f>SUMPRODUCT((($I37+COLUMN($N$3:$DU$3)-COLUMN($N$3))&gt;='KALENDER MINGGU'!$B$12)*(($I37+COLUMN($N$3:$DU$3)-COLUMN($N$3))&lt;='KALENDER MINGGU'!$C$12)*(N37:DU37))/F37*H37</f>
        <v>0</v>
      </c>
      <c r="EC37" s="210">
        <f>SUMPRODUCT((($I37+COLUMN($N$3:$DU$3)-COLUMN($N$3))&gt;='KALENDER MINGGU'!$B$13)*(($I37+COLUMN($N$3:$DU$3)-COLUMN($N$3))&lt;='KALENDER MINGGU'!$C$13)*(N37:DU37))/F37*H37</f>
        <v>0</v>
      </c>
      <c r="ED37" s="210">
        <f>SUMPRODUCT((($I37+COLUMN($N$3:$DU$3)-COLUMN($N$3))&gt;='KALENDER MINGGU'!$B$14)*(($I37+COLUMN($N$3:$DU$3)-COLUMN($N$3))&lt;='KALENDER MINGGU'!$C$14)*(N37:DU37))/F37*H37</f>
        <v>0</v>
      </c>
      <c r="EE37" s="210">
        <f>SUMPRODUCT((($I37+COLUMN($N$3:$DU$3)-COLUMN($N$3))&gt;='KALENDER MINGGU'!$B$15)*(($I37+COLUMN($N$3:$DU$3)-COLUMN($N$3))&lt;='KALENDER MINGGU'!$C$15)*(N37:DU37))/F37*H37</f>
        <v>0</v>
      </c>
      <c r="EF37" s="210">
        <f>SUMPRODUCT((($I37+COLUMN($N$3:$DU$3)-COLUMN($N$3))&gt;='KALENDER MINGGU'!$B$16)*(($I37+COLUMN($N$3:$DU$3)-COLUMN($N$3))&lt;='KALENDER MINGGU'!$C$16)*(N37:DU37))/F37*H37</f>
        <v>0</v>
      </c>
      <c r="EG37" s="210">
        <f>SUMPRODUCT((($I37+COLUMN($N$3:$DU$3)-COLUMN($N$3))&gt;='KALENDER MINGGU'!$B$17)*(($I37+COLUMN($N$3:$DU$3)-COLUMN($N$3))&lt;='KALENDER MINGGU'!$C$17)*(N37:DU37))/F37*H37</f>
        <v>0</v>
      </c>
      <c r="EH37" s="210">
        <f>SUMPRODUCT((($I37+COLUMN($N$3:$DU$3)-COLUMN($N$3))&gt;='KALENDER MINGGU'!$B$18)*(($I37+COLUMN($N$3:$DU$3)-COLUMN($N$3))&lt;='KALENDER MINGGU'!$C$18)*(N37:DU37))/F37*H37</f>
        <v>0</v>
      </c>
      <c r="EI37" s="210">
        <f>SUMPRODUCT((($I37+COLUMN($N$3:$DU$3)-COLUMN($N$3))&gt;='KALENDER MINGGU'!$B$19)*(($I37+COLUMN($N$3:$DU$3)-COLUMN($N$3))&lt;='KALENDER MINGGU'!$C$19)*(N37:DU37))/F37*H37</f>
        <v>0</v>
      </c>
      <c r="EJ37" s="210">
        <f>SUMPRODUCT((($I37+COLUMN($N$3:$DU$3)-COLUMN($N$3))&gt;='KALENDER MINGGU'!$B$20)*(($I37+COLUMN($N$3:$DU$3)-COLUMN($N$3))&lt;='KALENDER MINGGU'!$C$20)*(N37:DU37))/F37*H37</f>
        <v>0</v>
      </c>
      <c r="EK37" s="210">
        <f>SUMPRODUCT((($I37+COLUMN($N$3:$DU$3)-COLUMN($N$3))&gt;='KALENDER MINGGU'!$B$21)*(($I37+COLUMN($N$3:$DU$3)-COLUMN($N$3))&lt;='KALENDER MINGGU'!$C$21)*(N37:DU37))/F37*H37</f>
        <v>0</v>
      </c>
    </row>
    <row r="38" spans="1:141" ht="15" customHeight="1" x14ac:dyDescent="0.2">
      <c r="A38" s="208">
        <v>35</v>
      </c>
      <c r="B38" s="208">
        <v>53</v>
      </c>
      <c r="C38" s="208" t="str">
        <f>IF(B38&lt;160,'BOBOT PEK'!$B$4,IF(B38&lt;207,'BOBOT PEK'!$B$160,'BOBOT PEK'!$B$207))</f>
        <v>Pekerjaan Gudang Umum</v>
      </c>
      <c r="D38" s="208" t="s">
        <v>112</v>
      </c>
      <c r="E38" s="208" t="str">
        <f>'BOBOT PEK'!C53</f>
        <v>Pekerjaan refinishing pagar depan</v>
      </c>
      <c r="F38" s="209">
        <f>IF(OR('BOBOT PEK'!E53="",'BOBOT PEK'!E53=0),1,'BOBOT PEK'!E53)</f>
        <v>85</v>
      </c>
      <c r="G38" s="208" t="str">
        <f>IF('BOBOT PEK'!F53="","ls",'BOBOT PEK'!F53)</f>
        <v>m²</v>
      </c>
      <c r="H38" s="210">
        <f>'BOBOT PEK'!J53</f>
        <v>0.13286918639036166</v>
      </c>
      <c r="I38" s="211">
        <f>'KALENDER MINGGU'!$B$3</f>
        <v>46226</v>
      </c>
      <c r="J38" s="209">
        <f t="shared" si="4"/>
        <v>84</v>
      </c>
      <c r="K38" s="209">
        <f t="shared" si="5"/>
        <v>1</v>
      </c>
      <c r="L38" s="212">
        <f t="shared" si="6"/>
        <v>0.9882352941176471</v>
      </c>
      <c r="M38" s="208" t="str">
        <f t="shared" si="7"/>
        <v>OK</v>
      </c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213"/>
      <c r="AE38" s="213"/>
      <c r="AF38" s="213"/>
      <c r="AG38" s="213"/>
      <c r="AH38" s="213"/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  <c r="BC38" s="213"/>
      <c r="BD38" s="213"/>
      <c r="BE38" s="213"/>
      <c r="BF38" s="213"/>
      <c r="BG38" s="213"/>
      <c r="BH38" s="213">
        <v>6</v>
      </c>
      <c r="BI38" s="213">
        <v>6</v>
      </c>
      <c r="BJ38" s="213">
        <v>6</v>
      </c>
      <c r="BK38" s="213">
        <v>6</v>
      </c>
      <c r="BL38" s="213"/>
      <c r="BM38" s="213"/>
      <c r="BN38" s="213"/>
      <c r="BO38" s="213"/>
      <c r="BP38" s="213">
        <v>20</v>
      </c>
      <c r="BQ38" s="213">
        <v>20</v>
      </c>
      <c r="BR38" s="213">
        <v>10</v>
      </c>
      <c r="BS38" s="213"/>
      <c r="BT38" s="213"/>
      <c r="BU38" s="213"/>
      <c r="BV38" s="213"/>
      <c r="BW38" s="213"/>
      <c r="BX38" s="213"/>
      <c r="BY38" s="213"/>
      <c r="BZ38" s="213">
        <v>10</v>
      </c>
      <c r="CA38" s="213"/>
      <c r="CB38" s="213"/>
      <c r="CC38" s="213"/>
      <c r="CD38" s="213"/>
      <c r="CE38" s="213"/>
      <c r="CF38" s="213"/>
      <c r="CG38" s="213"/>
      <c r="CH38" s="213"/>
      <c r="CI38" s="213"/>
      <c r="CJ38" s="213"/>
      <c r="CK38" s="213"/>
      <c r="CL38" s="213"/>
      <c r="CM38" s="213"/>
      <c r="CN38" s="213"/>
      <c r="CO38" s="213"/>
      <c r="CP38" s="213"/>
      <c r="CQ38" s="213"/>
      <c r="CR38" s="213"/>
      <c r="CS38" s="213"/>
      <c r="CT38" s="213"/>
      <c r="CU38" s="213"/>
      <c r="CV38" s="213"/>
      <c r="CW38" s="213"/>
      <c r="CX38" s="213"/>
      <c r="CY38" s="213"/>
      <c r="CZ38" s="213"/>
      <c r="DA38" s="213"/>
      <c r="DB38" s="213"/>
      <c r="DC38" s="213"/>
      <c r="DD38" s="213"/>
      <c r="DE38" s="213"/>
      <c r="DF38" s="213"/>
      <c r="DG38" s="213"/>
      <c r="DH38" s="213"/>
      <c r="DI38" s="213"/>
      <c r="DJ38" s="213"/>
      <c r="DK38" s="213"/>
      <c r="DL38" s="213"/>
      <c r="DM38" s="213"/>
      <c r="DN38" s="213"/>
      <c r="DO38" s="213"/>
      <c r="DP38" s="213"/>
      <c r="DQ38" s="213"/>
      <c r="DR38" s="213"/>
      <c r="DS38" s="213"/>
      <c r="DT38" s="213"/>
      <c r="DU38" s="213"/>
      <c r="DV38" s="210">
        <f>SUMPRODUCT((($I38+COLUMN($N$3:$DU$3)-COLUMN($N$3))&gt;='KALENDER MINGGU'!$B$6)*(($I38+COLUMN($N$3:$DU$3)-COLUMN($N$3))&lt;='KALENDER MINGGU'!$C$6)*(N38:DU38))/F38*H38</f>
        <v>0</v>
      </c>
      <c r="DW38" s="210">
        <f>SUMPRODUCT((($I38+COLUMN($N$3:$DU$3)-COLUMN($N$3))&gt;='KALENDER MINGGU'!$B$7)*(($I38+COLUMN($N$3:$DU$3)-COLUMN($N$3))&lt;='KALENDER MINGGU'!$C$7)*(N38:DU38))/F38*H38</f>
        <v>0</v>
      </c>
      <c r="DX38" s="210">
        <f>SUMPRODUCT((($I38+COLUMN($N$3:$DU$3)-COLUMN($N$3))&gt;='KALENDER MINGGU'!$B$8)*(($I38+COLUMN($N$3:$DU$3)-COLUMN($N$3))&lt;='KALENDER MINGGU'!$C$8)*(N38:DU38))/F38*H38</f>
        <v>0</v>
      </c>
      <c r="DY38" s="210">
        <f>SUMPRODUCT((($I38+COLUMN($N$3:$DU$3)-COLUMN($N$3))&gt;='KALENDER MINGGU'!$B$9)*(($I38+COLUMN($N$3:$DU$3)-COLUMN($N$3))&lt;='KALENDER MINGGU'!$C$9)*(N38:DU38))/F38*H38</f>
        <v>0</v>
      </c>
      <c r="DZ38" s="210">
        <f>SUMPRODUCT((($I38+COLUMN($N$3:$DU$3)-COLUMN($N$3))&gt;='KALENDER MINGGU'!$B$10)*(($I38+COLUMN($N$3:$DU$3)-COLUMN($N$3))&lt;='KALENDER MINGGU'!$C$10)*(N38:DU38))/F38*H38</f>
        <v>0</v>
      </c>
      <c r="EA38" s="210">
        <f>SUMPRODUCT((($I38+COLUMN($N$3:$DU$3)-COLUMN($N$3))&gt;='KALENDER MINGGU'!$B$11)*(($I38+COLUMN($N$3:$DU$3)-COLUMN($N$3))&lt;='KALENDER MINGGU'!$C$11)*(N38:DU38))/F38*H38</f>
        <v>0</v>
      </c>
      <c r="EB38" s="210">
        <f>SUMPRODUCT((($I38+COLUMN($N$3:$DU$3)-COLUMN($N$3))&gt;='KALENDER MINGGU'!$B$12)*(($I38+COLUMN($N$3:$DU$3)-COLUMN($N$3))&lt;='KALENDER MINGGU'!$C$12)*(N38:DU38))/F38*H38</f>
        <v>2.8137004176782467E-2</v>
      </c>
      <c r="EC38" s="210">
        <f>SUMPRODUCT((($I38+COLUMN($N$3:$DU$3)-COLUMN($N$3))&gt;='KALENDER MINGGU'!$B$13)*(($I38+COLUMN($N$3:$DU$3)-COLUMN($N$3))&lt;='KALENDER MINGGU'!$C$13)*(N38:DU38))/F38*H38</f>
        <v>7.1905677340666302E-2</v>
      </c>
      <c r="ED38" s="210">
        <f>SUMPRODUCT((($I38+COLUMN($N$3:$DU$3)-COLUMN($N$3))&gt;='KALENDER MINGGU'!$B$14)*(($I38+COLUMN($N$3:$DU$3)-COLUMN($N$3))&lt;='KALENDER MINGGU'!$C$14)*(N38:DU38))/F38*H38</f>
        <v>1.5631668987101371E-2</v>
      </c>
      <c r="EE38" s="210">
        <f>SUMPRODUCT((($I38+COLUMN($N$3:$DU$3)-COLUMN($N$3))&gt;='KALENDER MINGGU'!$B$15)*(($I38+COLUMN($N$3:$DU$3)-COLUMN($N$3))&lt;='KALENDER MINGGU'!$C$15)*(N38:DU38))/F38*H38</f>
        <v>1.5631668987101371E-2</v>
      </c>
      <c r="EF38" s="210">
        <f>SUMPRODUCT((($I38+COLUMN($N$3:$DU$3)-COLUMN($N$3))&gt;='KALENDER MINGGU'!$B$16)*(($I38+COLUMN($N$3:$DU$3)-COLUMN($N$3))&lt;='KALENDER MINGGU'!$C$16)*(N38:DU38))/F38*H38</f>
        <v>0</v>
      </c>
      <c r="EG38" s="210">
        <f>SUMPRODUCT((($I38+COLUMN($N$3:$DU$3)-COLUMN($N$3))&gt;='KALENDER MINGGU'!$B$17)*(($I38+COLUMN($N$3:$DU$3)-COLUMN($N$3))&lt;='KALENDER MINGGU'!$C$17)*(N38:DU38))/F38*H38</f>
        <v>0</v>
      </c>
      <c r="EH38" s="210">
        <f>SUMPRODUCT((($I38+COLUMN($N$3:$DU$3)-COLUMN($N$3))&gt;='KALENDER MINGGU'!$B$18)*(($I38+COLUMN($N$3:$DU$3)-COLUMN($N$3))&lt;='KALENDER MINGGU'!$C$18)*(N38:DU38))/F38*H38</f>
        <v>0</v>
      </c>
      <c r="EI38" s="210">
        <f>SUMPRODUCT((($I38+COLUMN($N$3:$DU$3)-COLUMN($N$3))&gt;='KALENDER MINGGU'!$B$19)*(($I38+COLUMN($N$3:$DU$3)-COLUMN($N$3))&lt;='KALENDER MINGGU'!$C$19)*(N38:DU38))/F38*H38</f>
        <v>0</v>
      </c>
      <c r="EJ38" s="210">
        <f>SUMPRODUCT((($I38+COLUMN($N$3:$DU$3)-COLUMN($N$3))&gt;='KALENDER MINGGU'!$B$20)*(($I38+COLUMN($N$3:$DU$3)-COLUMN($N$3))&lt;='KALENDER MINGGU'!$C$20)*(N38:DU38))/F38*H38</f>
        <v>0</v>
      </c>
      <c r="EK38" s="210">
        <f>SUMPRODUCT((($I38+COLUMN($N$3:$DU$3)-COLUMN($N$3))&gt;='KALENDER MINGGU'!$B$21)*(($I38+COLUMN($N$3:$DU$3)-COLUMN($N$3))&lt;='KALENDER MINGGU'!$C$21)*(N38:DU38))/F38*H38</f>
        <v>0</v>
      </c>
    </row>
    <row r="39" spans="1:141" ht="15" customHeight="1" x14ac:dyDescent="0.2">
      <c r="A39" s="208">
        <v>36</v>
      </c>
      <c r="B39" s="208">
        <v>54</v>
      </c>
      <c r="C39" s="208" t="str">
        <f>IF(B39&lt;160,'BOBOT PEK'!$B$4,IF(B39&lt;207,'BOBOT PEK'!$B$160,'BOBOT PEK'!$B$207))</f>
        <v>Pekerjaan Gudang Umum</v>
      </c>
      <c r="D39" s="208" t="s">
        <v>112</v>
      </c>
      <c r="E39" s="208" t="str">
        <f>'BOBOT PEK'!C54</f>
        <v>Pekerjaan refinishing pintu dan tralis pagar depan</v>
      </c>
      <c r="F39" s="209">
        <f>IF(OR('BOBOT PEK'!E54="",'BOBOT PEK'!E54=0),1,'BOBOT PEK'!E54)</f>
        <v>100</v>
      </c>
      <c r="G39" s="208" t="str">
        <f>IF('BOBOT PEK'!F54="","ls",'BOBOT PEK'!F54)</f>
        <v>m²</v>
      </c>
      <c r="H39" s="210">
        <f>'BOBOT PEK'!J54</f>
        <v>0.21746184351941347</v>
      </c>
      <c r="I39" s="211">
        <f>'KALENDER MINGGU'!$B$3</f>
        <v>46226</v>
      </c>
      <c r="J39" s="209">
        <f t="shared" si="4"/>
        <v>84</v>
      </c>
      <c r="K39" s="209">
        <f t="shared" si="5"/>
        <v>16</v>
      </c>
      <c r="L39" s="212">
        <f t="shared" si="6"/>
        <v>0.84</v>
      </c>
      <c r="M39" s="208" t="str">
        <f t="shared" si="7"/>
        <v>OK</v>
      </c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  <c r="BC39" s="213"/>
      <c r="BD39" s="213"/>
      <c r="BE39" s="213"/>
      <c r="BF39" s="213"/>
      <c r="BG39" s="213"/>
      <c r="BH39" s="213">
        <v>2</v>
      </c>
      <c r="BI39" s="213">
        <v>2</v>
      </c>
      <c r="BJ39" s="213">
        <v>2</v>
      </c>
      <c r="BK39" s="213">
        <v>3</v>
      </c>
      <c r="BL39" s="213"/>
      <c r="BM39" s="213"/>
      <c r="BN39" s="213"/>
      <c r="BO39" s="213">
        <v>10</v>
      </c>
      <c r="BP39" s="213">
        <v>10</v>
      </c>
      <c r="BQ39" s="213">
        <v>10</v>
      </c>
      <c r="BR39" s="213">
        <v>15</v>
      </c>
      <c r="BS39" s="213">
        <v>10</v>
      </c>
      <c r="BT39" s="213"/>
      <c r="BU39" s="213"/>
      <c r="BV39" s="213"/>
      <c r="BW39" s="213"/>
      <c r="BX39" s="213"/>
      <c r="BY39" s="213"/>
      <c r="BZ39" s="213"/>
      <c r="CA39" s="213">
        <v>10</v>
      </c>
      <c r="CB39" s="213">
        <v>10</v>
      </c>
      <c r="CC39" s="213"/>
      <c r="CD39" s="213"/>
      <c r="CE39" s="213"/>
      <c r="CF39" s="213"/>
      <c r="CG39" s="213"/>
      <c r="CH39" s="213"/>
      <c r="CI39" s="213"/>
      <c r="CJ39" s="213"/>
      <c r="CK39" s="213"/>
      <c r="CL39" s="213"/>
      <c r="CM39" s="213"/>
      <c r="CN39" s="213"/>
      <c r="CO39" s="213"/>
      <c r="CP39" s="213"/>
      <c r="CQ39" s="213"/>
      <c r="CR39" s="213"/>
      <c r="CS39" s="213"/>
      <c r="CT39" s="213"/>
      <c r="CU39" s="213"/>
      <c r="CV39" s="213"/>
      <c r="CW39" s="213"/>
      <c r="CX39" s="213"/>
      <c r="CY39" s="213"/>
      <c r="CZ39" s="213"/>
      <c r="DA39" s="213"/>
      <c r="DB39" s="213"/>
      <c r="DC39" s="213"/>
      <c r="DD39" s="213"/>
      <c r="DE39" s="213"/>
      <c r="DF39" s="213"/>
      <c r="DG39" s="213"/>
      <c r="DH39" s="213"/>
      <c r="DI39" s="213"/>
      <c r="DJ39" s="213"/>
      <c r="DK39" s="213"/>
      <c r="DL39" s="213"/>
      <c r="DM39" s="213"/>
      <c r="DN39" s="213"/>
      <c r="DO39" s="213"/>
      <c r="DP39" s="213"/>
      <c r="DQ39" s="213"/>
      <c r="DR39" s="213"/>
      <c r="DS39" s="213"/>
      <c r="DT39" s="213"/>
      <c r="DU39" s="213"/>
      <c r="DV39" s="210">
        <f>SUMPRODUCT((($I39+COLUMN($N$3:$DU$3)-COLUMN($N$3))&gt;='KALENDER MINGGU'!$B$6)*(($I39+COLUMN($N$3:$DU$3)-COLUMN($N$3))&lt;='KALENDER MINGGU'!$C$6)*(N39:DU39))/F39*H39</f>
        <v>0</v>
      </c>
      <c r="DW39" s="210">
        <f>SUMPRODUCT((($I39+COLUMN($N$3:$DU$3)-COLUMN($N$3))&gt;='KALENDER MINGGU'!$B$7)*(($I39+COLUMN($N$3:$DU$3)-COLUMN($N$3))&lt;='KALENDER MINGGU'!$C$7)*(N39:DU39))/F39*H39</f>
        <v>0</v>
      </c>
      <c r="DX39" s="210">
        <f>SUMPRODUCT((($I39+COLUMN($N$3:$DU$3)-COLUMN($N$3))&gt;='KALENDER MINGGU'!$B$8)*(($I39+COLUMN($N$3:$DU$3)-COLUMN($N$3))&lt;='KALENDER MINGGU'!$C$8)*(N39:DU39))/F39*H39</f>
        <v>0</v>
      </c>
      <c r="DY39" s="210">
        <f>SUMPRODUCT((($I39+COLUMN($N$3:$DU$3)-COLUMN($N$3))&gt;='KALENDER MINGGU'!$B$9)*(($I39+COLUMN($N$3:$DU$3)-COLUMN($N$3))&lt;='KALENDER MINGGU'!$C$9)*(N39:DU39))/F39*H39</f>
        <v>0</v>
      </c>
      <c r="DZ39" s="210">
        <f>SUMPRODUCT((($I39+COLUMN($N$3:$DU$3)-COLUMN($N$3))&gt;='KALENDER MINGGU'!$B$10)*(($I39+COLUMN($N$3:$DU$3)-COLUMN($N$3))&lt;='KALENDER MINGGU'!$C$10)*(N39:DU39))/F39*H39</f>
        <v>0</v>
      </c>
      <c r="EA39" s="210">
        <f>SUMPRODUCT((($I39+COLUMN($N$3:$DU$3)-COLUMN($N$3))&gt;='KALENDER MINGGU'!$B$11)*(($I39+COLUMN($N$3:$DU$3)-COLUMN($N$3))&lt;='KALENDER MINGGU'!$C$11)*(N39:DU39))/F39*H39</f>
        <v>0</v>
      </c>
      <c r="EB39" s="210">
        <f>SUMPRODUCT((($I39+COLUMN($N$3:$DU$3)-COLUMN($N$3))&gt;='KALENDER MINGGU'!$B$12)*(($I39+COLUMN($N$3:$DU$3)-COLUMN($N$3))&lt;='KALENDER MINGGU'!$C$12)*(N39:DU39))/F39*H39</f>
        <v>1.3047710611164809E-2</v>
      </c>
      <c r="EC39" s="210">
        <f>SUMPRODUCT((($I39+COLUMN($N$3:$DU$3)-COLUMN($N$3))&gt;='KALENDER MINGGU'!$B$13)*(($I39+COLUMN($N$3:$DU$3)-COLUMN($N$3))&lt;='KALENDER MINGGU'!$C$13)*(N39:DU39))/F39*H39</f>
        <v>7.1762408361406446E-2</v>
      </c>
      <c r="ED39" s="210">
        <f>SUMPRODUCT((($I39+COLUMN($N$3:$DU$3)-COLUMN($N$3))&gt;='KALENDER MINGGU'!$B$14)*(($I39+COLUMN($N$3:$DU$3)-COLUMN($N$3))&lt;='KALENDER MINGGU'!$C$14)*(N39:DU39))/F39*H39</f>
        <v>5.4365460879853368E-2</v>
      </c>
      <c r="EE39" s="210">
        <f>SUMPRODUCT((($I39+COLUMN($N$3:$DU$3)-COLUMN($N$3))&gt;='KALENDER MINGGU'!$B$15)*(($I39+COLUMN($N$3:$DU$3)-COLUMN($N$3))&lt;='KALENDER MINGGU'!$C$15)*(N39:DU39))/F39*H39</f>
        <v>4.3492368703882699E-2</v>
      </c>
      <c r="EF39" s="210">
        <f>SUMPRODUCT((($I39+COLUMN($N$3:$DU$3)-COLUMN($N$3))&gt;='KALENDER MINGGU'!$B$16)*(($I39+COLUMN($N$3:$DU$3)-COLUMN($N$3))&lt;='KALENDER MINGGU'!$C$16)*(N39:DU39))/F39*H39</f>
        <v>0</v>
      </c>
      <c r="EG39" s="210">
        <f>SUMPRODUCT((($I39+COLUMN($N$3:$DU$3)-COLUMN($N$3))&gt;='KALENDER MINGGU'!$B$17)*(($I39+COLUMN($N$3:$DU$3)-COLUMN($N$3))&lt;='KALENDER MINGGU'!$C$17)*(N39:DU39))/F39*H39</f>
        <v>0</v>
      </c>
      <c r="EH39" s="210">
        <f>SUMPRODUCT((($I39+COLUMN($N$3:$DU$3)-COLUMN($N$3))&gt;='KALENDER MINGGU'!$B$18)*(($I39+COLUMN($N$3:$DU$3)-COLUMN($N$3))&lt;='KALENDER MINGGU'!$C$18)*(N39:DU39))/F39*H39</f>
        <v>0</v>
      </c>
      <c r="EI39" s="210">
        <f>SUMPRODUCT((($I39+COLUMN($N$3:$DU$3)-COLUMN($N$3))&gt;='KALENDER MINGGU'!$B$19)*(($I39+COLUMN($N$3:$DU$3)-COLUMN($N$3))&lt;='KALENDER MINGGU'!$C$19)*(N39:DU39))/F39*H39</f>
        <v>0</v>
      </c>
      <c r="EJ39" s="210">
        <f>SUMPRODUCT((($I39+COLUMN($N$3:$DU$3)-COLUMN($N$3))&gt;='KALENDER MINGGU'!$B$20)*(($I39+COLUMN($N$3:$DU$3)-COLUMN($N$3))&lt;='KALENDER MINGGU'!$C$20)*(N39:DU39))/F39*H39</f>
        <v>0</v>
      </c>
      <c r="EK39" s="210">
        <f>SUMPRODUCT((($I39+COLUMN($N$3:$DU$3)-COLUMN($N$3))&gt;='KALENDER MINGGU'!$B$21)*(($I39+COLUMN($N$3:$DU$3)-COLUMN($N$3))&lt;='KALENDER MINGGU'!$C$21)*(N39:DU39))/F39*H39</f>
        <v>0</v>
      </c>
    </row>
    <row r="40" spans="1:141" ht="15" customHeight="1" x14ac:dyDescent="0.2">
      <c r="A40" s="208">
        <v>37</v>
      </c>
      <c r="B40" s="208">
        <v>55</v>
      </c>
      <c r="C40" s="208" t="str">
        <f>IF(B40&lt;160,'BOBOT PEK'!$B$4,IF(B40&lt;207,'BOBOT PEK'!$B$160,'BOBOT PEK'!$B$207))</f>
        <v>Pekerjaan Gudang Umum</v>
      </c>
      <c r="D40" s="208" t="s">
        <v>112</v>
      </c>
      <c r="E40" s="208" t="str">
        <f>'BOBOT PEK'!C55</f>
        <v>Pekerjaan pintu boom gate pintu utama</v>
      </c>
      <c r="F40" s="209">
        <f>IF(OR('BOBOT PEK'!E55="",'BOBOT PEK'!E55=0),1,'BOBOT PEK'!E55)</f>
        <v>1</v>
      </c>
      <c r="G40" s="208" t="str">
        <f>IF('BOBOT PEK'!F55="","ls",'BOBOT PEK'!F55)</f>
        <v>ls</v>
      </c>
      <c r="H40" s="210">
        <f>'BOBOT PEK'!J55</f>
        <v>0</v>
      </c>
      <c r="I40" s="211">
        <f>'KALENDER MINGGU'!$B$3</f>
        <v>46226</v>
      </c>
      <c r="J40" s="209">
        <f t="shared" si="4"/>
        <v>0</v>
      </c>
      <c r="K40" s="209">
        <f t="shared" si="5"/>
        <v>1</v>
      </c>
      <c r="L40" s="212">
        <f t="shared" si="6"/>
        <v>0</v>
      </c>
      <c r="M40" s="208" t="str">
        <f t="shared" si="7"/>
        <v>OK</v>
      </c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  <c r="BC40" s="213"/>
      <c r="BD40" s="213"/>
      <c r="BE40" s="213"/>
      <c r="BF40" s="213"/>
      <c r="BG40" s="213"/>
      <c r="BH40" s="213"/>
      <c r="BI40" s="213"/>
      <c r="BJ40" s="213"/>
      <c r="BK40" s="213"/>
      <c r="BL40" s="213"/>
      <c r="BM40" s="213"/>
      <c r="BN40" s="213"/>
      <c r="BO40" s="213"/>
      <c r="BP40" s="213"/>
      <c r="BQ40" s="213"/>
      <c r="BR40" s="213"/>
      <c r="BS40" s="213"/>
      <c r="BT40" s="213"/>
      <c r="BU40" s="213"/>
      <c r="BV40" s="213"/>
      <c r="BW40" s="213"/>
      <c r="BX40" s="213"/>
      <c r="BY40" s="213"/>
      <c r="BZ40" s="213"/>
      <c r="CA40" s="213"/>
      <c r="CB40" s="213"/>
      <c r="CC40" s="213"/>
      <c r="CD40" s="213"/>
      <c r="CE40" s="213"/>
      <c r="CF40" s="213"/>
      <c r="CG40" s="213"/>
      <c r="CH40" s="213"/>
      <c r="CI40" s="213"/>
      <c r="CJ40" s="213"/>
      <c r="CK40" s="213"/>
      <c r="CL40" s="213"/>
      <c r="CM40" s="213"/>
      <c r="CN40" s="213"/>
      <c r="CO40" s="213"/>
      <c r="CP40" s="213"/>
      <c r="CQ40" s="213"/>
      <c r="CR40" s="213"/>
      <c r="CS40" s="213"/>
      <c r="CT40" s="213"/>
      <c r="CU40" s="213"/>
      <c r="CV40" s="213"/>
      <c r="CW40" s="213"/>
      <c r="CX40" s="213"/>
      <c r="CY40" s="213"/>
      <c r="CZ40" s="213"/>
      <c r="DA40" s="213"/>
      <c r="DB40" s="213"/>
      <c r="DC40" s="213"/>
      <c r="DD40" s="213"/>
      <c r="DE40" s="213"/>
      <c r="DF40" s="213"/>
      <c r="DG40" s="213"/>
      <c r="DH40" s="213"/>
      <c r="DI40" s="213"/>
      <c r="DJ40" s="213"/>
      <c r="DK40" s="213"/>
      <c r="DL40" s="213"/>
      <c r="DM40" s="213"/>
      <c r="DN40" s="213"/>
      <c r="DO40" s="213"/>
      <c r="DP40" s="213"/>
      <c r="DQ40" s="213"/>
      <c r="DR40" s="213"/>
      <c r="DS40" s="213"/>
      <c r="DT40" s="213"/>
      <c r="DU40" s="213"/>
      <c r="DV40" s="210">
        <f>SUMPRODUCT((($I40+COLUMN($N$3:$DU$3)-COLUMN($N$3))&gt;='KALENDER MINGGU'!$B$6)*(($I40+COLUMN($N$3:$DU$3)-COLUMN($N$3))&lt;='KALENDER MINGGU'!$C$6)*(N40:DU40))/F40*H40</f>
        <v>0</v>
      </c>
      <c r="DW40" s="210">
        <f>SUMPRODUCT((($I40+COLUMN($N$3:$DU$3)-COLUMN($N$3))&gt;='KALENDER MINGGU'!$B$7)*(($I40+COLUMN($N$3:$DU$3)-COLUMN($N$3))&lt;='KALENDER MINGGU'!$C$7)*(N40:DU40))/F40*H40</f>
        <v>0</v>
      </c>
      <c r="DX40" s="210">
        <f>SUMPRODUCT((($I40+COLUMN($N$3:$DU$3)-COLUMN($N$3))&gt;='KALENDER MINGGU'!$B$8)*(($I40+COLUMN($N$3:$DU$3)-COLUMN($N$3))&lt;='KALENDER MINGGU'!$C$8)*(N40:DU40))/F40*H40</f>
        <v>0</v>
      </c>
      <c r="DY40" s="210">
        <f>SUMPRODUCT((($I40+COLUMN($N$3:$DU$3)-COLUMN($N$3))&gt;='KALENDER MINGGU'!$B$9)*(($I40+COLUMN($N$3:$DU$3)-COLUMN($N$3))&lt;='KALENDER MINGGU'!$C$9)*(N40:DU40))/F40*H40</f>
        <v>0</v>
      </c>
      <c r="DZ40" s="210">
        <f>SUMPRODUCT((($I40+COLUMN($N$3:$DU$3)-COLUMN($N$3))&gt;='KALENDER MINGGU'!$B$10)*(($I40+COLUMN($N$3:$DU$3)-COLUMN($N$3))&lt;='KALENDER MINGGU'!$C$10)*(N40:DU40))/F40*H40</f>
        <v>0</v>
      </c>
      <c r="EA40" s="210">
        <f>SUMPRODUCT((($I40+COLUMN($N$3:$DU$3)-COLUMN($N$3))&gt;='KALENDER MINGGU'!$B$11)*(($I40+COLUMN($N$3:$DU$3)-COLUMN($N$3))&lt;='KALENDER MINGGU'!$C$11)*(N40:DU40))/F40*H40</f>
        <v>0</v>
      </c>
      <c r="EB40" s="210">
        <f>SUMPRODUCT((($I40+COLUMN($N$3:$DU$3)-COLUMN($N$3))&gt;='KALENDER MINGGU'!$B$12)*(($I40+COLUMN($N$3:$DU$3)-COLUMN($N$3))&lt;='KALENDER MINGGU'!$C$12)*(N40:DU40))/F40*H40</f>
        <v>0</v>
      </c>
      <c r="EC40" s="210">
        <f>SUMPRODUCT((($I40+COLUMN($N$3:$DU$3)-COLUMN($N$3))&gt;='KALENDER MINGGU'!$B$13)*(($I40+COLUMN($N$3:$DU$3)-COLUMN($N$3))&lt;='KALENDER MINGGU'!$C$13)*(N40:DU40))/F40*H40</f>
        <v>0</v>
      </c>
      <c r="ED40" s="210">
        <f>SUMPRODUCT((($I40+COLUMN($N$3:$DU$3)-COLUMN($N$3))&gt;='KALENDER MINGGU'!$B$14)*(($I40+COLUMN($N$3:$DU$3)-COLUMN($N$3))&lt;='KALENDER MINGGU'!$C$14)*(N40:DU40))/F40*H40</f>
        <v>0</v>
      </c>
      <c r="EE40" s="210">
        <f>SUMPRODUCT((($I40+COLUMN($N$3:$DU$3)-COLUMN($N$3))&gt;='KALENDER MINGGU'!$B$15)*(($I40+COLUMN($N$3:$DU$3)-COLUMN($N$3))&lt;='KALENDER MINGGU'!$C$15)*(N40:DU40))/F40*H40</f>
        <v>0</v>
      </c>
      <c r="EF40" s="210">
        <f>SUMPRODUCT((($I40+COLUMN($N$3:$DU$3)-COLUMN($N$3))&gt;='KALENDER MINGGU'!$B$16)*(($I40+COLUMN($N$3:$DU$3)-COLUMN($N$3))&lt;='KALENDER MINGGU'!$C$16)*(N40:DU40))/F40*H40</f>
        <v>0</v>
      </c>
      <c r="EG40" s="210">
        <f>SUMPRODUCT((($I40+COLUMN($N$3:$DU$3)-COLUMN($N$3))&gt;='KALENDER MINGGU'!$B$17)*(($I40+COLUMN($N$3:$DU$3)-COLUMN($N$3))&lt;='KALENDER MINGGU'!$C$17)*(N40:DU40))/F40*H40</f>
        <v>0</v>
      </c>
      <c r="EH40" s="210">
        <f>SUMPRODUCT((($I40+COLUMN($N$3:$DU$3)-COLUMN($N$3))&gt;='KALENDER MINGGU'!$B$18)*(($I40+COLUMN($N$3:$DU$3)-COLUMN($N$3))&lt;='KALENDER MINGGU'!$C$18)*(N40:DU40))/F40*H40</f>
        <v>0</v>
      </c>
      <c r="EI40" s="210">
        <f>SUMPRODUCT((($I40+COLUMN($N$3:$DU$3)-COLUMN($N$3))&gt;='KALENDER MINGGU'!$B$19)*(($I40+COLUMN($N$3:$DU$3)-COLUMN($N$3))&lt;='KALENDER MINGGU'!$C$19)*(N40:DU40))/F40*H40</f>
        <v>0</v>
      </c>
      <c r="EJ40" s="210">
        <f>SUMPRODUCT((($I40+COLUMN($N$3:$DU$3)-COLUMN($N$3))&gt;='KALENDER MINGGU'!$B$20)*(($I40+COLUMN($N$3:$DU$3)-COLUMN($N$3))&lt;='KALENDER MINGGU'!$C$20)*(N40:DU40))/F40*H40</f>
        <v>0</v>
      </c>
      <c r="EK40" s="210">
        <f>SUMPRODUCT((($I40+COLUMN($N$3:$DU$3)-COLUMN($N$3))&gt;='KALENDER MINGGU'!$B$21)*(($I40+COLUMN($N$3:$DU$3)-COLUMN($N$3))&lt;='KALENDER MINGGU'!$C$21)*(N40:DU40))/F40*H40</f>
        <v>0</v>
      </c>
    </row>
    <row r="41" spans="1:141" ht="15" customHeight="1" x14ac:dyDescent="0.2">
      <c r="A41" s="208">
        <v>38</v>
      </c>
      <c r="B41" s="208">
        <v>56</v>
      </c>
      <c r="C41" s="208" t="str">
        <f>IF(B41&lt;160,'BOBOT PEK'!$B$4,IF(B41&lt;207,'BOBOT PEK'!$B$160,'BOBOT PEK'!$B$207))</f>
        <v>Pekerjaan Gudang Umum</v>
      </c>
      <c r="D41" s="208" t="s">
        <v>112</v>
      </c>
      <c r="E41" s="208" t="str">
        <f>'BOBOT PEK'!C56</f>
        <v>pondasi struktur boom gate</v>
      </c>
      <c r="F41" s="209">
        <f>IF(OR('BOBOT PEK'!E56="",'BOBOT PEK'!E56=0),1,'BOBOT PEK'!E56)</f>
        <v>1</v>
      </c>
      <c r="G41" s="208" t="str">
        <f>IF('BOBOT PEK'!F56="","ls",'BOBOT PEK'!F56)</f>
        <v>ls</v>
      </c>
      <c r="H41" s="210">
        <f>'BOBOT PEK'!J56</f>
        <v>0.10233498518560635</v>
      </c>
      <c r="I41" s="211">
        <f>'KALENDER MINGGU'!$B$3</f>
        <v>46226</v>
      </c>
      <c r="J41" s="209">
        <f t="shared" si="4"/>
        <v>0</v>
      </c>
      <c r="K41" s="209">
        <f t="shared" si="5"/>
        <v>1</v>
      </c>
      <c r="L41" s="212">
        <f t="shared" si="6"/>
        <v>0</v>
      </c>
      <c r="M41" s="208" t="str">
        <f t="shared" si="7"/>
        <v>OK</v>
      </c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  <c r="BC41" s="213"/>
      <c r="BD41" s="213"/>
      <c r="BE41" s="213"/>
      <c r="BF41" s="213"/>
      <c r="BG41" s="213"/>
      <c r="BH41" s="213"/>
      <c r="BI41" s="213"/>
      <c r="BJ41" s="213"/>
      <c r="BK41" s="213"/>
      <c r="BL41" s="213"/>
      <c r="BM41" s="213"/>
      <c r="BN41" s="213"/>
      <c r="BO41" s="213"/>
      <c r="BP41" s="213"/>
      <c r="BQ41" s="213"/>
      <c r="BR41" s="213"/>
      <c r="BS41" s="213"/>
      <c r="BT41" s="213"/>
      <c r="BU41" s="213"/>
      <c r="BV41" s="213"/>
      <c r="BW41" s="213"/>
      <c r="BX41" s="213"/>
      <c r="BY41" s="213"/>
      <c r="BZ41" s="213"/>
      <c r="CA41" s="213"/>
      <c r="CB41" s="213"/>
      <c r="CC41" s="213"/>
      <c r="CD41" s="213"/>
      <c r="CE41" s="213"/>
      <c r="CF41" s="213"/>
      <c r="CG41" s="213"/>
      <c r="CH41" s="213"/>
      <c r="CI41" s="213"/>
      <c r="CJ41" s="213"/>
      <c r="CK41" s="213"/>
      <c r="CL41" s="213"/>
      <c r="CM41" s="213"/>
      <c r="CN41" s="213"/>
      <c r="CO41" s="213"/>
      <c r="CP41" s="213"/>
      <c r="CQ41" s="213"/>
      <c r="CR41" s="213"/>
      <c r="CS41" s="213"/>
      <c r="CT41" s="213"/>
      <c r="CU41" s="213"/>
      <c r="CV41" s="213"/>
      <c r="CW41" s="213"/>
      <c r="CX41" s="213"/>
      <c r="CY41" s="213"/>
      <c r="CZ41" s="213"/>
      <c r="DA41" s="213"/>
      <c r="DB41" s="213"/>
      <c r="DC41" s="213"/>
      <c r="DD41" s="213"/>
      <c r="DE41" s="213"/>
      <c r="DF41" s="213"/>
      <c r="DG41" s="213"/>
      <c r="DH41" s="213"/>
      <c r="DI41" s="213"/>
      <c r="DJ41" s="213"/>
      <c r="DK41" s="213"/>
      <c r="DL41" s="213"/>
      <c r="DM41" s="213"/>
      <c r="DN41" s="213"/>
      <c r="DO41" s="213"/>
      <c r="DP41" s="213"/>
      <c r="DQ41" s="213"/>
      <c r="DR41" s="213"/>
      <c r="DS41" s="213"/>
      <c r="DT41" s="213"/>
      <c r="DU41" s="213"/>
      <c r="DV41" s="210">
        <f>SUMPRODUCT((($I41+COLUMN($N$3:$DU$3)-COLUMN($N$3))&gt;='KALENDER MINGGU'!$B$6)*(($I41+COLUMN($N$3:$DU$3)-COLUMN($N$3))&lt;='KALENDER MINGGU'!$C$6)*(N41:DU41))/F41*H41</f>
        <v>0</v>
      </c>
      <c r="DW41" s="210">
        <f>SUMPRODUCT((($I41+COLUMN($N$3:$DU$3)-COLUMN($N$3))&gt;='KALENDER MINGGU'!$B$7)*(($I41+COLUMN($N$3:$DU$3)-COLUMN($N$3))&lt;='KALENDER MINGGU'!$C$7)*(N41:DU41))/F41*H41</f>
        <v>0</v>
      </c>
      <c r="DX41" s="210">
        <f>SUMPRODUCT((($I41+COLUMN($N$3:$DU$3)-COLUMN($N$3))&gt;='KALENDER MINGGU'!$B$8)*(($I41+COLUMN($N$3:$DU$3)-COLUMN($N$3))&lt;='KALENDER MINGGU'!$C$8)*(N41:DU41))/F41*H41</f>
        <v>0</v>
      </c>
      <c r="DY41" s="210">
        <f>SUMPRODUCT((($I41+COLUMN($N$3:$DU$3)-COLUMN($N$3))&gt;='KALENDER MINGGU'!$B$9)*(($I41+COLUMN($N$3:$DU$3)-COLUMN($N$3))&lt;='KALENDER MINGGU'!$C$9)*(N41:DU41))/F41*H41</f>
        <v>0</v>
      </c>
      <c r="DZ41" s="210">
        <f>SUMPRODUCT((($I41+COLUMN($N$3:$DU$3)-COLUMN($N$3))&gt;='KALENDER MINGGU'!$B$10)*(($I41+COLUMN($N$3:$DU$3)-COLUMN($N$3))&lt;='KALENDER MINGGU'!$C$10)*(N41:DU41))/F41*H41</f>
        <v>0</v>
      </c>
      <c r="EA41" s="210">
        <f>SUMPRODUCT((($I41+COLUMN($N$3:$DU$3)-COLUMN($N$3))&gt;='KALENDER MINGGU'!$B$11)*(($I41+COLUMN($N$3:$DU$3)-COLUMN($N$3))&lt;='KALENDER MINGGU'!$C$11)*(N41:DU41))/F41*H41</f>
        <v>0</v>
      </c>
      <c r="EB41" s="210">
        <f>SUMPRODUCT((($I41+COLUMN($N$3:$DU$3)-COLUMN($N$3))&gt;='KALENDER MINGGU'!$B$12)*(($I41+COLUMN($N$3:$DU$3)-COLUMN($N$3))&lt;='KALENDER MINGGU'!$C$12)*(N41:DU41))/F41*H41</f>
        <v>0</v>
      </c>
      <c r="EC41" s="210">
        <f>SUMPRODUCT((($I41+COLUMN($N$3:$DU$3)-COLUMN($N$3))&gt;='KALENDER MINGGU'!$B$13)*(($I41+COLUMN($N$3:$DU$3)-COLUMN($N$3))&lt;='KALENDER MINGGU'!$C$13)*(N41:DU41))/F41*H41</f>
        <v>0</v>
      </c>
      <c r="ED41" s="210">
        <f>SUMPRODUCT((($I41+COLUMN($N$3:$DU$3)-COLUMN($N$3))&gt;='KALENDER MINGGU'!$B$14)*(($I41+COLUMN($N$3:$DU$3)-COLUMN($N$3))&lt;='KALENDER MINGGU'!$C$14)*(N41:DU41))/F41*H41</f>
        <v>0</v>
      </c>
      <c r="EE41" s="210">
        <f>SUMPRODUCT((($I41+COLUMN($N$3:$DU$3)-COLUMN($N$3))&gt;='KALENDER MINGGU'!$B$15)*(($I41+COLUMN($N$3:$DU$3)-COLUMN($N$3))&lt;='KALENDER MINGGU'!$C$15)*(N41:DU41))/F41*H41</f>
        <v>0</v>
      </c>
      <c r="EF41" s="210">
        <f>SUMPRODUCT((($I41+COLUMN($N$3:$DU$3)-COLUMN($N$3))&gt;='KALENDER MINGGU'!$B$16)*(($I41+COLUMN($N$3:$DU$3)-COLUMN($N$3))&lt;='KALENDER MINGGU'!$C$16)*(N41:DU41))/F41*H41</f>
        <v>0</v>
      </c>
      <c r="EG41" s="210">
        <f>SUMPRODUCT((($I41+COLUMN($N$3:$DU$3)-COLUMN($N$3))&gt;='KALENDER MINGGU'!$B$17)*(($I41+COLUMN($N$3:$DU$3)-COLUMN($N$3))&lt;='KALENDER MINGGU'!$C$17)*(N41:DU41))/F41*H41</f>
        <v>0</v>
      </c>
      <c r="EH41" s="210">
        <f>SUMPRODUCT((($I41+COLUMN($N$3:$DU$3)-COLUMN($N$3))&gt;='KALENDER MINGGU'!$B$18)*(($I41+COLUMN($N$3:$DU$3)-COLUMN($N$3))&lt;='KALENDER MINGGU'!$C$18)*(N41:DU41))/F41*H41</f>
        <v>0</v>
      </c>
      <c r="EI41" s="210">
        <f>SUMPRODUCT((($I41+COLUMN($N$3:$DU$3)-COLUMN($N$3))&gt;='KALENDER MINGGU'!$B$19)*(($I41+COLUMN($N$3:$DU$3)-COLUMN($N$3))&lt;='KALENDER MINGGU'!$C$19)*(N41:DU41))/F41*H41</f>
        <v>0</v>
      </c>
      <c r="EJ41" s="210">
        <f>SUMPRODUCT((($I41+COLUMN($N$3:$DU$3)-COLUMN($N$3))&gt;='KALENDER MINGGU'!$B$20)*(($I41+COLUMN($N$3:$DU$3)-COLUMN($N$3))&lt;='KALENDER MINGGU'!$C$20)*(N41:DU41))/F41*H41</f>
        <v>0</v>
      </c>
      <c r="EK41" s="210">
        <f>SUMPRODUCT((($I41+COLUMN($N$3:$DU$3)-COLUMN($N$3))&gt;='KALENDER MINGGU'!$B$21)*(($I41+COLUMN($N$3:$DU$3)-COLUMN($N$3))&lt;='KALENDER MINGGU'!$C$21)*(N41:DU41))/F41*H41</f>
        <v>0</v>
      </c>
    </row>
    <row r="42" spans="1:141" ht="15" customHeight="1" x14ac:dyDescent="0.2">
      <c r="A42" s="208">
        <v>39</v>
      </c>
      <c r="B42" s="208">
        <v>57</v>
      </c>
      <c r="C42" s="208" t="str">
        <f>IF(B42&lt;160,'BOBOT PEK'!$B$4,IF(B42&lt;207,'BOBOT PEK'!$B$160,'BOBOT PEK'!$B$207))</f>
        <v>Pekerjaan Gudang Umum</v>
      </c>
      <c r="D42" s="208" t="s">
        <v>112</v>
      </c>
      <c r="E42" s="208" t="str">
        <f>'BOBOT PEK'!C57</f>
        <v>Boom gate 6m</v>
      </c>
      <c r="F42" s="209">
        <f>IF(OR('BOBOT PEK'!E57="",'BOBOT PEK'!E57=0),1,'BOBOT PEK'!E57)</f>
        <v>1</v>
      </c>
      <c r="G42" s="208" t="str">
        <f>IF('BOBOT PEK'!F57="","ls",'BOBOT PEK'!F57)</f>
        <v>ls</v>
      </c>
      <c r="H42" s="210">
        <f>'BOBOT PEK'!J57</f>
        <v>0.76751238889204765</v>
      </c>
      <c r="I42" s="211">
        <f>'KALENDER MINGGU'!$B$3</f>
        <v>46226</v>
      </c>
      <c r="J42" s="209">
        <f t="shared" si="4"/>
        <v>0</v>
      </c>
      <c r="K42" s="209">
        <f t="shared" si="5"/>
        <v>1</v>
      </c>
      <c r="L42" s="212">
        <f t="shared" si="6"/>
        <v>0</v>
      </c>
      <c r="M42" s="208" t="str">
        <f t="shared" si="7"/>
        <v>OK</v>
      </c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3"/>
      <c r="AC42" s="213"/>
      <c r="AD42" s="213"/>
      <c r="AE42" s="213"/>
      <c r="AF42" s="213"/>
      <c r="AG42" s="213"/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  <c r="BC42" s="213"/>
      <c r="BD42" s="213"/>
      <c r="BE42" s="213"/>
      <c r="BF42" s="213"/>
      <c r="BG42" s="213"/>
      <c r="BH42" s="213"/>
      <c r="BI42" s="213"/>
      <c r="BJ42" s="213"/>
      <c r="BK42" s="213"/>
      <c r="BL42" s="213"/>
      <c r="BM42" s="213"/>
      <c r="BN42" s="213"/>
      <c r="BO42" s="213"/>
      <c r="BP42" s="213"/>
      <c r="BQ42" s="213"/>
      <c r="BR42" s="213"/>
      <c r="BS42" s="213"/>
      <c r="BT42" s="213"/>
      <c r="BU42" s="213"/>
      <c r="BV42" s="213"/>
      <c r="BW42" s="213"/>
      <c r="BX42" s="213"/>
      <c r="BY42" s="213"/>
      <c r="BZ42" s="213"/>
      <c r="CA42" s="213"/>
      <c r="CB42" s="213"/>
      <c r="CC42" s="213"/>
      <c r="CD42" s="213"/>
      <c r="CE42" s="213"/>
      <c r="CF42" s="213"/>
      <c r="CG42" s="213"/>
      <c r="CH42" s="213"/>
      <c r="CI42" s="213"/>
      <c r="CJ42" s="213"/>
      <c r="CK42" s="213"/>
      <c r="CL42" s="213"/>
      <c r="CM42" s="213"/>
      <c r="CN42" s="213"/>
      <c r="CO42" s="213"/>
      <c r="CP42" s="213"/>
      <c r="CQ42" s="213"/>
      <c r="CR42" s="213"/>
      <c r="CS42" s="213"/>
      <c r="CT42" s="213"/>
      <c r="CU42" s="213"/>
      <c r="CV42" s="213"/>
      <c r="CW42" s="213"/>
      <c r="CX42" s="213"/>
      <c r="CY42" s="213"/>
      <c r="CZ42" s="213"/>
      <c r="DA42" s="213"/>
      <c r="DB42" s="213"/>
      <c r="DC42" s="213"/>
      <c r="DD42" s="213"/>
      <c r="DE42" s="213"/>
      <c r="DF42" s="213"/>
      <c r="DG42" s="213"/>
      <c r="DH42" s="213"/>
      <c r="DI42" s="213"/>
      <c r="DJ42" s="213"/>
      <c r="DK42" s="213"/>
      <c r="DL42" s="213"/>
      <c r="DM42" s="213"/>
      <c r="DN42" s="213"/>
      <c r="DO42" s="213"/>
      <c r="DP42" s="213"/>
      <c r="DQ42" s="213"/>
      <c r="DR42" s="213"/>
      <c r="DS42" s="213"/>
      <c r="DT42" s="213"/>
      <c r="DU42" s="213"/>
      <c r="DV42" s="210">
        <f>SUMPRODUCT((($I42+COLUMN($N$3:$DU$3)-COLUMN($N$3))&gt;='KALENDER MINGGU'!$B$6)*(($I42+COLUMN($N$3:$DU$3)-COLUMN($N$3))&lt;='KALENDER MINGGU'!$C$6)*(N42:DU42))/F42*H42</f>
        <v>0</v>
      </c>
      <c r="DW42" s="210">
        <f>SUMPRODUCT((($I42+COLUMN($N$3:$DU$3)-COLUMN($N$3))&gt;='KALENDER MINGGU'!$B$7)*(($I42+COLUMN($N$3:$DU$3)-COLUMN($N$3))&lt;='KALENDER MINGGU'!$C$7)*(N42:DU42))/F42*H42</f>
        <v>0</v>
      </c>
      <c r="DX42" s="210">
        <f>SUMPRODUCT((($I42+COLUMN($N$3:$DU$3)-COLUMN($N$3))&gt;='KALENDER MINGGU'!$B$8)*(($I42+COLUMN($N$3:$DU$3)-COLUMN($N$3))&lt;='KALENDER MINGGU'!$C$8)*(N42:DU42))/F42*H42</f>
        <v>0</v>
      </c>
      <c r="DY42" s="210">
        <f>SUMPRODUCT((($I42+COLUMN($N$3:$DU$3)-COLUMN($N$3))&gt;='KALENDER MINGGU'!$B$9)*(($I42+COLUMN($N$3:$DU$3)-COLUMN($N$3))&lt;='KALENDER MINGGU'!$C$9)*(N42:DU42))/F42*H42</f>
        <v>0</v>
      </c>
      <c r="DZ42" s="210">
        <f>SUMPRODUCT((($I42+COLUMN($N$3:$DU$3)-COLUMN($N$3))&gt;='KALENDER MINGGU'!$B$10)*(($I42+COLUMN($N$3:$DU$3)-COLUMN($N$3))&lt;='KALENDER MINGGU'!$C$10)*(N42:DU42))/F42*H42</f>
        <v>0</v>
      </c>
      <c r="EA42" s="210">
        <f>SUMPRODUCT((($I42+COLUMN($N$3:$DU$3)-COLUMN($N$3))&gt;='KALENDER MINGGU'!$B$11)*(($I42+COLUMN($N$3:$DU$3)-COLUMN($N$3))&lt;='KALENDER MINGGU'!$C$11)*(N42:DU42))/F42*H42</f>
        <v>0</v>
      </c>
      <c r="EB42" s="210">
        <f>SUMPRODUCT((($I42+COLUMN($N$3:$DU$3)-COLUMN($N$3))&gt;='KALENDER MINGGU'!$B$12)*(($I42+COLUMN($N$3:$DU$3)-COLUMN($N$3))&lt;='KALENDER MINGGU'!$C$12)*(N42:DU42))/F42*H42</f>
        <v>0</v>
      </c>
      <c r="EC42" s="210">
        <f>SUMPRODUCT((($I42+COLUMN($N$3:$DU$3)-COLUMN($N$3))&gt;='KALENDER MINGGU'!$B$13)*(($I42+COLUMN($N$3:$DU$3)-COLUMN($N$3))&lt;='KALENDER MINGGU'!$C$13)*(N42:DU42))/F42*H42</f>
        <v>0</v>
      </c>
      <c r="ED42" s="210">
        <f>SUMPRODUCT((($I42+COLUMN($N$3:$DU$3)-COLUMN($N$3))&gt;='KALENDER MINGGU'!$B$14)*(($I42+COLUMN($N$3:$DU$3)-COLUMN($N$3))&lt;='KALENDER MINGGU'!$C$14)*(N42:DU42))/F42*H42</f>
        <v>0</v>
      </c>
      <c r="EE42" s="210">
        <f>SUMPRODUCT((($I42+COLUMN($N$3:$DU$3)-COLUMN($N$3))&gt;='KALENDER MINGGU'!$B$15)*(($I42+COLUMN($N$3:$DU$3)-COLUMN($N$3))&lt;='KALENDER MINGGU'!$C$15)*(N42:DU42))/F42*H42</f>
        <v>0</v>
      </c>
      <c r="EF42" s="210">
        <f>SUMPRODUCT((($I42+COLUMN($N$3:$DU$3)-COLUMN($N$3))&gt;='KALENDER MINGGU'!$B$16)*(($I42+COLUMN($N$3:$DU$3)-COLUMN($N$3))&lt;='KALENDER MINGGU'!$C$16)*(N42:DU42))/F42*H42</f>
        <v>0</v>
      </c>
      <c r="EG42" s="210">
        <f>SUMPRODUCT((($I42+COLUMN($N$3:$DU$3)-COLUMN($N$3))&gt;='KALENDER MINGGU'!$B$17)*(($I42+COLUMN($N$3:$DU$3)-COLUMN($N$3))&lt;='KALENDER MINGGU'!$C$17)*(N42:DU42))/F42*H42</f>
        <v>0</v>
      </c>
      <c r="EH42" s="210">
        <f>SUMPRODUCT((($I42+COLUMN($N$3:$DU$3)-COLUMN($N$3))&gt;='KALENDER MINGGU'!$B$18)*(($I42+COLUMN($N$3:$DU$3)-COLUMN($N$3))&lt;='KALENDER MINGGU'!$C$18)*(N42:DU42))/F42*H42</f>
        <v>0</v>
      </c>
      <c r="EI42" s="210">
        <f>SUMPRODUCT((($I42+COLUMN($N$3:$DU$3)-COLUMN($N$3))&gt;='KALENDER MINGGU'!$B$19)*(($I42+COLUMN($N$3:$DU$3)-COLUMN($N$3))&lt;='KALENDER MINGGU'!$C$19)*(N42:DU42))/F42*H42</f>
        <v>0</v>
      </c>
      <c r="EJ42" s="210">
        <f>SUMPRODUCT((($I42+COLUMN($N$3:$DU$3)-COLUMN($N$3))&gt;='KALENDER MINGGU'!$B$20)*(($I42+COLUMN($N$3:$DU$3)-COLUMN($N$3))&lt;='KALENDER MINGGU'!$C$20)*(N42:DU42))/F42*H42</f>
        <v>0</v>
      </c>
      <c r="EK42" s="210">
        <f>SUMPRODUCT((($I42+COLUMN($N$3:$DU$3)-COLUMN($N$3))&gt;='KALENDER MINGGU'!$B$21)*(($I42+COLUMN($N$3:$DU$3)-COLUMN($N$3))&lt;='KALENDER MINGGU'!$C$21)*(N42:DU42))/F42*H42</f>
        <v>0</v>
      </c>
    </row>
    <row r="43" spans="1:141" ht="15" customHeight="1" x14ac:dyDescent="0.2">
      <c r="A43" s="208">
        <v>40</v>
      </c>
      <c r="B43" s="208">
        <v>58</v>
      </c>
      <c r="C43" s="208" t="str">
        <f>IF(B43&lt;160,'BOBOT PEK'!$B$4,IF(B43&lt;207,'BOBOT PEK'!$B$160,'BOBOT PEK'!$B$207))</f>
        <v>Pekerjaan Gudang Umum</v>
      </c>
      <c r="D43" s="208" t="s">
        <v>112</v>
      </c>
      <c r="E43" s="208" t="str">
        <f>'BOBOT PEK'!C58</f>
        <v xml:space="preserve">instalasi listrik </v>
      </c>
      <c r="F43" s="209">
        <f>IF(OR('BOBOT PEK'!E58="",'BOBOT PEK'!E58=0),1,'BOBOT PEK'!E58)</f>
        <v>1</v>
      </c>
      <c r="G43" s="208" t="str">
        <f>IF('BOBOT PEK'!F58="","ls",'BOBOT PEK'!F58)</f>
        <v>ls</v>
      </c>
      <c r="H43" s="210">
        <f>'BOBOT PEK'!J58</f>
        <v>6.3959365741003971E-2</v>
      </c>
      <c r="I43" s="211">
        <f>'KALENDER MINGGU'!$B$3</f>
        <v>46226</v>
      </c>
      <c r="J43" s="209">
        <f t="shared" si="4"/>
        <v>0</v>
      </c>
      <c r="K43" s="209">
        <f t="shared" si="5"/>
        <v>1</v>
      </c>
      <c r="L43" s="212">
        <f t="shared" si="6"/>
        <v>0</v>
      </c>
      <c r="M43" s="208" t="str">
        <f t="shared" si="7"/>
        <v>OK</v>
      </c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  <c r="BC43" s="213"/>
      <c r="BD43" s="213"/>
      <c r="BE43" s="213"/>
      <c r="BF43" s="213"/>
      <c r="BG43" s="213"/>
      <c r="BH43" s="213"/>
      <c r="BI43" s="213"/>
      <c r="BJ43" s="213"/>
      <c r="BK43" s="213"/>
      <c r="BL43" s="213"/>
      <c r="BM43" s="213"/>
      <c r="BN43" s="213"/>
      <c r="BO43" s="213"/>
      <c r="BP43" s="213"/>
      <c r="BQ43" s="213"/>
      <c r="BR43" s="213"/>
      <c r="BS43" s="213"/>
      <c r="BT43" s="213"/>
      <c r="BU43" s="213"/>
      <c r="BV43" s="213"/>
      <c r="BW43" s="213"/>
      <c r="BX43" s="213"/>
      <c r="BY43" s="213"/>
      <c r="BZ43" s="213"/>
      <c r="CA43" s="213"/>
      <c r="CB43" s="213"/>
      <c r="CC43" s="213"/>
      <c r="CD43" s="213"/>
      <c r="CE43" s="213"/>
      <c r="CF43" s="213"/>
      <c r="CG43" s="213"/>
      <c r="CH43" s="213"/>
      <c r="CI43" s="213"/>
      <c r="CJ43" s="213"/>
      <c r="CK43" s="213"/>
      <c r="CL43" s="213"/>
      <c r="CM43" s="213"/>
      <c r="CN43" s="213"/>
      <c r="CO43" s="213"/>
      <c r="CP43" s="213"/>
      <c r="CQ43" s="213"/>
      <c r="CR43" s="213"/>
      <c r="CS43" s="213"/>
      <c r="CT43" s="213"/>
      <c r="CU43" s="213"/>
      <c r="CV43" s="213"/>
      <c r="CW43" s="213"/>
      <c r="CX43" s="213"/>
      <c r="CY43" s="213"/>
      <c r="CZ43" s="213"/>
      <c r="DA43" s="213"/>
      <c r="DB43" s="213"/>
      <c r="DC43" s="213"/>
      <c r="DD43" s="213"/>
      <c r="DE43" s="213"/>
      <c r="DF43" s="213"/>
      <c r="DG43" s="213"/>
      <c r="DH43" s="213"/>
      <c r="DI43" s="213"/>
      <c r="DJ43" s="213"/>
      <c r="DK43" s="213"/>
      <c r="DL43" s="213"/>
      <c r="DM43" s="213"/>
      <c r="DN43" s="213"/>
      <c r="DO43" s="213"/>
      <c r="DP43" s="213"/>
      <c r="DQ43" s="213"/>
      <c r="DR43" s="213"/>
      <c r="DS43" s="213"/>
      <c r="DT43" s="213"/>
      <c r="DU43" s="213"/>
      <c r="DV43" s="210">
        <f>SUMPRODUCT((($I43+COLUMN($N$3:$DU$3)-COLUMN($N$3))&gt;='KALENDER MINGGU'!$B$6)*(($I43+COLUMN($N$3:$DU$3)-COLUMN($N$3))&lt;='KALENDER MINGGU'!$C$6)*(N43:DU43))/F43*H43</f>
        <v>0</v>
      </c>
      <c r="DW43" s="210">
        <f>SUMPRODUCT((($I43+COLUMN($N$3:$DU$3)-COLUMN($N$3))&gt;='KALENDER MINGGU'!$B$7)*(($I43+COLUMN($N$3:$DU$3)-COLUMN($N$3))&lt;='KALENDER MINGGU'!$C$7)*(N43:DU43))/F43*H43</f>
        <v>0</v>
      </c>
      <c r="DX43" s="210">
        <f>SUMPRODUCT((($I43+COLUMN($N$3:$DU$3)-COLUMN($N$3))&gt;='KALENDER MINGGU'!$B$8)*(($I43+COLUMN($N$3:$DU$3)-COLUMN($N$3))&lt;='KALENDER MINGGU'!$C$8)*(N43:DU43))/F43*H43</f>
        <v>0</v>
      </c>
      <c r="DY43" s="210">
        <f>SUMPRODUCT((($I43+COLUMN($N$3:$DU$3)-COLUMN($N$3))&gt;='KALENDER MINGGU'!$B$9)*(($I43+COLUMN($N$3:$DU$3)-COLUMN($N$3))&lt;='KALENDER MINGGU'!$C$9)*(N43:DU43))/F43*H43</f>
        <v>0</v>
      </c>
      <c r="DZ43" s="210">
        <f>SUMPRODUCT((($I43+COLUMN($N$3:$DU$3)-COLUMN($N$3))&gt;='KALENDER MINGGU'!$B$10)*(($I43+COLUMN($N$3:$DU$3)-COLUMN($N$3))&lt;='KALENDER MINGGU'!$C$10)*(N43:DU43))/F43*H43</f>
        <v>0</v>
      </c>
      <c r="EA43" s="210">
        <f>SUMPRODUCT((($I43+COLUMN($N$3:$DU$3)-COLUMN($N$3))&gt;='KALENDER MINGGU'!$B$11)*(($I43+COLUMN($N$3:$DU$3)-COLUMN($N$3))&lt;='KALENDER MINGGU'!$C$11)*(N43:DU43))/F43*H43</f>
        <v>0</v>
      </c>
      <c r="EB43" s="210">
        <f>SUMPRODUCT((($I43+COLUMN($N$3:$DU$3)-COLUMN($N$3))&gt;='KALENDER MINGGU'!$B$12)*(($I43+COLUMN($N$3:$DU$3)-COLUMN($N$3))&lt;='KALENDER MINGGU'!$C$12)*(N43:DU43))/F43*H43</f>
        <v>0</v>
      </c>
      <c r="EC43" s="210">
        <f>SUMPRODUCT((($I43+COLUMN($N$3:$DU$3)-COLUMN($N$3))&gt;='KALENDER MINGGU'!$B$13)*(($I43+COLUMN($N$3:$DU$3)-COLUMN($N$3))&lt;='KALENDER MINGGU'!$C$13)*(N43:DU43))/F43*H43</f>
        <v>0</v>
      </c>
      <c r="ED43" s="210">
        <f>SUMPRODUCT((($I43+COLUMN($N$3:$DU$3)-COLUMN($N$3))&gt;='KALENDER MINGGU'!$B$14)*(($I43+COLUMN($N$3:$DU$3)-COLUMN($N$3))&lt;='KALENDER MINGGU'!$C$14)*(N43:DU43))/F43*H43</f>
        <v>0</v>
      </c>
      <c r="EE43" s="210">
        <f>SUMPRODUCT((($I43+COLUMN($N$3:$DU$3)-COLUMN($N$3))&gt;='KALENDER MINGGU'!$B$15)*(($I43+COLUMN($N$3:$DU$3)-COLUMN($N$3))&lt;='KALENDER MINGGU'!$C$15)*(N43:DU43))/F43*H43</f>
        <v>0</v>
      </c>
      <c r="EF43" s="210">
        <f>SUMPRODUCT((($I43+COLUMN($N$3:$DU$3)-COLUMN($N$3))&gt;='KALENDER MINGGU'!$B$16)*(($I43+COLUMN($N$3:$DU$3)-COLUMN($N$3))&lt;='KALENDER MINGGU'!$C$16)*(N43:DU43))/F43*H43</f>
        <v>0</v>
      </c>
      <c r="EG43" s="210">
        <f>SUMPRODUCT((($I43+COLUMN($N$3:$DU$3)-COLUMN($N$3))&gt;='KALENDER MINGGU'!$B$17)*(($I43+COLUMN($N$3:$DU$3)-COLUMN($N$3))&lt;='KALENDER MINGGU'!$C$17)*(N43:DU43))/F43*H43</f>
        <v>0</v>
      </c>
      <c r="EH43" s="210">
        <f>SUMPRODUCT((($I43+COLUMN($N$3:$DU$3)-COLUMN($N$3))&gt;='KALENDER MINGGU'!$B$18)*(($I43+COLUMN($N$3:$DU$3)-COLUMN($N$3))&lt;='KALENDER MINGGU'!$C$18)*(N43:DU43))/F43*H43</f>
        <v>0</v>
      </c>
      <c r="EI43" s="210">
        <f>SUMPRODUCT((($I43+COLUMN($N$3:$DU$3)-COLUMN($N$3))&gt;='KALENDER MINGGU'!$B$19)*(($I43+COLUMN($N$3:$DU$3)-COLUMN($N$3))&lt;='KALENDER MINGGU'!$C$19)*(N43:DU43))/F43*H43</f>
        <v>0</v>
      </c>
      <c r="EJ43" s="210">
        <f>SUMPRODUCT((($I43+COLUMN($N$3:$DU$3)-COLUMN($N$3))&gt;='KALENDER MINGGU'!$B$20)*(($I43+COLUMN($N$3:$DU$3)-COLUMN($N$3))&lt;='KALENDER MINGGU'!$C$20)*(N43:DU43))/F43*H43</f>
        <v>0</v>
      </c>
      <c r="EK43" s="210">
        <f>SUMPRODUCT((($I43+COLUMN($N$3:$DU$3)-COLUMN($N$3))&gt;='KALENDER MINGGU'!$B$21)*(($I43+COLUMN($N$3:$DU$3)-COLUMN($N$3))&lt;='KALENDER MINGGU'!$C$21)*(N43:DU43))/F43*H43</f>
        <v>0</v>
      </c>
    </row>
    <row r="44" spans="1:141" ht="15" customHeight="1" x14ac:dyDescent="0.2">
      <c r="A44" s="208">
        <v>41</v>
      </c>
      <c r="B44" s="208">
        <v>62</v>
      </c>
      <c r="C44" s="208" t="str">
        <f>IF(B44&lt;160,'BOBOT PEK'!$B$4,IF(B44&lt;207,'BOBOT PEK'!$B$160,'BOBOT PEK'!$B$207))</f>
        <v>Pekerjaan Gudang Umum</v>
      </c>
      <c r="D44" s="208" t="s">
        <v>122</v>
      </c>
      <c r="E44" s="208" t="str">
        <f>'BOBOT PEK'!C62</f>
        <v>Pekerjaan refinishing kanopi genset</v>
      </c>
      <c r="F44" s="209">
        <f>IF(OR('BOBOT PEK'!E62="",'BOBOT PEK'!E62=0),1,'BOBOT PEK'!E62)</f>
        <v>24</v>
      </c>
      <c r="G44" s="208" t="str">
        <f>IF('BOBOT PEK'!F62="","ls",'BOBOT PEK'!F62)</f>
        <v>m²</v>
      </c>
      <c r="H44" s="210">
        <f>'BOBOT PEK'!J62</f>
        <v>4.6050743333522853E-2</v>
      </c>
      <c r="I44" s="211">
        <f>'KALENDER MINGGU'!$B$3</f>
        <v>46226</v>
      </c>
      <c r="J44" s="209">
        <f t="shared" si="4"/>
        <v>24</v>
      </c>
      <c r="K44" s="209">
        <f t="shared" si="5"/>
        <v>0</v>
      </c>
      <c r="L44" s="212">
        <f t="shared" si="6"/>
        <v>1</v>
      </c>
      <c r="M44" s="208" t="str">
        <f t="shared" si="7"/>
        <v>OK</v>
      </c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  <c r="BC44" s="213"/>
      <c r="BD44" s="213"/>
      <c r="BE44" s="213"/>
      <c r="BF44" s="213"/>
      <c r="BG44" s="213"/>
      <c r="BH44" s="213"/>
      <c r="BI44" s="213"/>
      <c r="BJ44" s="213"/>
      <c r="BK44" s="213"/>
      <c r="BL44" s="213"/>
      <c r="BM44" s="213"/>
      <c r="BN44" s="213"/>
      <c r="BO44" s="213"/>
      <c r="BP44" s="213"/>
      <c r="BQ44" s="213">
        <v>10</v>
      </c>
      <c r="BR44" s="213">
        <v>10</v>
      </c>
      <c r="BS44" s="213">
        <v>4</v>
      </c>
      <c r="BT44" s="213"/>
      <c r="BU44" s="213"/>
      <c r="BV44" s="213"/>
      <c r="BW44" s="213"/>
      <c r="BX44" s="213"/>
      <c r="BY44" s="213"/>
      <c r="BZ44" s="213"/>
      <c r="CA44" s="213"/>
      <c r="CB44" s="213"/>
      <c r="CC44" s="213"/>
      <c r="CD44" s="213"/>
      <c r="CE44" s="213"/>
      <c r="CF44" s="213"/>
      <c r="CG44" s="213"/>
      <c r="CH44" s="213"/>
      <c r="CI44" s="213"/>
      <c r="CJ44" s="213"/>
      <c r="CK44" s="213"/>
      <c r="CL44" s="213"/>
      <c r="CM44" s="213"/>
      <c r="CN44" s="213"/>
      <c r="CO44" s="213"/>
      <c r="CP44" s="213"/>
      <c r="CQ44" s="213"/>
      <c r="CR44" s="213"/>
      <c r="CS44" s="213"/>
      <c r="CT44" s="213"/>
      <c r="CU44" s="213"/>
      <c r="CV44" s="213"/>
      <c r="CW44" s="213"/>
      <c r="CX44" s="213"/>
      <c r="CY44" s="213"/>
      <c r="CZ44" s="213"/>
      <c r="DA44" s="213"/>
      <c r="DB44" s="213"/>
      <c r="DC44" s="213"/>
      <c r="DD44" s="213"/>
      <c r="DE44" s="213"/>
      <c r="DF44" s="213"/>
      <c r="DG44" s="213"/>
      <c r="DH44" s="213"/>
      <c r="DI44" s="213"/>
      <c r="DJ44" s="213"/>
      <c r="DK44" s="213"/>
      <c r="DL44" s="213"/>
      <c r="DM44" s="213"/>
      <c r="DN44" s="213"/>
      <c r="DO44" s="213"/>
      <c r="DP44" s="213"/>
      <c r="DQ44" s="213"/>
      <c r="DR44" s="213"/>
      <c r="DS44" s="213"/>
      <c r="DT44" s="213"/>
      <c r="DU44" s="213"/>
      <c r="DV44" s="210">
        <f>SUMPRODUCT((($I44+COLUMN($N$3:$DU$3)-COLUMN($N$3))&gt;='KALENDER MINGGU'!$B$6)*(($I44+COLUMN($N$3:$DU$3)-COLUMN($N$3))&lt;='KALENDER MINGGU'!$C$6)*(N44:DU44))/F44*H44</f>
        <v>0</v>
      </c>
      <c r="DW44" s="210">
        <f>SUMPRODUCT((($I44+COLUMN($N$3:$DU$3)-COLUMN($N$3))&gt;='KALENDER MINGGU'!$B$7)*(($I44+COLUMN($N$3:$DU$3)-COLUMN($N$3))&lt;='KALENDER MINGGU'!$C$7)*(N44:DU44))/F44*H44</f>
        <v>0</v>
      </c>
      <c r="DX44" s="210">
        <f>SUMPRODUCT((($I44+COLUMN($N$3:$DU$3)-COLUMN($N$3))&gt;='KALENDER MINGGU'!$B$8)*(($I44+COLUMN($N$3:$DU$3)-COLUMN($N$3))&lt;='KALENDER MINGGU'!$C$8)*(N44:DU44))/F44*H44</f>
        <v>0</v>
      </c>
      <c r="DY44" s="210">
        <f>SUMPRODUCT((($I44+COLUMN($N$3:$DU$3)-COLUMN($N$3))&gt;='KALENDER MINGGU'!$B$9)*(($I44+COLUMN($N$3:$DU$3)-COLUMN($N$3))&lt;='KALENDER MINGGU'!$C$9)*(N44:DU44))/F44*H44</f>
        <v>0</v>
      </c>
      <c r="DZ44" s="210">
        <f>SUMPRODUCT((($I44+COLUMN($N$3:$DU$3)-COLUMN($N$3))&gt;='KALENDER MINGGU'!$B$10)*(($I44+COLUMN($N$3:$DU$3)-COLUMN($N$3))&lt;='KALENDER MINGGU'!$C$10)*(N44:DU44))/F44*H44</f>
        <v>0</v>
      </c>
      <c r="EA44" s="210">
        <f>SUMPRODUCT((($I44+COLUMN($N$3:$DU$3)-COLUMN($N$3))&gt;='KALENDER MINGGU'!$B$11)*(($I44+COLUMN($N$3:$DU$3)-COLUMN($N$3))&lt;='KALENDER MINGGU'!$C$11)*(N44:DU44))/F44*H44</f>
        <v>0</v>
      </c>
      <c r="EB44" s="210">
        <f>SUMPRODUCT((($I44+COLUMN($N$3:$DU$3)-COLUMN($N$3))&gt;='KALENDER MINGGU'!$B$12)*(($I44+COLUMN($N$3:$DU$3)-COLUMN($N$3))&lt;='KALENDER MINGGU'!$C$12)*(N44:DU44))/F44*H44</f>
        <v>0</v>
      </c>
      <c r="EC44" s="210">
        <f>SUMPRODUCT((($I44+COLUMN($N$3:$DU$3)-COLUMN($N$3))&gt;='KALENDER MINGGU'!$B$13)*(($I44+COLUMN($N$3:$DU$3)-COLUMN($N$3))&lt;='KALENDER MINGGU'!$C$13)*(N44:DU44))/F44*H44</f>
        <v>1.9187809722301191E-2</v>
      </c>
      <c r="ED44" s="210">
        <f>SUMPRODUCT((($I44+COLUMN($N$3:$DU$3)-COLUMN($N$3))&gt;='KALENDER MINGGU'!$B$14)*(($I44+COLUMN($N$3:$DU$3)-COLUMN($N$3))&lt;='KALENDER MINGGU'!$C$14)*(N44:DU44))/F44*H44</f>
        <v>2.6862933611221666E-2</v>
      </c>
      <c r="EE44" s="210">
        <f>SUMPRODUCT((($I44+COLUMN($N$3:$DU$3)-COLUMN($N$3))&gt;='KALENDER MINGGU'!$B$15)*(($I44+COLUMN($N$3:$DU$3)-COLUMN($N$3))&lt;='KALENDER MINGGU'!$C$15)*(N44:DU44))/F44*H44</f>
        <v>0</v>
      </c>
      <c r="EF44" s="210">
        <f>SUMPRODUCT((($I44+COLUMN($N$3:$DU$3)-COLUMN($N$3))&gt;='KALENDER MINGGU'!$B$16)*(($I44+COLUMN($N$3:$DU$3)-COLUMN($N$3))&lt;='KALENDER MINGGU'!$C$16)*(N44:DU44))/F44*H44</f>
        <v>0</v>
      </c>
      <c r="EG44" s="210">
        <f>SUMPRODUCT((($I44+COLUMN($N$3:$DU$3)-COLUMN($N$3))&gt;='KALENDER MINGGU'!$B$17)*(($I44+COLUMN($N$3:$DU$3)-COLUMN($N$3))&lt;='KALENDER MINGGU'!$C$17)*(N44:DU44))/F44*H44</f>
        <v>0</v>
      </c>
      <c r="EH44" s="210">
        <f>SUMPRODUCT((($I44+COLUMN($N$3:$DU$3)-COLUMN($N$3))&gt;='KALENDER MINGGU'!$B$18)*(($I44+COLUMN($N$3:$DU$3)-COLUMN($N$3))&lt;='KALENDER MINGGU'!$C$18)*(N44:DU44))/F44*H44</f>
        <v>0</v>
      </c>
      <c r="EI44" s="210">
        <f>SUMPRODUCT((($I44+COLUMN($N$3:$DU$3)-COLUMN($N$3))&gt;='KALENDER MINGGU'!$B$19)*(($I44+COLUMN($N$3:$DU$3)-COLUMN($N$3))&lt;='KALENDER MINGGU'!$C$19)*(N44:DU44))/F44*H44</f>
        <v>0</v>
      </c>
      <c r="EJ44" s="210">
        <f>SUMPRODUCT((($I44+COLUMN($N$3:$DU$3)-COLUMN($N$3))&gt;='KALENDER MINGGU'!$B$20)*(($I44+COLUMN($N$3:$DU$3)-COLUMN($N$3))&lt;='KALENDER MINGGU'!$C$20)*(N44:DU44))/F44*H44</f>
        <v>0</v>
      </c>
      <c r="EK44" s="210">
        <f>SUMPRODUCT((($I44+COLUMN($N$3:$DU$3)-COLUMN($N$3))&gt;='KALENDER MINGGU'!$B$21)*(($I44+COLUMN($N$3:$DU$3)-COLUMN($N$3))&lt;='KALENDER MINGGU'!$C$21)*(N44:DU44))/F44*H44</f>
        <v>0</v>
      </c>
    </row>
    <row r="45" spans="1:141" ht="15" customHeight="1" x14ac:dyDescent="0.2">
      <c r="A45" s="208">
        <v>42</v>
      </c>
      <c r="B45" s="208">
        <v>63</v>
      </c>
      <c r="C45" s="208" t="str">
        <f>IF(B45&lt;160,'BOBOT PEK'!$B$4,IF(B45&lt;207,'BOBOT PEK'!$B$160,'BOBOT PEK'!$B$207))</f>
        <v>Pekerjaan Gudang Umum</v>
      </c>
      <c r="D45" s="208" t="s">
        <v>122</v>
      </c>
      <c r="E45" s="208" t="str">
        <f>'BOBOT PEK'!C63</f>
        <v>Cat rangka kolom dan atap jembatan timbang</v>
      </c>
      <c r="F45" s="209">
        <f>IF(OR('BOBOT PEK'!E63="",'BOBOT PEK'!E63=0),1,'BOBOT PEK'!E63)</f>
        <v>169</v>
      </c>
      <c r="G45" s="208" t="str">
        <f>IF('BOBOT PEK'!F63="","ls",'BOBOT PEK'!F63)</f>
        <v>m²</v>
      </c>
      <c r="H45" s="210">
        <f>'BOBOT PEK'!J63</f>
        <v>0.32427398430689014</v>
      </c>
      <c r="I45" s="211">
        <f>'KALENDER MINGGU'!$B$3</f>
        <v>46226</v>
      </c>
      <c r="J45" s="209">
        <f t="shared" si="4"/>
        <v>7</v>
      </c>
      <c r="K45" s="209">
        <f t="shared" si="5"/>
        <v>162</v>
      </c>
      <c r="L45" s="212">
        <f t="shared" si="6"/>
        <v>4.142011834319527E-2</v>
      </c>
      <c r="M45" s="208" t="str">
        <f t="shared" si="7"/>
        <v>OK</v>
      </c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  <c r="BC45" s="213"/>
      <c r="BD45" s="213"/>
      <c r="BE45" s="213"/>
      <c r="BF45" s="213"/>
      <c r="BG45" s="213"/>
      <c r="BH45" s="213"/>
      <c r="BI45" s="213"/>
      <c r="BJ45" s="213"/>
      <c r="BK45" s="213"/>
      <c r="BL45" s="213"/>
      <c r="BM45" s="213"/>
      <c r="BN45" s="213"/>
      <c r="BO45" s="213"/>
      <c r="BP45" s="213"/>
      <c r="BQ45" s="213"/>
      <c r="BR45" s="213"/>
      <c r="BS45" s="213"/>
      <c r="BT45" s="213"/>
      <c r="BU45" s="213"/>
      <c r="BV45" s="213"/>
      <c r="BW45" s="213"/>
      <c r="BX45" s="213"/>
      <c r="BY45" s="213"/>
      <c r="BZ45" s="213"/>
      <c r="CA45" s="213"/>
      <c r="CB45" s="213">
        <v>2</v>
      </c>
      <c r="CC45" s="213">
        <v>5</v>
      </c>
      <c r="CD45" s="213"/>
      <c r="CE45" s="213"/>
      <c r="CF45" s="213"/>
      <c r="CG45" s="213"/>
      <c r="CH45" s="213"/>
      <c r="CI45" s="213"/>
      <c r="CJ45" s="213"/>
      <c r="CK45" s="213"/>
      <c r="CL45" s="213"/>
      <c r="CM45" s="213"/>
      <c r="CN45" s="213"/>
      <c r="CO45" s="213"/>
      <c r="CP45" s="213"/>
      <c r="CQ45" s="213"/>
      <c r="CR45" s="213"/>
      <c r="CS45" s="213"/>
      <c r="CT45" s="213"/>
      <c r="CU45" s="213"/>
      <c r="CV45" s="213"/>
      <c r="CW45" s="213"/>
      <c r="CX45" s="213"/>
      <c r="CY45" s="213"/>
      <c r="CZ45" s="213"/>
      <c r="DA45" s="213"/>
      <c r="DB45" s="213"/>
      <c r="DC45" s="213"/>
      <c r="DD45" s="213"/>
      <c r="DE45" s="213"/>
      <c r="DF45" s="213"/>
      <c r="DG45" s="213"/>
      <c r="DH45" s="213"/>
      <c r="DI45" s="213"/>
      <c r="DJ45" s="213"/>
      <c r="DK45" s="213"/>
      <c r="DL45" s="213"/>
      <c r="DM45" s="213"/>
      <c r="DN45" s="213"/>
      <c r="DO45" s="213"/>
      <c r="DP45" s="213"/>
      <c r="DQ45" s="213"/>
      <c r="DR45" s="213"/>
      <c r="DS45" s="213"/>
      <c r="DT45" s="213"/>
      <c r="DU45" s="213"/>
      <c r="DV45" s="210">
        <f>SUMPRODUCT((($I45+COLUMN($N$3:$DU$3)-COLUMN($N$3))&gt;='KALENDER MINGGU'!$B$6)*(($I45+COLUMN($N$3:$DU$3)-COLUMN($N$3))&lt;='KALENDER MINGGU'!$C$6)*(N45:DU45))/F45*H45</f>
        <v>0</v>
      </c>
      <c r="DW45" s="210">
        <f>SUMPRODUCT((($I45+COLUMN($N$3:$DU$3)-COLUMN($N$3))&gt;='KALENDER MINGGU'!$B$7)*(($I45+COLUMN($N$3:$DU$3)-COLUMN($N$3))&lt;='KALENDER MINGGU'!$C$7)*(N45:DU45))/F45*H45</f>
        <v>0</v>
      </c>
      <c r="DX45" s="210">
        <f>SUMPRODUCT((($I45+COLUMN($N$3:$DU$3)-COLUMN($N$3))&gt;='KALENDER MINGGU'!$B$8)*(($I45+COLUMN($N$3:$DU$3)-COLUMN($N$3))&lt;='KALENDER MINGGU'!$C$8)*(N45:DU45))/F45*H45</f>
        <v>0</v>
      </c>
      <c r="DY45" s="210">
        <f>SUMPRODUCT((($I45+COLUMN($N$3:$DU$3)-COLUMN($N$3))&gt;='KALENDER MINGGU'!$B$9)*(($I45+COLUMN($N$3:$DU$3)-COLUMN($N$3))&lt;='KALENDER MINGGU'!$C$9)*(N45:DU45))/F45*H45</f>
        <v>0</v>
      </c>
      <c r="DZ45" s="210">
        <f>SUMPRODUCT((($I45+COLUMN($N$3:$DU$3)-COLUMN($N$3))&gt;='KALENDER MINGGU'!$B$10)*(($I45+COLUMN($N$3:$DU$3)-COLUMN($N$3))&lt;='KALENDER MINGGU'!$C$10)*(N45:DU45))/F45*H45</f>
        <v>0</v>
      </c>
      <c r="EA45" s="210">
        <f>SUMPRODUCT((($I45+COLUMN($N$3:$DU$3)-COLUMN($N$3))&gt;='KALENDER MINGGU'!$B$11)*(($I45+COLUMN($N$3:$DU$3)-COLUMN($N$3))&lt;='KALENDER MINGGU'!$C$11)*(N45:DU45))/F45*H45</f>
        <v>0</v>
      </c>
      <c r="EB45" s="210">
        <f>SUMPRODUCT((($I45+COLUMN($N$3:$DU$3)-COLUMN($N$3))&gt;='KALENDER MINGGU'!$B$12)*(($I45+COLUMN($N$3:$DU$3)-COLUMN($N$3))&lt;='KALENDER MINGGU'!$C$12)*(N45:DU45))/F45*H45</f>
        <v>0</v>
      </c>
      <c r="EC45" s="210">
        <f>SUMPRODUCT((($I45+COLUMN($N$3:$DU$3)-COLUMN($N$3))&gt;='KALENDER MINGGU'!$B$13)*(($I45+COLUMN($N$3:$DU$3)-COLUMN($N$3))&lt;='KALENDER MINGGU'!$C$13)*(N45:DU45))/F45*H45</f>
        <v>0</v>
      </c>
      <c r="ED45" s="210">
        <f>SUMPRODUCT((($I45+COLUMN($N$3:$DU$3)-COLUMN($N$3))&gt;='KALENDER MINGGU'!$B$14)*(($I45+COLUMN($N$3:$DU$3)-COLUMN($N$3))&lt;='KALENDER MINGGU'!$C$14)*(N45:DU45))/F45*H45</f>
        <v>0</v>
      </c>
      <c r="EE45" s="210">
        <f>SUMPRODUCT((($I45+COLUMN($N$3:$DU$3)-COLUMN($N$3))&gt;='KALENDER MINGGU'!$B$15)*(($I45+COLUMN($N$3:$DU$3)-COLUMN($N$3))&lt;='KALENDER MINGGU'!$C$15)*(N45:DU45))/F45*H45</f>
        <v>1.3431466805610835E-2</v>
      </c>
      <c r="EF45" s="210">
        <f>SUMPRODUCT((($I45+COLUMN($N$3:$DU$3)-COLUMN($N$3))&gt;='KALENDER MINGGU'!$B$16)*(($I45+COLUMN($N$3:$DU$3)-COLUMN($N$3))&lt;='KALENDER MINGGU'!$C$16)*(N45:DU45))/F45*H45</f>
        <v>0</v>
      </c>
      <c r="EG45" s="210">
        <f>SUMPRODUCT((($I45+COLUMN($N$3:$DU$3)-COLUMN($N$3))&gt;='KALENDER MINGGU'!$B$17)*(($I45+COLUMN($N$3:$DU$3)-COLUMN($N$3))&lt;='KALENDER MINGGU'!$C$17)*(N45:DU45))/F45*H45</f>
        <v>0</v>
      </c>
      <c r="EH45" s="210">
        <f>SUMPRODUCT((($I45+COLUMN($N$3:$DU$3)-COLUMN($N$3))&gt;='KALENDER MINGGU'!$B$18)*(($I45+COLUMN($N$3:$DU$3)-COLUMN($N$3))&lt;='KALENDER MINGGU'!$C$18)*(N45:DU45))/F45*H45</f>
        <v>0</v>
      </c>
      <c r="EI45" s="210">
        <f>SUMPRODUCT((($I45+COLUMN($N$3:$DU$3)-COLUMN($N$3))&gt;='KALENDER MINGGU'!$B$19)*(($I45+COLUMN($N$3:$DU$3)-COLUMN($N$3))&lt;='KALENDER MINGGU'!$C$19)*(N45:DU45))/F45*H45</f>
        <v>0</v>
      </c>
      <c r="EJ45" s="210">
        <f>SUMPRODUCT((($I45+COLUMN($N$3:$DU$3)-COLUMN($N$3))&gt;='KALENDER MINGGU'!$B$20)*(($I45+COLUMN($N$3:$DU$3)-COLUMN($N$3))&lt;='KALENDER MINGGU'!$C$20)*(N45:DU45))/F45*H45</f>
        <v>0</v>
      </c>
      <c r="EK45" s="210">
        <f>SUMPRODUCT((($I45+COLUMN($N$3:$DU$3)-COLUMN($N$3))&gt;='KALENDER MINGGU'!$B$21)*(($I45+COLUMN($N$3:$DU$3)-COLUMN($N$3))&lt;='KALENDER MINGGU'!$C$21)*(N45:DU45))/F45*H45</f>
        <v>0</v>
      </c>
    </row>
    <row r="46" spans="1:141" ht="15" customHeight="1" x14ac:dyDescent="0.2">
      <c r="A46" s="208">
        <v>43</v>
      </c>
      <c r="B46" s="208">
        <v>67</v>
      </c>
      <c r="C46" s="208" t="str">
        <f>IF(B46&lt;160,'BOBOT PEK'!$B$4,IF(B46&lt;207,'BOBOT PEK'!$B$160,'BOBOT PEK'!$B$207))</f>
        <v>Pekerjaan Gudang Umum</v>
      </c>
      <c r="D46" s="208" t="s">
        <v>126</v>
      </c>
      <c r="E46" s="208" t="str">
        <f>'BOBOT PEK'!C67</f>
        <v>Kansteen dan ban-banan area dalam taman</v>
      </c>
      <c r="F46" s="209">
        <f>IF(OR('BOBOT PEK'!E67="",'BOBOT PEK'!E67=0),1,'BOBOT PEK'!E67)</f>
        <v>320</v>
      </c>
      <c r="G46" s="208" t="str">
        <f>IF('BOBOT PEK'!F67="","ls",'BOBOT PEK'!F67)</f>
        <v>m'</v>
      </c>
      <c r="H46" s="210">
        <f>'BOBOT PEK'!J67</f>
        <v>0.81867988148485082</v>
      </c>
      <c r="I46" s="211">
        <f>'KALENDER MINGGU'!$B$3</f>
        <v>46226</v>
      </c>
      <c r="J46" s="209">
        <f t="shared" si="4"/>
        <v>259</v>
      </c>
      <c r="K46" s="209">
        <f t="shared" si="5"/>
        <v>61</v>
      </c>
      <c r="L46" s="212">
        <f t="shared" si="6"/>
        <v>0.80937499999999996</v>
      </c>
      <c r="M46" s="208" t="str">
        <f t="shared" si="7"/>
        <v>OK</v>
      </c>
      <c r="N46" s="213">
        <v>0</v>
      </c>
      <c r="O46" s="213"/>
      <c r="P46" s="213"/>
      <c r="Q46" s="213"/>
      <c r="R46" s="213"/>
      <c r="S46" s="213"/>
      <c r="T46" s="213">
        <v>8</v>
      </c>
      <c r="U46" s="213">
        <v>9</v>
      </c>
      <c r="V46" s="213">
        <v>8</v>
      </c>
      <c r="W46" s="213">
        <v>10</v>
      </c>
      <c r="X46" s="213">
        <v>8</v>
      </c>
      <c r="Y46" s="213">
        <v>10</v>
      </c>
      <c r="Z46" s="213">
        <v>8</v>
      </c>
      <c r="AA46" s="213">
        <v>9</v>
      </c>
      <c r="AB46" s="213">
        <v>9</v>
      </c>
      <c r="AC46" s="213">
        <v>8</v>
      </c>
      <c r="AD46" s="213">
        <v>8</v>
      </c>
      <c r="AE46" s="213">
        <v>8</v>
      </c>
      <c r="AF46" s="213"/>
      <c r="AG46" s="213">
        <v>8</v>
      </c>
      <c r="AH46" s="213">
        <v>8</v>
      </c>
      <c r="AI46" s="213"/>
      <c r="AJ46" s="213"/>
      <c r="AK46" s="213"/>
      <c r="AL46" s="213"/>
      <c r="AM46" s="213"/>
      <c r="AN46" s="213"/>
      <c r="AO46" s="213"/>
      <c r="AP46" s="213">
        <v>20</v>
      </c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  <c r="BC46" s="213">
        <v>20</v>
      </c>
      <c r="BD46" s="213"/>
      <c r="BE46" s="213"/>
      <c r="BF46" s="213"/>
      <c r="BG46" s="213"/>
      <c r="BH46" s="213"/>
      <c r="BI46" s="213"/>
      <c r="BJ46" s="213"/>
      <c r="BK46" s="213"/>
      <c r="BL46" s="213"/>
      <c r="BM46" s="213"/>
      <c r="BN46" s="213"/>
      <c r="BO46" s="213"/>
      <c r="BP46" s="213">
        <v>10</v>
      </c>
      <c r="BQ46" s="213">
        <v>10</v>
      </c>
      <c r="BR46" s="213">
        <v>10</v>
      </c>
      <c r="BS46" s="213">
        <v>10</v>
      </c>
      <c r="BT46" s="213"/>
      <c r="BU46" s="213"/>
      <c r="BV46" s="213"/>
      <c r="BW46" s="213"/>
      <c r="BX46" s="213">
        <v>10</v>
      </c>
      <c r="BY46" s="213">
        <v>10</v>
      </c>
      <c r="BZ46" s="213">
        <v>10</v>
      </c>
      <c r="CA46" s="213">
        <v>10</v>
      </c>
      <c r="CB46" s="213">
        <v>10</v>
      </c>
      <c r="CC46" s="213">
        <v>10</v>
      </c>
      <c r="CD46" s="213"/>
      <c r="CE46" s="213"/>
      <c r="CF46" s="213"/>
      <c r="CG46" s="213"/>
      <c r="CH46" s="213"/>
      <c r="CI46" s="213"/>
      <c r="CJ46" s="213"/>
      <c r="CK46" s="213"/>
      <c r="CL46" s="213"/>
      <c r="CM46" s="213"/>
      <c r="CN46" s="213"/>
      <c r="CO46" s="213"/>
      <c r="CP46" s="213"/>
      <c r="CQ46" s="213"/>
      <c r="CR46" s="213"/>
      <c r="CS46" s="213"/>
      <c r="CT46" s="213"/>
      <c r="CU46" s="213"/>
      <c r="CV46" s="213"/>
      <c r="CW46" s="213"/>
      <c r="CX46" s="213"/>
      <c r="CY46" s="213"/>
      <c r="CZ46" s="213"/>
      <c r="DA46" s="213"/>
      <c r="DB46" s="213"/>
      <c r="DC46" s="213"/>
      <c r="DD46" s="213"/>
      <c r="DE46" s="213"/>
      <c r="DF46" s="213"/>
      <c r="DG46" s="213"/>
      <c r="DH46" s="213"/>
      <c r="DI46" s="213"/>
      <c r="DJ46" s="213"/>
      <c r="DK46" s="213"/>
      <c r="DL46" s="213"/>
      <c r="DM46" s="213"/>
      <c r="DN46" s="213"/>
      <c r="DO46" s="213"/>
      <c r="DP46" s="213"/>
      <c r="DQ46" s="213"/>
      <c r="DR46" s="213"/>
      <c r="DS46" s="213"/>
      <c r="DT46" s="213"/>
      <c r="DU46" s="213"/>
      <c r="DV46" s="210">
        <f>SUMPRODUCT((($I46+COLUMN($N$3:$DU$3)-COLUMN($N$3))&gt;='KALENDER MINGGU'!$B$6)*(($I46+COLUMN($N$3:$DU$3)-COLUMN($N$3))&lt;='KALENDER MINGGU'!$C$6)*(N46:DU46))/F46*H46</f>
        <v>2.0466997037121272E-2</v>
      </c>
      <c r="DW46" s="210">
        <f>SUMPRODUCT((($I46+COLUMN($N$3:$DU$3)-COLUMN($N$3))&gt;='KALENDER MINGGU'!$B$7)*(($I46+COLUMN($N$3:$DU$3)-COLUMN($N$3))&lt;='KALENDER MINGGU'!$C$7)*(N46:DU46))/F46*H46</f>
        <v>0.15861922703768985</v>
      </c>
      <c r="DX46" s="210">
        <f>SUMPRODUCT((($I46+COLUMN($N$3:$DU$3)-COLUMN($N$3))&gt;='KALENDER MINGGU'!$B$8)*(($I46+COLUMN($N$3:$DU$3)-COLUMN($N$3))&lt;='KALENDER MINGGU'!$C$8)*(N46:DU46))/F46*H46</f>
        <v>0.12536035685236779</v>
      </c>
      <c r="DY46" s="210">
        <f>SUMPRODUCT((($I46+COLUMN($N$3:$DU$3)-COLUMN($N$3))&gt;='KALENDER MINGGU'!$B$9)*(($I46+COLUMN($N$3:$DU$3)-COLUMN($N$3))&lt;='KALENDER MINGGU'!$C$9)*(N46:DU46))/F46*H46</f>
        <v>0</v>
      </c>
      <c r="DZ46" s="210">
        <f>SUMPRODUCT((($I46+COLUMN($N$3:$DU$3)-COLUMN($N$3))&gt;='KALENDER MINGGU'!$B$10)*(($I46+COLUMN($N$3:$DU$3)-COLUMN($N$3))&lt;='KALENDER MINGGU'!$C$10)*(N46:DU46))/F46*H46</f>
        <v>5.1167492592803177E-2</v>
      </c>
      <c r="EA46" s="210">
        <f>SUMPRODUCT((($I46+COLUMN($N$3:$DU$3)-COLUMN($N$3))&gt;='KALENDER MINGGU'!$B$11)*(($I46+COLUMN($N$3:$DU$3)-COLUMN($N$3))&lt;='KALENDER MINGGU'!$C$11)*(N46:DU46))/F46*H46</f>
        <v>5.1167492592803177E-2</v>
      </c>
      <c r="EB46" s="210">
        <f>SUMPRODUCT((($I46+COLUMN($N$3:$DU$3)-COLUMN($N$3))&gt;='KALENDER MINGGU'!$B$12)*(($I46+COLUMN($N$3:$DU$3)-COLUMN($N$3))&lt;='KALENDER MINGGU'!$C$12)*(N46:DU46))/F46*H46</f>
        <v>0</v>
      </c>
      <c r="EC46" s="210">
        <f>SUMPRODUCT((($I46+COLUMN($N$3:$DU$3)-COLUMN($N$3))&gt;='KALENDER MINGGU'!$B$13)*(($I46+COLUMN($N$3:$DU$3)-COLUMN($N$3))&lt;='KALENDER MINGGU'!$C$13)*(N46:DU46))/F46*H46</f>
        <v>5.1167492592803177E-2</v>
      </c>
      <c r="ED46" s="210">
        <f>SUMPRODUCT((($I46+COLUMN($N$3:$DU$3)-COLUMN($N$3))&gt;='KALENDER MINGGU'!$B$14)*(($I46+COLUMN($N$3:$DU$3)-COLUMN($N$3))&lt;='KALENDER MINGGU'!$C$14)*(N46:DU46))/F46*H46</f>
        <v>7.6751238889204765E-2</v>
      </c>
      <c r="EE46" s="210">
        <f>SUMPRODUCT((($I46+COLUMN($N$3:$DU$3)-COLUMN($N$3))&gt;='KALENDER MINGGU'!$B$15)*(($I46+COLUMN($N$3:$DU$3)-COLUMN($N$3))&lt;='KALENDER MINGGU'!$C$15)*(N46:DU46))/F46*H46</f>
        <v>0.12791873148200794</v>
      </c>
      <c r="EF46" s="210">
        <f>SUMPRODUCT((($I46+COLUMN($N$3:$DU$3)-COLUMN($N$3))&gt;='KALENDER MINGGU'!$B$16)*(($I46+COLUMN($N$3:$DU$3)-COLUMN($N$3))&lt;='KALENDER MINGGU'!$C$16)*(N46:DU46))/F46*H46</f>
        <v>0</v>
      </c>
      <c r="EG46" s="210">
        <f>SUMPRODUCT((($I46+COLUMN($N$3:$DU$3)-COLUMN($N$3))&gt;='KALENDER MINGGU'!$B$17)*(($I46+COLUMN($N$3:$DU$3)-COLUMN($N$3))&lt;='KALENDER MINGGU'!$C$17)*(N46:DU46))/F46*H46</f>
        <v>0</v>
      </c>
      <c r="EH46" s="210">
        <f>SUMPRODUCT((($I46+COLUMN($N$3:$DU$3)-COLUMN($N$3))&gt;='KALENDER MINGGU'!$B$18)*(($I46+COLUMN($N$3:$DU$3)-COLUMN($N$3))&lt;='KALENDER MINGGU'!$C$18)*(N46:DU46))/F46*H46</f>
        <v>0</v>
      </c>
      <c r="EI46" s="210">
        <f>SUMPRODUCT((($I46+COLUMN($N$3:$DU$3)-COLUMN($N$3))&gt;='KALENDER MINGGU'!$B$19)*(($I46+COLUMN($N$3:$DU$3)-COLUMN($N$3))&lt;='KALENDER MINGGU'!$C$19)*(N46:DU46))/F46*H46</f>
        <v>0</v>
      </c>
      <c r="EJ46" s="210">
        <f>SUMPRODUCT((($I46+COLUMN($N$3:$DU$3)-COLUMN($N$3))&gt;='KALENDER MINGGU'!$B$20)*(($I46+COLUMN($N$3:$DU$3)-COLUMN($N$3))&lt;='KALENDER MINGGU'!$C$20)*(N46:DU46))/F46*H46</f>
        <v>0</v>
      </c>
      <c r="EK46" s="210">
        <f>SUMPRODUCT((($I46+COLUMN($N$3:$DU$3)-COLUMN($N$3))&gt;='KALENDER MINGGU'!$B$21)*(($I46+COLUMN($N$3:$DU$3)-COLUMN($N$3))&lt;='KALENDER MINGGU'!$C$21)*(N46:DU46))/F46*H46</f>
        <v>0</v>
      </c>
    </row>
    <row r="47" spans="1:141" ht="15" customHeight="1" x14ac:dyDescent="0.2">
      <c r="A47" s="208">
        <v>44</v>
      </c>
      <c r="B47" s="208">
        <v>68</v>
      </c>
      <c r="C47" s="208" t="str">
        <f>IF(B47&lt;160,'BOBOT PEK'!$B$4,IF(B47&lt;207,'BOBOT PEK'!$B$160,'BOBOT PEK'!$B$207))</f>
        <v>Pekerjaan Gudang Umum</v>
      </c>
      <c r="D47" s="208" t="s">
        <v>126</v>
      </c>
      <c r="E47" s="208" t="str">
        <f>'BOBOT PEK'!C68</f>
        <v>Instalasi penerangan lampu taman</v>
      </c>
      <c r="F47" s="209">
        <f>IF(OR('BOBOT PEK'!E68="",'BOBOT PEK'!E68=0),1,'BOBOT PEK'!E68)</f>
        <v>150</v>
      </c>
      <c r="G47" s="208" t="str">
        <f>IF('BOBOT PEK'!F68="","ls",'BOBOT PEK'!F68)</f>
        <v>m'</v>
      </c>
      <c r="H47" s="210">
        <f>'BOBOT PEK'!J68</f>
        <v>0.13469842425055434</v>
      </c>
      <c r="I47" s="211">
        <f>'KALENDER MINGGU'!$B$3</f>
        <v>46226</v>
      </c>
      <c r="J47" s="209">
        <f t="shared" si="4"/>
        <v>0</v>
      </c>
      <c r="K47" s="209">
        <f t="shared" si="5"/>
        <v>150</v>
      </c>
      <c r="L47" s="212">
        <f t="shared" si="6"/>
        <v>0</v>
      </c>
      <c r="M47" s="208" t="str">
        <f t="shared" si="7"/>
        <v>OK</v>
      </c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H47" s="213"/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  <c r="BC47" s="213"/>
      <c r="BD47" s="213"/>
      <c r="BE47" s="213"/>
      <c r="BF47" s="213"/>
      <c r="BG47" s="213"/>
      <c r="BH47" s="213"/>
      <c r="BI47" s="213"/>
      <c r="BJ47" s="213"/>
      <c r="BK47" s="213"/>
      <c r="BL47" s="213"/>
      <c r="BM47" s="213"/>
      <c r="BN47" s="213"/>
      <c r="BO47" s="213"/>
      <c r="BP47" s="213"/>
      <c r="BQ47" s="213"/>
      <c r="BR47" s="213"/>
      <c r="BS47" s="213"/>
      <c r="BT47" s="213"/>
      <c r="BU47" s="213"/>
      <c r="BV47" s="213"/>
      <c r="BW47" s="213"/>
      <c r="BX47" s="213"/>
      <c r="BY47" s="213"/>
      <c r="BZ47" s="213"/>
      <c r="CA47" s="213"/>
      <c r="CB47" s="213"/>
      <c r="CC47" s="213"/>
      <c r="CD47" s="213"/>
      <c r="CE47" s="213"/>
      <c r="CF47" s="213"/>
      <c r="CG47" s="213"/>
      <c r="CH47" s="213"/>
      <c r="CI47" s="213"/>
      <c r="CJ47" s="213"/>
      <c r="CK47" s="213"/>
      <c r="CL47" s="213"/>
      <c r="CM47" s="213"/>
      <c r="CN47" s="213"/>
      <c r="CO47" s="213"/>
      <c r="CP47" s="213"/>
      <c r="CQ47" s="213"/>
      <c r="CR47" s="213"/>
      <c r="CS47" s="213"/>
      <c r="CT47" s="213"/>
      <c r="CU47" s="213"/>
      <c r="CV47" s="213"/>
      <c r="CW47" s="213"/>
      <c r="CX47" s="213"/>
      <c r="CY47" s="213"/>
      <c r="CZ47" s="213"/>
      <c r="DA47" s="213"/>
      <c r="DB47" s="213"/>
      <c r="DC47" s="213"/>
      <c r="DD47" s="213"/>
      <c r="DE47" s="213"/>
      <c r="DF47" s="213"/>
      <c r="DG47" s="213"/>
      <c r="DH47" s="213"/>
      <c r="DI47" s="213"/>
      <c r="DJ47" s="213"/>
      <c r="DK47" s="213"/>
      <c r="DL47" s="213"/>
      <c r="DM47" s="213"/>
      <c r="DN47" s="213"/>
      <c r="DO47" s="213"/>
      <c r="DP47" s="213"/>
      <c r="DQ47" s="213"/>
      <c r="DR47" s="213"/>
      <c r="DS47" s="213"/>
      <c r="DT47" s="213"/>
      <c r="DU47" s="213"/>
      <c r="DV47" s="210">
        <f>SUMPRODUCT((($I47+COLUMN($N$3:$DU$3)-COLUMN($N$3))&gt;='KALENDER MINGGU'!$B$6)*(($I47+COLUMN($N$3:$DU$3)-COLUMN($N$3))&lt;='KALENDER MINGGU'!$C$6)*(N47:DU47))/F47*H47</f>
        <v>0</v>
      </c>
      <c r="DW47" s="210">
        <f>SUMPRODUCT((($I47+COLUMN($N$3:$DU$3)-COLUMN($N$3))&gt;='KALENDER MINGGU'!$B$7)*(($I47+COLUMN($N$3:$DU$3)-COLUMN($N$3))&lt;='KALENDER MINGGU'!$C$7)*(N47:DU47))/F47*H47</f>
        <v>0</v>
      </c>
      <c r="DX47" s="210">
        <f>SUMPRODUCT((($I47+COLUMN($N$3:$DU$3)-COLUMN($N$3))&gt;='KALENDER MINGGU'!$B$8)*(($I47+COLUMN($N$3:$DU$3)-COLUMN($N$3))&lt;='KALENDER MINGGU'!$C$8)*(N47:DU47))/F47*H47</f>
        <v>0</v>
      </c>
      <c r="DY47" s="210">
        <f>SUMPRODUCT((($I47+COLUMN($N$3:$DU$3)-COLUMN($N$3))&gt;='KALENDER MINGGU'!$B$9)*(($I47+COLUMN($N$3:$DU$3)-COLUMN($N$3))&lt;='KALENDER MINGGU'!$C$9)*(N47:DU47))/F47*H47</f>
        <v>0</v>
      </c>
      <c r="DZ47" s="210">
        <f>SUMPRODUCT((($I47+COLUMN($N$3:$DU$3)-COLUMN($N$3))&gt;='KALENDER MINGGU'!$B$10)*(($I47+COLUMN($N$3:$DU$3)-COLUMN($N$3))&lt;='KALENDER MINGGU'!$C$10)*(N47:DU47))/F47*H47</f>
        <v>0</v>
      </c>
      <c r="EA47" s="210">
        <f>SUMPRODUCT((($I47+COLUMN($N$3:$DU$3)-COLUMN($N$3))&gt;='KALENDER MINGGU'!$B$11)*(($I47+COLUMN($N$3:$DU$3)-COLUMN($N$3))&lt;='KALENDER MINGGU'!$C$11)*(N47:DU47))/F47*H47</f>
        <v>0</v>
      </c>
      <c r="EB47" s="210">
        <f>SUMPRODUCT((($I47+COLUMN($N$3:$DU$3)-COLUMN($N$3))&gt;='KALENDER MINGGU'!$B$12)*(($I47+COLUMN($N$3:$DU$3)-COLUMN($N$3))&lt;='KALENDER MINGGU'!$C$12)*(N47:DU47))/F47*H47</f>
        <v>0</v>
      </c>
      <c r="EC47" s="210">
        <f>SUMPRODUCT((($I47+COLUMN($N$3:$DU$3)-COLUMN($N$3))&gt;='KALENDER MINGGU'!$B$13)*(($I47+COLUMN($N$3:$DU$3)-COLUMN($N$3))&lt;='KALENDER MINGGU'!$C$13)*(N47:DU47))/F47*H47</f>
        <v>0</v>
      </c>
      <c r="ED47" s="210">
        <f>SUMPRODUCT((($I47+COLUMN($N$3:$DU$3)-COLUMN($N$3))&gt;='KALENDER MINGGU'!$B$14)*(($I47+COLUMN($N$3:$DU$3)-COLUMN($N$3))&lt;='KALENDER MINGGU'!$C$14)*(N47:DU47))/F47*H47</f>
        <v>0</v>
      </c>
      <c r="EE47" s="210">
        <f>SUMPRODUCT((($I47+COLUMN($N$3:$DU$3)-COLUMN($N$3))&gt;='KALENDER MINGGU'!$B$15)*(($I47+COLUMN($N$3:$DU$3)-COLUMN($N$3))&lt;='KALENDER MINGGU'!$C$15)*(N47:DU47))/F47*H47</f>
        <v>0</v>
      </c>
      <c r="EF47" s="210">
        <f>SUMPRODUCT((($I47+COLUMN($N$3:$DU$3)-COLUMN($N$3))&gt;='KALENDER MINGGU'!$B$16)*(($I47+COLUMN($N$3:$DU$3)-COLUMN($N$3))&lt;='KALENDER MINGGU'!$C$16)*(N47:DU47))/F47*H47</f>
        <v>0</v>
      </c>
      <c r="EG47" s="210">
        <f>SUMPRODUCT((($I47+COLUMN($N$3:$DU$3)-COLUMN($N$3))&gt;='KALENDER MINGGU'!$B$17)*(($I47+COLUMN($N$3:$DU$3)-COLUMN($N$3))&lt;='KALENDER MINGGU'!$C$17)*(N47:DU47))/F47*H47</f>
        <v>0</v>
      </c>
      <c r="EH47" s="210">
        <f>SUMPRODUCT((($I47+COLUMN($N$3:$DU$3)-COLUMN($N$3))&gt;='KALENDER MINGGU'!$B$18)*(($I47+COLUMN($N$3:$DU$3)-COLUMN($N$3))&lt;='KALENDER MINGGU'!$C$18)*(N47:DU47))/F47*H47</f>
        <v>0</v>
      </c>
      <c r="EI47" s="210">
        <f>SUMPRODUCT((($I47+COLUMN($N$3:$DU$3)-COLUMN($N$3))&gt;='KALENDER MINGGU'!$B$19)*(($I47+COLUMN($N$3:$DU$3)-COLUMN($N$3))&lt;='KALENDER MINGGU'!$C$19)*(N47:DU47))/F47*H47</f>
        <v>0</v>
      </c>
      <c r="EJ47" s="210">
        <f>SUMPRODUCT((($I47+COLUMN($N$3:$DU$3)-COLUMN($N$3))&gt;='KALENDER MINGGU'!$B$20)*(($I47+COLUMN($N$3:$DU$3)-COLUMN($N$3))&lt;='KALENDER MINGGU'!$C$20)*(N47:DU47))/F47*H47</f>
        <v>0</v>
      </c>
      <c r="EK47" s="210">
        <f>SUMPRODUCT((($I47+COLUMN($N$3:$DU$3)-COLUMN($N$3))&gt;='KALENDER MINGGU'!$B$21)*(($I47+COLUMN($N$3:$DU$3)-COLUMN($N$3))&lt;='KALENDER MINGGU'!$C$21)*(N47:DU47))/F47*H47</f>
        <v>0</v>
      </c>
    </row>
    <row r="48" spans="1:141" ht="15" customHeight="1" x14ac:dyDescent="0.2">
      <c r="A48" s="208">
        <v>45</v>
      </c>
      <c r="B48" s="208">
        <v>69</v>
      </c>
      <c r="C48" s="208" t="str">
        <f>IF(B48&lt;160,'BOBOT PEK'!$B$4,IF(B48&lt;207,'BOBOT PEK'!$B$160,'BOBOT PEK'!$B$207))</f>
        <v>Pekerjaan Gudang Umum</v>
      </c>
      <c r="D48" s="208" t="s">
        <v>126</v>
      </c>
      <c r="E48" s="208" t="str">
        <f>'BOBOT PEK'!C69</f>
        <v>Reposisi pintu tempat sampah</v>
      </c>
      <c r="F48" s="209">
        <f>IF(OR('BOBOT PEK'!E69="",'BOBOT PEK'!E69=0),1,'BOBOT PEK'!E69)</f>
        <v>1</v>
      </c>
      <c r="G48" s="208" t="str">
        <f>IF('BOBOT PEK'!F69="","ls",'BOBOT PEK'!F69)</f>
        <v>ls</v>
      </c>
      <c r="H48" s="210">
        <f>'BOBOT PEK'!J69</f>
        <v>3.8375619444602382E-2</v>
      </c>
      <c r="I48" s="211">
        <f>'KALENDER MINGGU'!$B$3</f>
        <v>46226</v>
      </c>
      <c r="J48" s="209">
        <f t="shared" si="4"/>
        <v>1</v>
      </c>
      <c r="K48" s="209">
        <f t="shared" si="5"/>
        <v>0</v>
      </c>
      <c r="L48" s="212">
        <f t="shared" si="6"/>
        <v>1</v>
      </c>
      <c r="M48" s="208" t="str">
        <f t="shared" si="7"/>
        <v>OK</v>
      </c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  <c r="AE48" s="213">
        <v>0.3</v>
      </c>
      <c r="AF48" s="213"/>
      <c r="AG48" s="213">
        <v>0.3</v>
      </c>
      <c r="AH48" s="213">
        <v>0.4</v>
      </c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  <c r="BC48" s="213"/>
      <c r="BD48" s="213"/>
      <c r="BE48" s="213"/>
      <c r="BF48" s="213"/>
      <c r="BG48" s="213"/>
      <c r="BH48" s="213"/>
      <c r="BI48" s="213"/>
      <c r="BJ48" s="213"/>
      <c r="BK48" s="213"/>
      <c r="BL48" s="213"/>
      <c r="BM48" s="213"/>
      <c r="BN48" s="213"/>
      <c r="BO48" s="213"/>
      <c r="BP48" s="213"/>
      <c r="BQ48" s="213"/>
      <c r="BR48" s="213"/>
      <c r="BS48" s="213"/>
      <c r="BT48" s="213"/>
      <c r="BU48" s="213"/>
      <c r="BV48" s="213"/>
      <c r="BW48" s="213"/>
      <c r="BX48" s="213"/>
      <c r="BY48" s="213"/>
      <c r="BZ48" s="213"/>
      <c r="CA48" s="213"/>
      <c r="CB48" s="213"/>
      <c r="CC48" s="213"/>
      <c r="CD48" s="213"/>
      <c r="CE48" s="213"/>
      <c r="CF48" s="213"/>
      <c r="CG48" s="213"/>
      <c r="CH48" s="213"/>
      <c r="CI48" s="213"/>
      <c r="CJ48" s="213"/>
      <c r="CK48" s="213"/>
      <c r="CL48" s="213"/>
      <c r="CM48" s="213"/>
      <c r="CN48" s="213"/>
      <c r="CO48" s="213"/>
      <c r="CP48" s="213"/>
      <c r="CQ48" s="213"/>
      <c r="CR48" s="213"/>
      <c r="CS48" s="213"/>
      <c r="CT48" s="213"/>
      <c r="CU48" s="213"/>
      <c r="CV48" s="213"/>
      <c r="CW48" s="213"/>
      <c r="CX48" s="213"/>
      <c r="CY48" s="213"/>
      <c r="CZ48" s="213"/>
      <c r="DA48" s="213"/>
      <c r="DB48" s="213"/>
      <c r="DC48" s="213"/>
      <c r="DD48" s="213"/>
      <c r="DE48" s="213"/>
      <c r="DF48" s="213"/>
      <c r="DG48" s="213"/>
      <c r="DH48" s="213"/>
      <c r="DI48" s="213"/>
      <c r="DJ48" s="213"/>
      <c r="DK48" s="213"/>
      <c r="DL48" s="213"/>
      <c r="DM48" s="213"/>
      <c r="DN48" s="213"/>
      <c r="DO48" s="213"/>
      <c r="DP48" s="213"/>
      <c r="DQ48" s="213"/>
      <c r="DR48" s="213"/>
      <c r="DS48" s="213"/>
      <c r="DT48" s="213"/>
      <c r="DU48" s="213"/>
      <c r="DV48" s="210">
        <f>SUMPRODUCT((($I48+COLUMN($N$3:$DU$3)-COLUMN($N$3))&gt;='KALENDER MINGGU'!$B$6)*(($I48+COLUMN($N$3:$DU$3)-COLUMN($N$3))&lt;='KALENDER MINGGU'!$C$6)*(N48:DU48))/F48*H48</f>
        <v>0</v>
      </c>
      <c r="DW48" s="210">
        <f>SUMPRODUCT((($I48+COLUMN($N$3:$DU$3)-COLUMN($N$3))&gt;='KALENDER MINGGU'!$B$7)*(($I48+COLUMN($N$3:$DU$3)-COLUMN($N$3))&lt;='KALENDER MINGGU'!$C$7)*(N48:DU48))/F48*H48</f>
        <v>0</v>
      </c>
      <c r="DX48" s="210">
        <f>SUMPRODUCT((($I48+COLUMN($N$3:$DU$3)-COLUMN($N$3))&gt;='KALENDER MINGGU'!$B$8)*(($I48+COLUMN($N$3:$DU$3)-COLUMN($N$3))&lt;='KALENDER MINGGU'!$C$8)*(N48:DU48))/F48*H48</f>
        <v>3.8375619444602382E-2</v>
      </c>
      <c r="DY48" s="210">
        <f>SUMPRODUCT((($I48+COLUMN($N$3:$DU$3)-COLUMN($N$3))&gt;='KALENDER MINGGU'!$B$9)*(($I48+COLUMN($N$3:$DU$3)-COLUMN($N$3))&lt;='KALENDER MINGGU'!$C$9)*(N48:DU48))/F48*H48</f>
        <v>0</v>
      </c>
      <c r="DZ48" s="210">
        <f>SUMPRODUCT((($I48+COLUMN($N$3:$DU$3)-COLUMN($N$3))&gt;='KALENDER MINGGU'!$B$10)*(($I48+COLUMN($N$3:$DU$3)-COLUMN($N$3))&lt;='KALENDER MINGGU'!$C$10)*(N48:DU48))/F48*H48</f>
        <v>0</v>
      </c>
      <c r="EA48" s="210">
        <f>SUMPRODUCT((($I48+COLUMN($N$3:$DU$3)-COLUMN($N$3))&gt;='KALENDER MINGGU'!$B$11)*(($I48+COLUMN($N$3:$DU$3)-COLUMN($N$3))&lt;='KALENDER MINGGU'!$C$11)*(N48:DU48))/F48*H48</f>
        <v>0</v>
      </c>
      <c r="EB48" s="210">
        <f>SUMPRODUCT((($I48+COLUMN($N$3:$DU$3)-COLUMN($N$3))&gt;='KALENDER MINGGU'!$B$12)*(($I48+COLUMN($N$3:$DU$3)-COLUMN($N$3))&lt;='KALENDER MINGGU'!$C$12)*(N48:DU48))/F48*H48</f>
        <v>0</v>
      </c>
      <c r="EC48" s="210">
        <f>SUMPRODUCT((($I48+COLUMN($N$3:$DU$3)-COLUMN($N$3))&gt;='KALENDER MINGGU'!$B$13)*(($I48+COLUMN($N$3:$DU$3)-COLUMN($N$3))&lt;='KALENDER MINGGU'!$C$13)*(N48:DU48))/F48*H48</f>
        <v>0</v>
      </c>
      <c r="ED48" s="210">
        <f>SUMPRODUCT((($I48+COLUMN($N$3:$DU$3)-COLUMN($N$3))&gt;='KALENDER MINGGU'!$B$14)*(($I48+COLUMN($N$3:$DU$3)-COLUMN($N$3))&lt;='KALENDER MINGGU'!$C$14)*(N48:DU48))/F48*H48</f>
        <v>0</v>
      </c>
      <c r="EE48" s="210">
        <f>SUMPRODUCT((($I48+COLUMN($N$3:$DU$3)-COLUMN($N$3))&gt;='KALENDER MINGGU'!$B$15)*(($I48+COLUMN($N$3:$DU$3)-COLUMN($N$3))&lt;='KALENDER MINGGU'!$C$15)*(N48:DU48))/F48*H48</f>
        <v>0</v>
      </c>
      <c r="EF48" s="210">
        <f>SUMPRODUCT((($I48+COLUMN($N$3:$DU$3)-COLUMN($N$3))&gt;='KALENDER MINGGU'!$B$16)*(($I48+COLUMN($N$3:$DU$3)-COLUMN($N$3))&lt;='KALENDER MINGGU'!$C$16)*(N48:DU48))/F48*H48</f>
        <v>0</v>
      </c>
      <c r="EG48" s="210">
        <f>SUMPRODUCT((($I48+COLUMN($N$3:$DU$3)-COLUMN($N$3))&gt;='KALENDER MINGGU'!$B$17)*(($I48+COLUMN($N$3:$DU$3)-COLUMN($N$3))&lt;='KALENDER MINGGU'!$C$17)*(N48:DU48))/F48*H48</f>
        <v>0</v>
      </c>
      <c r="EH48" s="210">
        <f>SUMPRODUCT((($I48+COLUMN($N$3:$DU$3)-COLUMN($N$3))&gt;='KALENDER MINGGU'!$B$18)*(($I48+COLUMN($N$3:$DU$3)-COLUMN($N$3))&lt;='KALENDER MINGGU'!$C$18)*(N48:DU48))/F48*H48</f>
        <v>0</v>
      </c>
      <c r="EI48" s="210">
        <f>SUMPRODUCT((($I48+COLUMN($N$3:$DU$3)-COLUMN($N$3))&gt;='KALENDER MINGGU'!$B$19)*(($I48+COLUMN($N$3:$DU$3)-COLUMN($N$3))&lt;='KALENDER MINGGU'!$C$19)*(N48:DU48))/F48*H48</f>
        <v>0</v>
      </c>
      <c r="EJ48" s="210">
        <f>SUMPRODUCT((($I48+COLUMN($N$3:$DU$3)-COLUMN($N$3))&gt;='KALENDER MINGGU'!$B$20)*(($I48+COLUMN($N$3:$DU$3)-COLUMN($N$3))&lt;='KALENDER MINGGU'!$C$20)*(N48:DU48))/F48*H48</f>
        <v>0</v>
      </c>
      <c r="EK48" s="210">
        <f>SUMPRODUCT((($I48+COLUMN($N$3:$DU$3)-COLUMN($N$3))&gt;='KALENDER MINGGU'!$B$21)*(($I48+COLUMN($N$3:$DU$3)-COLUMN($N$3))&lt;='KALENDER MINGGU'!$C$21)*(N48:DU48))/F48*H48</f>
        <v>0</v>
      </c>
    </row>
    <row r="49" spans="1:141" ht="15" customHeight="1" x14ac:dyDescent="0.2">
      <c r="A49" s="208">
        <v>46</v>
      </c>
      <c r="B49" s="208">
        <v>70</v>
      </c>
      <c r="C49" s="208" t="str">
        <f>IF(B49&lt;160,'BOBOT PEK'!$B$4,IF(B49&lt;207,'BOBOT PEK'!$B$160,'BOBOT PEK'!$B$207))</f>
        <v>Pekerjaan Gudang Umum</v>
      </c>
      <c r="D49" s="208" t="s">
        <v>126</v>
      </c>
      <c r="E49" s="208" t="str">
        <f>'BOBOT PEK'!C70</f>
        <v>Cat ulang area luar tempat sampah (dinding)</v>
      </c>
      <c r="F49" s="209">
        <f>IF(OR('BOBOT PEK'!E70="",'BOBOT PEK'!E70=0),1,'BOBOT PEK'!E70)</f>
        <v>20</v>
      </c>
      <c r="G49" s="208" t="str">
        <f>IF('BOBOT PEK'!F70="","ls",'BOBOT PEK'!F70)</f>
        <v>m2</v>
      </c>
      <c r="H49" s="210">
        <f>'BOBOT PEK'!J70</f>
        <v>2.9421308240861827E-2</v>
      </c>
      <c r="I49" s="211">
        <f>'KALENDER MINGGU'!$B$3</f>
        <v>46226</v>
      </c>
      <c r="J49" s="209">
        <f t="shared" si="4"/>
        <v>20</v>
      </c>
      <c r="K49" s="209">
        <f t="shared" si="5"/>
        <v>0</v>
      </c>
      <c r="L49" s="212">
        <f t="shared" si="6"/>
        <v>1</v>
      </c>
      <c r="M49" s="208" t="str">
        <f t="shared" si="7"/>
        <v>OK</v>
      </c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3">
        <v>3</v>
      </c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  <c r="BC49" s="213"/>
      <c r="BD49" s="213"/>
      <c r="BE49" s="213"/>
      <c r="BF49" s="213"/>
      <c r="BG49" s="213"/>
      <c r="BH49" s="213"/>
      <c r="BI49" s="213"/>
      <c r="BJ49" s="213"/>
      <c r="BK49" s="213"/>
      <c r="BL49" s="213"/>
      <c r="BM49" s="213"/>
      <c r="BN49" s="213"/>
      <c r="BO49" s="213"/>
      <c r="BP49" s="213">
        <v>15</v>
      </c>
      <c r="BQ49" s="213">
        <v>2</v>
      </c>
      <c r="BR49" s="213"/>
      <c r="BS49" s="213"/>
      <c r="BT49" s="213"/>
      <c r="BU49" s="213"/>
      <c r="BV49" s="213"/>
      <c r="BW49" s="213"/>
      <c r="BX49" s="213"/>
      <c r="BY49" s="213"/>
      <c r="BZ49" s="213"/>
      <c r="CA49" s="213"/>
      <c r="CB49" s="213"/>
      <c r="CC49" s="213"/>
      <c r="CD49" s="213"/>
      <c r="CE49" s="213"/>
      <c r="CF49" s="213"/>
      <c r="CG49" s="213"/>
      <c r="CH49" s="213"/>
      <c r="CI49" s="213"/>
      <c r="CJ49" s="213"/>
      <c r="CK49" s="213"/>
      <c r="CL49" s="213"/>
      <c r="CM49" s="213"/>
      <c r="CN49" s="213"/>
      <c r="CO49" s="213"/>
      <c r="CP49" s="213"/>
      <c r="CQ49" s="213"/>
      <c r="CR49" s="213"/>
      <c r="CS49" s="213"/>
      <c r="CT49" s="213"/>
      <c r="CU49" s="213"/>
      <c r="CV49" s="213"/>
      <c r="CW49" s="213"/>
      <c r="CX49" s="213"/>
      <c r="CY49" s="213"/>
      <c r="CZ49" s="213"/>
      <c r="DA49" s="213"/>
      <c r="DB49" s="213"/>
      <c r="DC49" s="213"/>
      <c r="DD49" s="213"/>
      <c r="DE49" s="213"/>
      <c r="DF49" s="213"/>
      <c r="DG49" s="213"/>
      <c r="DH49" s="213"/>
      <c r="DI49" s="213"/>
      <c r="DJ49" s="213"/>
      <c r="DK49" s="213"/>
      <c r="DL49" s="213"/>
      <c r="DM49" s="213"/>
      <c r="DN49" s="213"/>
      <c r="DO49" s="213"/>
      <c r="DP49" s="213"/>
      <c r="DQ49" s="213"/>
      <c r="DR49" s="213"/>
      <c r="DS49" s="213"/>
      <c r="DT49" s="213"/>
      <c r="DU49" s="213"/>
      <c r="DV49" s="210">
        <f>SUMPRODUCT((($I49+COLUMN($N$3:$DU$3)-COLUMN($N$3))&gt;='KALENDER MINGGU'!$B$6)*(($I49+COLUMN($N$3:$DU$3)-COLUMN($N$3))&lt;='KALENDER MINGGU'!$C$6)*(N49:DU49))/F49*H49</f>
        <v>0</v>
      </c>
      <c r="DW49" s="210">
        <f>SUMPRODUCT((($I49+COLUMN($N$3:$DU$3)-COLUMN($N$3))&gt;='KALENDER MINGGU'!$B$7)*(($I49+COLUMN($N$3:$DU$3)-COLUMN($N$3))&lt;='KALENDER MINGGU'!$C$7)*(N49:DU49))/F49*H49</f>
        <v>0</v>
      </c>
      <c r="DX49" s="210">
        <f>SUMPRODUCT((($I49+COLUMN($N$3:$DU$3)-COLUMN($N$3))&gt;='KALENDER MINGGU'!$B$8)*(($I49+COLUMN($N$3:$DU$3)-COLUMN($N$3))&lt;='KALENDER MINGGU'!$C$8)*(N49:DU49))/F49*H49</f>
        <v>4.4131962361292736E-3</v>
      </c>
      <c r="DY49" s="210">
        <f>SUMPRODUCT((($I49+COLUMN($N$3:$DU$3)-COLUMN($N$3))&gt;='KALENDER MINGGU'!$B$9)*(($I49+COLUMN($N$3:$DU$3)-COLUMN($N$3))&lt;='KALENDER MINGGU'!$C$9)*(N49:DU49))/F49*H49</f>
        <v>0</v>
      </c>
      <c r="DZ49" s="210">
        <f>SUMPRODUCT((($I49+COLUMN($N$3:$DU$3)-COLUMN($N$3))&gt;='KALENDER MINGGU'!$B$10)*(($I49+COLUMN($N$3:$DU$3)-COLUMN($N$3))&lt;='KALENDER MINGGU'!$C$10)*(N49:DU49))/F49*H49</f>
        <v>0</v>
      </c>
      <c r="EA49" s="210">
        <f>SUMPRODUCT((($I49+COLUMN($N$3:$DU$3)-COLUMN($N$3))&gt;='KALENDER MINGGU'!$B$11)*(($I49+COLUMN($N$3:$DU$3)-COLUMN($N$3))&lt;='KALENDER MINGGU'!$C$11)*(N49:DU49))/F49*H49</f>
        <v>0</v>
      </c>
      <c r="EB49" s="210">
        <f>SUMPRODUCT((($I49+COLUMN($N$3:$DU$3)-COLUMN($N$3))&gt;='KALENDER MINGGU'!$B$12)*(($I49+COLUMN($N$3:$DU$3)-COLUMN($N$3))&lt;='KALENDER MINGGU'!$C$12)*(N49:DU49))/F49*H49</f>
        <v>0</v>
      </c>
      <c r="EC49" s="210">
        <f>SUMPRODUCT((($I49+COLUMN($N$3:$DU$3)-COLUMN($N$3))&gt;='KALENDER MINGGU'!$B$13)*(($I49+COLUMN($N$3:$DU$3)-COLUMN($N$3))&lt;='KALENDER MINGGU'!$C$13)*(N49:DU49))/F49*H49</f>
        <v>2.5008112004732554E-2</v>
      </c>
      <c r="ED49" s="210">
        <f>SUMPRODUCT((($I49+COLUMN($N$3:$DU$3)-COLUMN($N$3))&gt;='KALENDER MINGGU'!$B$14)*(($I49+COLUMN($N$3:$DU$3)-COLUMN($N$3))&lt;='KALENDER MINGGU'!$C$14)*(N49:DU49))/F49*H49</f>
        <v>0</v>
      </c>
      <c r="EE49" s="210">
        <f>SUMPRODUCT((($I49+COLUMN($N$3:$DU$3)-COLUMN($N$3))&gt;='KALENDER MINGGU'!$B$15)*(($I49+COLUMN($N$3:$DU$3)-COLUMN($N$3))&lt;='KALENDER MINGGU'!$C$15)*(N49:DU49))/F49*H49</f>
        <v>0</v>
      </c>
      <c r="EF49" s="210">
        <f>SUMPRODUCT((($I49+COLUMN($N$3:$DU$3)-COLUMN($N$3))&gt;='KALENDER MINGGU'!$B$16)*(($I49+COLUMN($N$3:$DU$3)-COLUMN($N$3))&lt;='KALENDER MINGGU'!$C$16)*(N49:DU49))/F49*H49</f>
        <v>0</v>
      </c>
      <c r="EG49" s="210">
        <f>SUMPRODUCT((($I49+COLUMN($N$3:$DU$3)-COLUMN($N$3))&gt;='KALENDER MINGGU'!$B$17)*(($I49+COLUMN($N$3:$DU$3)-COLUMN($N$3))&lt;='KALENDER MINGGU'!$C$17)*(N49:DU49))/F49*H49</f>
        <v>0</v>
      </c>
      <c r="EH49" s="210">
        <f>SUMPRODUCT((($I49+COLUMN($N$3:$DU$3)-COLUMN($N$3))&gt;='KALENDER MINGGU'!$B$18)*(($I49+COLUMN($N$3:$DU$3)-COLUMN($N$3))&lt;='KALENDER MINGGU'!$C$18)*(N49:DU49))/F49*H49</f>
        <v>0</v>
      </c>
      <c r="EI49" s="210">
        <f>SUMPRODUCT((($I49+COLUMN($N$3:$DU$3)-COLUMN($N$3))&gt;='KALENDER MINGGU'!$B$19)*(($I49+COLUMN($N$3:$DU$3)-COLUMN($N$3))&lt;='KALENDER MINGGU'!$C$19)*(N49:DU49))/F49*H49</f>
        <v>0</v>
      </c>
      <c r="EJ49" s="210">
        <f>SUMPRODUCT((($I49+COLUMN($N$3:$DU$3)-COLUMN($N$3))&gt;='KALENDER MINGGU'!$B$20)*(($I49+COLUMN($N$3:$DU$3)-COLUMN($N$3))&lt;='KALENDER MINGGU'!$C$20)*(N49:DU49))/F49*H49</f>
        <v>0</v>
      </c>
      <c r="EK49" s="210">
        <f>SUMPRODUCT((($I49+COLUMN($N$3:$DU$3)-COLUMN($N$3))&gt;='KALENDER MINGGU'!$B$21)*(($I49+COLUMN($N$3:$DU$3)-COLUMN($N$3))&lt;='KALENDER MINGGU'!$C$21)*(N49:DU49))/F49*H49</f>
        <v>0</v>
      </c>
    </row>
    <row r="50" spans="1:141" ht="15" customHeight="1" x14ac:dyDescent="0.2">
      <c r="A50" s="208">
        <v>47</v>
      </c>
      <c r="B50" s="208">
        <v>71</v>
      </c>
      <c r="C50" s="208" t="str">
        <f>IF(B50&lt;160,'BOBOT PEK'!$B$4,IF(B50&lt;207,'BOBOT PEK'!$B$160,'BOBOT PEK'!$B$207))</f>
        <v>Pekerjaan Gudang Umum</v>
      </c>
      <c r="D50" s="208" t="s">
        <v>126</v>
      </c>
      <c r="E50" s="208" t="str">
        <f>'BOBOT PEK'!C71</f>
        <v>Cat paving untuk jalur truk sampah</v>
      </c>
      <c r="F50" s="209">
        <f>IF(OR('BOBOT PEK'!E71="",'BOBOT PEK'!E71=0),1,'BOBOT PEK'!E71)</f>
        <v>1</v>
      </c>
      <c r="G50" s="208" t="str">
        <f>IF('BOBOT PEK'!F71="","ls",'BOBOT PEK'!F71)</f>
        <v>ls</v>
      </c>
      <c r="H50" s="210">
        <f>'BOBOT PEK'!J71</f>
        <v>6.3959365741003971E-3</v>
      </c>
      <c r="I50" s="211">
        <f>'KALENDER MINGGU'!$B$3</f>
        <v>46226</v>
      </c>
      <c r="J50" s="209">
        <f t="shared" si="4"/>
        <v>1</v>
      </c>
      <c r="K50" s="209">
        <f t="shared" si="5"/>
        <v>0</v>
      </c>
      <c r="L50" s="212">
        <f t="shared" si="6"/>
        <v>1</v>
      </c>
      <c r="M50" s="208" t="str">
        <f t="shared" si="7"/>
        <v>OK</v>
      </c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3"/>
      <c r="AC50" s="213"/>
      <c r="AD50" s="213"/>
      <c r="AE50" s="213"/>
      <c r="AF50" s="213"/>
      <c r="AG50" s="213"/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  <c r="BC50" s="213"/>
      <c r="BD50" s="213"/>
      <c r="BE50" s="213"/>
      <c r="BF50" s="213"/>
      <c r="BG50" s="213"/>
      <c r="BH50" s="213"/>
      <c r="BI50" s="213"/>
      <c r="BJ50" s="213"/>
      <c r="BK50" s="213"/>
      <c r="BL50" s="213"/>
      <c r="BM50" s="213"/>
      <c r="BN50" s="213"/>
      <c r="BO50" s="213"/>
      <c r="BP50" s="213"/>
      <c r="BQ50" s="213">
        <v>1</v>
      </c>
      <c r="BR50" s="213"/>
      <c r="BS50" s="213"/>
      <c r="BT50" s="213"/>
      <c r="BU50" s="213"/>
      <c r="BV50" s="213"/>
      <c r="BW50" s="213"/>
      <c r="BX50" s="213"/>
      <c r="BY50" s="213"/>
      <c r="BZ50" s="213"/>
      <c r="CA50" s="213"/>
      <c r="CB50" s="213"/>
      <c r="CC50" s="213"/>
      <c r="CD50" s="213"/>
      <c r="CE50" s="213"/>
      <c r="CF50" s="213"/>
      <c r="CG50" s="213"/>
      <c r="CH50" s="213"/>
      <c r="CI50" s="213"/>
      <c r="CJ50" s="213"/>
      <c r="CK50" s="213"/>
      <c r="CL50" s="213"/>
      <c r="CM50" s="213"/>
      <c r="CN50" s="213"/>
      <c r="CO50" s="213"/>
      <c r="CP50" s="213"/>
      <c r="CQ50" s="213"/>
      <c r="CR50" s="213"/>
      <c r="CS50" s="213"/>
      <c r="CT50" s="213"/>
      <c r="CU50" s="213"/>
      <c r="CV50" s="213"/>
      <c r="CW50" s="213"/>
      <c r="CX50" s="213"/>
      <c r="CY50" s="213"/>
      <c r="CZ50" s="213"/>
      <c r="DA50" s="213"/>
      <c r="DB50" s="213"/>
      <c r="DC50" s="213"/>
      <c r="DD50" s="213"/>
      <c r="DE50" s="213"/>
      <c r="DF50" s="213"/>
      <c r="DG50" s="213"/>
      <c r="DH50" s="213"/>
      <c r="DI50" s="213"/>
      <c r="DJ50" s="213"/>
      <c r="DK50" s="213"/>
      <c r="DL50" s="213"/>
      <c r="DM50" s="213"/>
      <c r="DN50" s="213"/>
      <c r="DO50" s="213"/>
      <c r="DP50" s="213"/>
      <c r="DQ50" s="213"/>
      <c r="DR50" s="213"/>
      <c r="DS50" s="213"/>
      <c r="DT50" s="213"/>
      <c r="DU50" s="213"/>
      <c r="DV50" s="210">
        <f>SUMPRODUCT((($I50+COLUMN($N$3:$DU$3)-COLUMN($N$3))&gt;='KALENDER MINGGU'!$B$6)*(($I50+COLUMN($N$3:$DU$3)-COLUMN($N$3))&lt;='KALENDER MINGGU'!$C$6)*(N50:DU50))/F50*H50</f>
        <v>0</v>
      </c>
      <c r="DW50" s="210">
        <f>SUMPRODUCT((($I50+COLUMN($N$3:$DU$3)-COLUMN($N$3))&gt;='KALENDER MINGGU'!$B$7)*(($I50+COLUMN($N$3:$DU$3)-COLUMN($N$3))&lt;='KALENDER MINGGU'!$C$7)*(N50:DU50))/F50*H50</f>
        <v>0</v>
      </c>
      <c r="DX50" s="210">
        <f>SUMPRODUCT((($I50+COLUMN($N$3:$DU$3)-COLUMN($N$3))&gt;='KALENDER MINGGU'!$B$8)*(($I50+COLUMN($N$3:$DU$3)-COLUMN($N$3))&lt;='KALENDER MINGGU'!$C$8)*(N50:DU50))/F50*H50</f>
        <v>0</v>
      </c>
      <c r="DY50" s="210">
        <f>SUMPRODUCT((($I50+COLUMN($N$3:$DU$3)-COLUMN($N$3))&gt;='KALENDER MINGGU'!$B$9)*(($I50+COLUMN($N$3:$DU$3)-COLUMN($N$3))&lt;='KALENDER MINGGU'!$C$9)*(N50:DU50))/F50*H50</f>
        <v>0</v>
      </c>
      <c r="DZ50" s="210">
        <f>SUMPRODUCT((($I50+COLUMN($N$3:$DU$3)-COLUMN($N$3))&gt;='KALENDER MINGGU'!$B$10)*(($I50+COLUMN($N$3:$DU$3)-COLUMN($N$3))&lt;='KALENDER MINGGU'!$C$10)*(N50:DU50))/F50*H50</f>
        <v>0</v>
      </c>
      <c r="EA50" s="210">
        <f>SUMPRODUCT((($I50+COLUMN($N$3:$DU$3)-COLUMN($N$3))&gt;='KALENDER MINGGU'!$B$11)*(($I50+COLUMN($N$3:$DU$3)-COLUMN($N$3))&lt;='KALENDER MINGGU'!$C$11)*(N50:DU50))/F50*H50</f>
        <v>0</v>
      </c>
      <c r="EB50" s="210">
        <f>SUMPRODUCT((($I50+COLUMN($N$3:$DU$3)-COLUMN($N$3))&gt;='KALENDER MINGGU'!$B$12)*(($I50+COLUMN($N$3:$DU$3)-COLUMN($N$3))&lt;='KALENDER MINGGU'!$C$12)*(N50:DU50))/F50*H50</f>
        <v>0</v>
      </c>
      <c r="EC50" s="210">
        <f>SUMPRODUCT((($I50+COLUMN($N$3:$DU$3)-COLUMN($N$3))&gt;='KALENDER MINGGU'!$B$13)*(($I50+COLUMN($N$3:$DU$3)-COLUMN($N$3))&lt;='KALENDER MINGGU'!$C$13)*(N50:DU50))/F50*H50</f>
        <v>6.3959365741003971E-3</v>
      </c>
      <c r="ED50" s="210">
        <f>SUMPRODUCT((($I50+COLUMN($N$3:$DU$3)-COLUMN($N$3))&gt;='KALENDER MINGGU'!$B$14)*(($I50+COLUMN($N$3:$DU$3)-COLUMN($N$3))&lt;='KALENDER MINGGU'!$C$14)*(N50:DU50))/F50*H50</f>
        <v>0</v>
      </c>
      <c r="EE50" s="210">
        <f>SUMPRODUCT((($I50+COLUMN($N$3:$DU$3)-COLUMN($N$3))&gt;='KALENDER MINGGU'!$B$15)*(($I50+COLUMN($N$3:$DU$3)-COLUMN($N$3))&lt;='KALENDER MINGGU'!$C$15)*(N50:DU50))/F50*H50</f>
        <v>0</v>
      </c>
      <c r="EF50" s="210">
        <f>SUMPRODUCT((($I50+COLUMN($N$3:$DU$3)-COLUMN($N$3))&gt;='KALENDER MINGGU'!$B$16)*(($I50+COLUMN($N$3:$DU$3)-COLUMN($N$3))&lt;='KALENDER MINGGU'!$C$16)*(N50:DU50))/F50*H50</f>
        <v>0</v>
      </c>
      <c r="EG50" s="210">
        <f>SUMPRODUCT((($I50+COLUMN($N$3:$DU$3)-COLUMN($N$3))&gt;='KALENDER MINGGU'!$B$17)*(($I50+COLUMN($N$3:$DU$3)-COLUMN($N$3))&lt;='KALENDER MINGGU'!$C$17)*(N50:DU50))/F50*H50</f>
        <v>0</v>
      </c>
      <c r="EH50" s="210">
        <f>SUMPRODUCT((($I50+COLUMN($N$3:$DU$3)-COLUMN($N$3))&gt;='KALENDER MINGGU'!$B$18)*(($I50+COLUMN($N$3:$DU$3)-COLUMN($N$3))&lt;='KALENDER MINGGU'!$C$18)*(N50:DU50))/F50*H50</f>
        <v>0</v>
      </c>
      <c r="EI50" s="210">
        <f>SUMPRODUCT((($I50+COLUMN($N$3:$DU$3)-COLUMN($N$3))&gt;='KALENDER MINGGU'!$B$19)*(($I50+COLUMN($N$3:$DU$3)-COLUMN($N$3))&lt;='KALENDER MINGGU'!$C$19)*(N50:DU50))/F50*H50</f>
        <v>0</v>
      </c>
      <c r="EJ50" s="210">
        <f>SUMPRODUCT((($I50+COLUMN($N$3:$DU$3)-COLUMN($N$3))&gt;='KALENDER MINGGU'!$B$20)*(($I50+COLUMN($N$3:$DU$3)-COLUMN($N$3))&lt;='KALENDER MINGGU'!$C$20)*(N50:DU50))/F50*H50</f>
        <v>0</v>
      </c>
      <c r="EK50" s="210">
        <f>SUMPRODUCT((($I50+COLUMN($N$3:$DU$3)-COLUMN($N$3))&gt;='KALENDER MINGGU'!$B$21)*(($I50+COLUMN($N$3:$DU$3)-COLUMN($N$3))&lt;='KALENDER MINGGU'!$C$21)*(N50:DU50))/F50*H50</f>
        <v>0</v>
      </c>
    </row>
    <row r="51" spans="1:141" ht="15" customHeight="1" x14ac:dyDescent="0.2">
      <c r="A51" s="208">
        <v>48</v>
      </c>
      <c r="B51" s="208">
        <v>77</v>
      </c>
      <c r="C51" s="208" t="str">
        <f>IF(B51&lt;160,'BOBOT PEK'!$B$4,IF(B51&lt;207,'BOBOT PEK'!$B$160,'BOBOT PEK'!$B$207))</f>
        <v>Pekerjaan Gudang Umum</v>
      </c>
      <c r="D51" s="208" t="s">
        <v>138</v>
      </c>
      <c r="E51" s="208" t="str">
        <f>'BOBOT PEK'!C77</f>
        <v xml:space="preserve">Pengupasan aspal existing </v>
      </c>
      <c r="F51" s="209">
        <f>IF(OR('BOBOT PEK'!E77="",'BOBOT PEK'!E77=0),1,'BOBOT PEK'!E77)</f>
        <v>3281</v>
      </c>
      <c r="G51" s="208" t="str">
        <f>IF('BOBOT PEK'!F77="","ls",'BOBOT PEK'!F77)</f>
        <v>m²</v>
      </c>
      <c r="H51" s="210">
        <f>'BOBOT PEK'!J77</f>
        <v>3.3576108639397444</v>
      </c>
      <c r="I51" s="211">
        <f>'KALENDER MINGGU'!$B$3</f>
        <v>46226</v>
      </c>
      <c r="J51" s="209">
        <f t="shared" si="4"/>
        <v>3281</v>
      </c>
      <c r="K51" s="209">
        <f t="shared" si="5"/>
        <v>0</v>
      </c>
      <c r="L51" s="212">
        <f t="shared" si="6"/>
        <v>1</v>
      </c>
      <c r="M51" s="208" t="str">
        <f t="shared" si="7"/>
        <v>OK</v>
      </c>
      <c r="N51" s="213"/>
      <c r="O51" s="213"/>
      <c r="P51" s="213"/>
      <c r="Q51" s="213"/>
      <c r="R51" s="213"/>
      <c r="S51" s="213">
        <v>150</v>
      </c>
      <c r="T51" s="213">
        <v>170</v>
      </c>
      <c r="U51" s="213">
        <v>180</v>
      </c>
      <c r="V51" s="213">
        <v>150</v>
      </c>
      <c r="W51" s="213">
        <v>180</v>
      </c>
      <c r="X51" s="213">
        <v>180</v>
      </c>
      <c r="Y51" s="213">
        <v>150</v>
      </c>
      <c r="Z51" s="213">
        <v>150</v>
      </c>
      <c r="AA51" s="213">
        <v>150</v>
      </c>
      <c r="AB51" s="213">
        <v>150</v>
      </c>
      <c r="AC51" s="213"/>
      <c r="AD51" s="213"/>
      <c r="AE51" s="213"/>
      <c r="AF51" s="213"/>
      <c r="AG51" s="213"/>
      <c r="AH51" s="213"/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  <c r="BC51" s="213"/>
      <c r="BD51" s="213"/>
      <c r="BE51" s="213"/>
      <c r="BF51" s="213"/>
      <c r="BG51" s="213"/>
      <c r="BH51" s="213"/>
      <c r="BI51" s="213">
        <v>0</v>
      </c>
      <c r="BJ51" s="213">
        <v>600</v>
      </c>
      <c r="BK51" s="213">
        <v>500</v>
      </c>
      <c r="BL51" s="213">
        <v>200</v>
      </c>
      <c r="BM51" s="213">
        <v>371</v>
      </c>
      <c r="BN51" s="213"/>
      <c r="BO51" s="213"/>
      <c r="BP51" s="213"/>
      <c r="BQ51" s="213"/>
      <c r="BR51" s="213"/>
      <c r="BS51" s="213"/>
      <c r="BT51" s="213"/>
      <c r="BU51" s="213"/>
      <c r="BV51" s="213"/>
      <c r="BW51" s="213"/>
      <c r="BX51" s="213"/>
      <c r="BY51" s="213"/>
      <c r="BZ51" s="213"/>
      <c r="CA51" s="213"/>
      <c r="CB51" s="213"/>
      <c r="CC51" s="213"/>
      <c r="CD51" s="213"/>
      <c r="CE51" s="213"/>
      <c r="CF51" s="213"/>
      <c r="CG51" s="213"/>
      <c r="CH51" s="213"/>
      <c r="CI51" s="213"/>
      <c r="CJ51" s="213"/>
      <c r="CK51" s="213"/>
      <c r="CL51" s="213"/>
      <c r="CM51" s="213"/>
      <c r="CN51" s="213"/>
      <c r="CO51" s="213"/>
      <c r="CP51" s="213"/>
      <c r="CQ51" s="213"/>
      <c r="CR51" s="213"/>
      <c r="CS51" s="213"/>
      <c r="CT51" s="213"/>
      <c r="CU51" s="213"/>
      <c r="CV51" s="213"/>
      <c r="CW51" s="213"/>
      <c r="CX51" s="213"/>
      <c r="CY51" s="213"/>
      <c r="CZ51" s="213"/>
      <c r="DA51" s="213"/>
      <c r="DB51" s="213"/>
      <c r="DC51" s="213"/>
      <c r="DD51" s="213"/>
      <c r="DE51" s="213"/>
      <c r="DF51" s="213"/>
      <c r="DG51" s="213"/>
      <c r="DH51" s="213"/>
      <c r="DI51" s="213"/>
      <c r="DJ51" s="213"/>
      <c r="DK51" s="213"/>
      <c r="DL51" s="213"/>
      <c r="DM51" s="213"/>
      <c r="DN51" s="213"/>
      <c r="DO51" s="213"/>
      <c r="DP51" s="213"/>
      <c r="DQ51" s="213"/>
      <c r="DR51" s="213"/>
      <c r="DS51" s="213"/>
      <c r="DT51" s="213"/>
      <c r="DU51" s="213"/>
      <c r="DV51" s="210">
        <f>SUMPRODUCT((($I51+COLUMN($N$3:$DU$3)-COLUMN($N$3))&gt;='KALENDER MINGGU'!$B$6)*(($I51+COLUMN($N$3:$DU$3)-COLUMN($N$3))&lt;='KALENDER MINGGU'!$C$6)*(N51:DU51))/F51*H51</f>
        <v>0.32747195259394035</v>
      </c>
      <c r="DW51" s="210">
        <f>SUMPRODUCT((($I51+COLUMN($N$3:$DU$3)-COLUMN($N$3))&gt;='KALENDER MINGGU'!$B$7)*(($I51+COLUMN($N$3:$DU$3)-COLUMN($N$3))&lt;='KALENDER MINGGU'!$C$7)*(N51:DU51))/F51*H51</f>
        <v>1.1666188311159122</v>
      </c>
      <c r="DX51" s="210">
        <f>SUMPRODUCT((($I51+COLUMN($N$3:$DU$3)-COLUMN($N$3))&gt;='KALENDER MINGGU'!$B$8)*(($I51+COLUMN($N$3:$DU$3)-COLUMN($N$3))&lt;='KALENDER MINGGU'!$C$8)*(N51:DU51))/F51*H51</f>
        <v>0.15350247777840953</v>
      </c>
      <c r="DY51" s="210">
        <f>SUMPRODUCT((($I51+COLUMN($N$3:$DU$3)-COLUMN($N$3))&gt;='KALENDER MINGGU'!$B$9)*(($I51+COLUMN($N$3:$DU$3)-COLUMN($N$3))&lt;='KALENDER MINGGU'!$C$9)*(N51:DU51))/F51*H51</f>
        <v>0</v>
      </c>
      <c r="DZ51" s="210">
        <f>SUMPRODUCT((($I51+COLUMN($N$3:$DU$3)-COLUMN($N$3))&gt;='KALENDER MINGGU'!$B$10)*(($I51+COLUMN($N$3:$DU$3)-COLUMN($N$3))&lt;='KALENDER MINGGU'!$C$10)*(N51:DU51))/F51*H51</f>
        <v>0</v>
      </c>
      <c r="EA51" s="210">
        <f>SUMPRODUCT((($I51+COLUMN($N$3:$DU$3)-COLUMN($N$3))&gt;='KALENDER MINGGU'!$B$11)*(($I51+COLUMN($N$3:$DU$3)-COLUMN($N$3))&lt;='KALENDER MINGGU'!$C$11)*(N51:DU51))/F51*H51</f>
        <v>0</v>
      </c>
      <c r="EB51" s="210">
        <f>SUMPRODUCT((($I51+COLUMN($N$3:$DU$3)-COLUMN($N$3))&gt;='KALENDER MINGGU'!$B$12)*(($I51+COLUMN($N$3:$DU$3)-COLUMN($N$3))&lt;='KALENDER MINGGU'!$C$12)*(N51:DU51))/F51*H51</f>
        <v>0.61400991111363812</v>
      </c>
      <c r="EC51" s="210">
        <f>SUMPRODUCT((($I51+COLUMN($N$3:$DU$3)-COLUMN($N$3))&gt;='KALENDER MINGGU'!$B$13)*(($I51+COLUMN($N$3:$DU$3)-COLUMN($N$3))&lt;='KALENDER MINGGU'!$C$13)*(N51:DU51))/F51*H51</f>
        <v>1.096007691337844</v>
      </c>
      <c r="ED51" s="210">
        <f>SUMPRODUCT((($I51+COLUMN($N$3:$DU$3)-COLUMN($N$3))&gt;='KALENDER MINGGU'!$B$14)*(($I51+COLUMN($N$3:$DU$3)-COLUMN($N$3))&lt;='KALENDER MINGGU'!$C$14)*(N51:DU51))/F51*H51</f>
        <v>0</v>
      </c>
      <c r="EE51" s="210">
        <f>SUMPRODUCT((($I51+COLUMN($N$3:$DU$3)-COLUMN($N$3))&gt;='KALENDER MINGGU'!$B$15)*(($I51+COLUMN($N$3:$DU$3)-COLUMN($N$3))&lt;='KALENDER MINGGU'!$C$15)*(N51:DU51))/F51*H51</f>
        <v>0</v>
      </c>
      <c r="EF51" s="210">
        <f>SUMPRODUCT((($I51+COLUMN($N$3:$DU$3)-COLUMN($N$3))&gt;='KALENDER MINGGU'!$B$16)*(($I51+COLUMN($N$3:$DU$3)-COLUMN($N$3))&lt;='KALENDER MINGGU'!$C$16)*(N51:DU51))/F51*H51</f>
        <v>0</v>
      </c>
      <c r="EG51" s="210">
        <f>SUMPRODUCT((($I51+COLUMN($N$3:$DU$3)-COLUMN($N$3))&gt;='KALENDER MINGGU'!$B$17)*(($I51+COLUMN($N$3:$DU$3)-COLUMN($N$3))&lt;='KALENDER MINGGU'!$C$17)*(N51:DU51))/F51*H51</f>
        <v>0</v>
      </c>
      <c r="EH51" s="210">
        <f>SUMPRODUCT((($I51+COLUMN($N$3:$DU$3)-COLUMN($N$3))&gt;='KALENDER MINGGU'!$B$18)*(($I51+COLUMN($N$3:$DU$3)-COLUMN($N$3))&lt;='KALENDER MINGGU'!$C$18)*(N51:DU51))/F51*H51</f>
        <v>0</v>
      </c>
      <c r="EI51" s="210">
        <f>SUMPRODUCT((($I51+COLUMN($N$3:$DU$3)-COLUMN($N$3))&gt;='KALENDER MINGGU'!$B$19)*(($I51+COLUMN($N$3:$DU$3)-COLUMN($N$3))&lt;='KALENDER MINGGU'!$C$19)*(N51:DU51))/F51*H51</f>
        <v>0</v>
      </c>
      <c r="EJ51" s="210">
        <f>SUMPRODUCT((($I51+COLUMN($N$3:$DU$3)-COLUMN($N$3))&gt;='KALENDER MINGGU'!$B$20)*(($I51+COLUMN($N$3:$DU$3)-COLUMN($N$3))&lt;='KALENDER MINGGU'!$C$20)*(N51:DU51))/F51*H51</f>
        <v>0</v>
      </c>
      <c r="EK51" s="210">
        <f>SUMPRODUCT((($I51+COLUMN($N$3:$DU$3)-COLUMN($N$3))&gt;='KALENDER MINGGU'!$B$21)*(($I51+COLUMN($N$3:$DU$3)-COLUMN($N$3))&lt;='KALENDER MINGGU'!$C$21)*(N51:DU51))/F51*H51</f>
        <v>0</v>
      </c>
    </row>
    <row r="52" spans="1:141" ht="15" customHeight="1" x14ac:dyDescent="0.2">
      <c r="A52" s="208">
        <v>49</v>
      </c>
      <c r="B52" s="208">
        <v>78</v>
      </c>
      <c r="C52" s="208" t="str">
        <f>IF(B52&lt;160,'BOBOT PEK'!$B$4,IF(B52&lt;207,'BOBOT PEK'!$B$160,'BOBOT PEK'!$B$207))</f>
        <v>Pekerjaan Gudang Umum</v>
      </c>
      <c r="D52" s="208" t="s">
        <v>138</v>
      </c>
      <c r="E52" s="208" t="str">
        <f>'BOBOT PEK'!C78</f>
        <v xml:space="preserve">Pengupasan beton existing </v>
      </c>
      <c r="F52" s="209">
        <f>IF(OR('BOBOT PEK'!E78="",'BOBOT PEK'!E78=0),1,'BOBOT PEK'!E78)</f>
        <v>490</v>
      </c>
      <c r="G52" s="208" t="str">
        <f>IF('BOBOT PEK'!F78="","ls",'BOBOT PEK'!F78)</f>
        <v>m²</v>
      </c>
      <c r="H52" s="210">
        <f>'BOBOT PEK'!J78</f>
        <v>1.9430855312117006</v>
      </c>
      <c r="I52" s="211">
        <f>'KALENDER MINGGU'!$B$3</f>
        <v>46226</v>
      </c>
      <c r="J52" s="209">
        <f t="shared" si="4"/>
        <v>490</v>
      </c>
      <c r="K52" s="209">
        <f t="shared" si="5"/>
        <v>0</v>
      </c>
      <c r="L52" s="212">
        <f t="shared" si="6"/>
        <v>1</v>
      </c>
      <c r="M52" s="208" t="str">
        <f t="shared" si="7"/>
        <v>OK</v>
      </c>
      <c r="N52" s="213"/>
      <c r="O52" s="213"/>
      <c r="P52" s="213"/>
      <c r="Q52" s="213"/>
      <c r="R52" s="213"/>
      <c r="S52" s="213"/>
      <c r="T52" s="213"/>
      <c r="U52" s="213"/>
      <c r="V52" s="213">
        <v>50</v>
      </c>
      <c r="W52" s="213">
        <v>50</v>
      </c>
      <c r="X52" s="213">
        <v>50</v>
      </c>
      <c r="Y52" s="213">
        <v>50</v>
      </c>
      <c r="Z52" s="213">
        <v>50</v>
      </c>
      <c r="AA52" s="213"/>
      <c r="AB52" s="213"/>
      <c r="AC52" s="213"/>
      <c r="AD52" s="213"/>
      <c r="AE52" s="213"/>
      <c r="AF52" s="213"/>
      <c r="AG52" s="213"/>
      <c r="AH52" s="213"/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  <c r="BC52" s="213"/>
      <c r="BD52" s="213"/>
      <c r="BE52" s="213"/>
      <c r="BF52" s="213"/>
      <c r="BG52" s="213"/>
      <c r="BH52" s="213"/>
      <c r="BI52" s="213"/>
      <c r="BJ52" s="213">
        <v>30</v>
      </c>
      <c r="BK52" s="213">
        <v>210</v>
      </c>
      <c r="BL52" s="213"/>
      <c r="BM52" s="213"/>
      <c r="BN52" s="213"/>
      <c r="BO52" s="213"/>
      <c r="BP52" s="213"/>
      <c r="BQ52" s="213"/>
      <c r="BR52" s="213"/>
      <c r="BS52" s="213"/>
      <c r="BT52" s="213"/>
      <c r="BU52" s="213"/>
      <c r="BV52" s="213"/>
      <c r="BW52" s="213"/>
      <c r="BX52" s="213"/>
      <c r="BY52" s="213"/>
      <c r="BZ52" s="213"/>
      <c r="CA52" s="213"/>
      <c r="CB52" s="213"/>
      <c r="CC52" s="213"/>
      <c r="CD52" s="213"/>
      <c r="CE52" s="213"/>
      <c r="CF52" s="213"/>
      <c r="CG52" s="213"/>
      <c r="CH52" s="213"/>
      <c r="CI52" s="213"/>
      <c r="CJ52" s="213"/>
      <c r="CK52" s="213"/>
      <c r="CL52" s="213"/>
      <c r="CM52" s="213"/>
      <c r="CN52" s="213"/>
      <c r="CO52" s="213"/>
      <c r="CP52" s="213"/>
      <c r="CQ52" s="213"/>
      <c r="CR52" s="213"/>
      <c r="CS52" s="213"/>
      <c r="CT52" s="213"/>
      <c r="CU52" s="213"/>
      <c r="CV52" s="213"/>
      <c r="CW52" s="213"/>
      <c r="CX52" s="213"/>
      <c r="CY52" s="213"/>
      <c r="CZ52" s="213"/>
      <c r="DA52" s="213"/>
      <c r="DB52" s="213"/>
      <c r="DC52" s="213"/>
      <c r="DD52" s="213"/>
      <c r="DE52" s="213"/>
      <c r="DF52" s="213"/>
      <c r="DG52" s="213"/>
      <c r="DH52" s="213"/>
      <c r="DI52" s="213"/>
      <c r="DJ52" s="213"/>
      <c r="DK52" s="213"/>
      <c r="DL52" s="213"/>
      <c r="DM52" s="213"/>
      <c r="DN52" s="213"/>
      <c r="DO52" s="213"/>
      <c r="DP52" s="213"/>
      <c r="DQ52" s="213"/>
      <c r="DR52" s="213"/>
      <c r="DS52" s="213"/>
      <c r="DT52" s="213"/>
      <c r="DU52" s="213"/>
      <c r="DV52" s="210">
        <f>SUMPRODUCT((($I52+COLUMN($N$3:$DU$3)-COLUMN($N$3))&gt;='KALENDER MINGGU'!$B$6)*(($I52+COLUMN($N$3:$DU$3)-COLUMN($N$3))&lt;='KALENDER MINGGU'!$C$6)*(N52:DU52))/F52*H52</f>
        <v>0</v>
      </c>
      <c r="DW52" s="210">
        <f>SUMPRODUCT((($I52+COLUMN($N$3:$DU$3)-COLUMN($N$3))&gt;='KALENDER MINGGU'!$B$7)*(($I52+COLUMN($N$3:$DU$3)-COLUMN($N$3))&lt;='KALENDER MINGGU'!$C$7)*(N52:DU52))/F52*H52</f>
        <v>0.99137016898556152</v>
      </c>
      <c r="DX52" s="210">
        <f>SUMPRODUCT((($I52+COLUMN($N$3:$DU$3)-COLUMN($N$3))&gt;='KALENDER MINGGU'!$B$8)*(($I52+COLUMN($N$3:$DU$3)-COLUMN($N$3))&lt;='KALENDER MINGGU'!$C$8)*(N52:DU52))/F52*H52</f>
        <v>0</v>
      </c>
      <c r="DY52" s="210">
        <f>SUMPRODUCT((($I52+COLUMN($N$3:$DU$3)-COLUMN($N$3))&gt;='KALENDER MINGGU'!$B$9)*(($I52+COLUMN($N$3:$DU$3)-COLUMN($N$3))&lt;='KALENDER MINGGU'!$C$9)*(N52:DU52))/F52*H52</f>
        <v>0</v>
      </c>
      <c r="DZ52" s="210">
        <f>SUMPRODUCT((($I52+COLUMN($N$3:$DU$3)-COLUMN($N$3))&gt;='KALENDER MINGGU'!$B$10)*(($I52+COLUMN($N$3:$DU$3)-COLUMN($N$3))&lt;='KALENDER MINGGU'!$C$10)*(N52:DU52))/F52*H52</f>
        <v>0</v>
      </c>
      <c r="EA52" s="210">
        <f>SUMPRODUCT((($I52+COLUMN($N$3:$DU$3)-COLUMN($N$3))&gt;='KALENDER MINGGU'!$B$11)*(($I52+COLUMN($N$3:$DU$3)-COLUMN($N$3))&lt;='KALENDER MINGGU'!$C$11)*(N52:DU52))/F52*H52</f>
        <v>0</v>
      </c>
      <c r="EB52" s="210">
        <f>SUMPRODUCT((($I52+COLUMN($N$3:$DU$3)-COLUMN($N$3))&gt;='KALENDER MINGGU'!$B$12)*(($I52+COLUMN($N$3:$DU$3)-COLUMN($N$3))&lt;='KALENDER MINGGU'!$C$12)*(N52:DU52))/F52*H52</f>
        <v>0.11896442027826738</v>
      </c>
      <c r="EC52" s="210">
        <f>SUMPRODUCT((($I52+COLUMN($N$3:$DU$3)-COLUMN($N$3))&gt;='KALENDER MINGGU'!$B$13)*(($I52+COLUMN($N$3:$DU$3)-COLUMN($N$3))&lt;='KALENDER MINGGU'!$C$13)*(N52:DU52))/F52*H52</f>
        <v>0.83275094194787158</v>
      </c>
      <c r="ED52" s="210">
        <f>SUMPRODUCT((($I52+COLUMN($N$3:$DU$3)-COLUMN($N$3))&gt;='KALENDER MINGGU'!$B$14)*(($I52+COLUMN($N$3:$DU$3)-COLUMN($N$3))&lt;='KALENDER MINGGU'!$C$14)*(N52:DU52))/F52*H52</f>
        <v>0</v>
      </c>
      <c r="EE52" s="210">
        <f>SUMPRODUCT((($I52+COLUMN($N$3:$DU$3)-COLUMN($N$3))&gt;='KALENDER MINGGU'!$B$15)*(($I52+COLUMN($N$3:$DU$3)-COLUMN($N$3))&lt;='KALENDER MINGGU'!$C$15)*(N52:DU52))/F52*H52</f>
        <v>0</v>
      </c>
      <c r="EF52" s="210">
        <f>SUMPRODUCT((($I52+COLUMN($N$3:$DU$3)-COLUMN($N$3))&gt;='KALENDER MINGGU'!$B$16)*(($I52+COLUMN($N$3:$DU$3)-COLUMN($N$3))&lt;='KALENDER MINGGU'!$C$16)*(N52:DU52))/F52*H52</f>
        <v>0</v>
      </c>
      <c r="EG52" s="210">
        <f>SUMPRODUCT((($I52+COLUMN($N$3:$DU$3)-COLUMN($N$3))&gt;='KALENDER MINGGU'!$B$17)*(($I52+COLUMN($N$3:$DU$3)-COLUMN($N$3))&lt;='KALENDER MINGGU'!$C$17)*(N52:DU52))/F52*H52</f>
        <v>0</v>
      </c>
      <c r="EH52" s="210">
        <f>SUMPRODUCT((($I52+COLUMN($N$3:$DU$3)-COLUMN($N$3))&gt;='KALENDER MINGGU'!$B$18)*(($I52+COLUMN($N$3:$DU$3)-COLUMN($N$3))&lt;='KALENDER MINGGU'!$C$18)*(N52:DU52))/F52*H52</f>
        <v>0</v>
      </c>
      <c r="EI52" s="210">
        <f>SUMPRODUCT((($I52+COLUMN($N$3:$DU$3)-COLUMN($N$3))&gt;='KALENDER MINGGU'!$B$19)*(($I52+COLUMN($N$3:$DU$3)-COLUMN($N$3))&lt;='KALENDER MINGGU'!$C$19)*(N52:DU52))/F52*H52</f>
        <v>0</v>
      </c>
      <c r="EJ52" s="210">
        <f>SUMPRODUCT((($I52+COLUMN($N$3:$DU$3)-COLUMN($N$3))&gt;='KALENDER MINGGU'!$B$20)*(($I52+COLUMN($N$3:$DU$3)-COLUMN($N$3))&lt;='KALENDER MINGGU'!$C$20)*(N52:DU52))/F52*H52</f>
        <v>0</v>
      </c>
      <c r="EK52" s="210">
        <f>SUMPRODUCT((($I52+COLUMN($N$3:$DU$3)-COLUMN($N$3))&gt;='KALENDER MINGGU'!$B$21)*(($I52+COLUMN($N$3:$DU$3)-COLUMN($N$3))&lt;='KALENDER MINGGU'!$C$21)*(N52:DU52))/F52*H52</f>
        <v>0</v>
      </c>
    </row>
    <row r="53" spans="1:141" ht="15" customHeight="1" x14ac:dyDescent="0.2">
      <c r="A53" s="208">
        <v>50</v>
      </c>
      <c r="B53" s="208">
        <v>79</v>
      </c>
      <c r="C53" s="208" t="str">
        <f>IF(B53&lt;160,'BOBOT PEK'!$B$4,IF(B53&lt;207,'BOBOT PEK'!$B$160,'BOBOT PEK'!$B$207))</f>
        <v>Pekerjaan Gudang Umum</v>
      </c>
      <c r="D53" s="208" t="s">
        <v>138</v>
      </c>
      <c r="E53" s="208" t="str">
        <f>'BOBOT PEK'!C79</f>
        <v>Pembuangan puing sewa truk</v>
      </c>
      <c r="F53" s="209">
        <f>IF(OR('BOBOT PEK'!E79="",'BOBOT PEK'!E79=0),1,'BOBOT PEK'!E79)</f>
        <v>3771</v>
      </c>
      <c r="G53" s="208" t="str">
        <f>IF('BOBOT PEK'!F79="","ls",'BOBOT PEK'!F79)</f>
        <v>m²</v>
      </c>
      <c r="H53" s="210">
        <f>'BOBOT PEK'!J79</f>
        <v>3.3766707549305637</v>
      </c>
      <c r="I53" s="211">
        <f>'KALENDER MINGGU'!$B$3</f>
        <v>46226</v>
      </c>
      <c r="J53" s="209">
        <f t="shared" si="4"/>
        <v>3771</v>
      </c>
      <c r="K53" s="209">
        <f t="shared" si="5"/>
        <v>0</v>
      </c>
      <c r="L53" s="212">
        <f t="shared" si="6"/>
        <v>1</v>
      </c>
      <c r="M53" s="208" t="str">
        <f t="shared" si="7"/>
        <v>OK</v>
      </c>
      <c r="N53" s="213"/>
      <c r="O53" s="213"/>
      <c r="P53" s="213"/>
      <c r="Q53" s="213">
        <v>180</v>
      </c>
      <c r="R53" s="213">
        <v>150</v>
      </c>
      <c r="S53" s="213">
        <v>100</v>
      </c>
      <c r="T53" s="213">
        <v>150</v>
      </c>
      <c r="U53" s="213">
        <v>180</v>
      </c>
      <c r="V53" s="213">
        <v>150</v>
      </c>
      <c r="W53" s="213">
        <v>180</v>
      </c>
      <c r="X53" s="213">
        <v>120</v>
      </c>
      <c r="Y53" s="213">
        <v>120</v>
      </c>
      <c r="Z53" s="213">
        <v>120</v>
      </c>
      <c r="AA53" s="213">
        <v>120</v>
      </c>
      <c r="AB53" s="213">
        <v>120</v>
      </c>
      <c r="AC53" s="213"/>
      <c r="AD53" s="213"/>
      <c r="AE53" s="213"/>
      <c r="AF53" s="213"/>
      <c r="AG53" s="213">
        <v>20</v>
      </c>
      <c r="AH53" s="213"/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3"/>
      <c r="BD53" s="213"/>
      <c r="BE53" s="213"/>
      <c r="BF53" s="213"/>
      <c r="BG53" s="213"/>
      <c r="BH53" s="213"/>
      <c r="BI53" s="213">
        <v>220</v>
      </c>
      <c r="BJ53" s="213">
        <v>220</v>
      </c>
      <c r="BK53" s="213">
        <v>300</v>
      </c>
      <c r="BL53" s="213">
        <v>350</v>
      </c>
      <c r="BM53" s="213">
        <v>350</v>
      </c>
      <c r="BN53" s="213"/>
      <c r="BO53" s="213">
        <v>200</v>
      </c>
      <c r="BP53" s="213">
        <v>200</v>
      </c>
      <c r="BQ53" s="213">
        <v>200</v>
      </c>
      <c r="BR53" s="213">
        <v>11</v>
      </c>
      <c r="BS53" s="213">
        <v>10</v>
      </c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213"/>
      <c r="CP53" s="213"/>
      <c r="CQ53" s="213"/>
      <c r="CR53" s="213"/>
      <c r="CS53" s="213"/>
      <c r="CT53" s="213"/>
      <c r="CU53" s="213"/>
      <c r="CV53" s="213"/>
      <c r="CW53" s="213"/>
      <c r="CX53" s="213"/>
      <c r="CY53" s="213"/>
      <c r="CZ53" s="213"/>
      <c r="DA53" s="213"/>
      <c r="DB53" s="213"/>
      <c r="DC53" s="213"/>
      <c r="DD53" s="213"/>
      <c r="DE53" s="213"/>
      <c r="DF53" s="213"/>
      <c r="DG53" s="213"/>
      <c r="DH53" s="213"/>
      <c r="DI53" s="213"/>
      <c r="DJ53" s="213"/>
      <c r="DK53" s="213"/>
      <c r="DL53" s="213"/>
      <c r="DM53" s="213"/>
      <c r="DN53" s="213"/>
      <c r="DO53" s="213"/>
      <c r="DP53" s="213"/>
      <c r="DQ53" s="213"/>
      <c r="DR53" s="213"/>
      <c r="DS53" s="213"/>
      <c r="DT53" s="213"/>
      <c r="DU53" s="213"/>
      <c r="DV53" s="210">
        <f>SUMPRODUCT((($I53+COLUMN($N$3:$DU$3)-COLUMN($N$3))&gt;='KALENDER MINGGU'!$B$6)*(($I53+COLUMN($N$3:$DU$3)-COLUMN($N$3))&lt;='KALENDER MINGGU'!$C$6)*(N53:DU53))/F53*H53</f>
        <v>0.51935004981695232</v>
      </c>
      <c r="DW53" s="210">
        <f>SUMPRODUCT((($I53+COLUMN($N$3:$DU$3)-COLUMN($N$3))&gt;='KALENDER MINGGU'!$B$7)*(($I53+COLUMN($N$3:$DU$3)-COLUMN($N$3))&lt;='KALENDER MINGGU'!$C$7)*(N53:DU53))/F53*H53</f>
        <v>0.88647680917031513</v>
      </c>
      <c r="DX53" s="210">
        <f>SUMPRODUCT((($I53+COLUMN($N$3:$DU$3)-COLUMN($N$3))&gt;='KALENDER MINGGU'!$B$8)*(($I53+COLUMN($N$3:$DU$3)-COLUMN($N$3))&lt;='KALENDER MINGGU'!$C$8)*(N53:DU53))/F53*H53</f>
        <v>0.12536035685236777</v>
      </c>
      <c r="DY53" s="210">
        <f>SUMPRODUCT((($I53+COLUMN($N$3:$DU$3)-COLUMN($N$3))&gt;='KALENDER MINGGU'!$B$9)*(($I53+COLUMN($N$3:$DU$3)-COLUMN($N$3))&lt;='KALENDER MINGGU'!$C$9)*(N53:DU53))/F53*H53</f>
        <v>0</v>
      </c>
      <c r="DZ53" s="210">
        <f>SUMPRODUCT((($I53+COLUMN($N$3:$DU$3)-COLUMN($N$3))&gt;='KALENDER MINGGU'!$B$10)*(($I53+COLUMN($N$3:$DU$3)-COLUMN($N$3))&lt;='KALENDER MINGGU'!$C$10)*(N53:DU53))/F53*H53</f>
        <v>0</v>
      </c>
      <c r="EA53" s="210">
        <f>SUMPRODUCT((($I53+COLUMN($N$3:$DU$3)-COLUMN($N$3))&gt;='KALENDER MINGGU'!$B$11)*(($I53+COLUMN($N$3:$DU$3)-COLUMN($N$3))&lt;='KALENDER MINGGU'!$C$11)*(N53:DU53))/F53*H53</f>
        <v>0</v>
      </c>
      <c r="EB53" s="210">
        <f>SUMPRODUCT((($I53+COLUMN($N$3:$DU$3)-COLUMN($N$3))&gt;='KALENDER MINGGU'!$B$12)*(($I53+COLUMN($N$3:$DU$3)-COLUMN($N$3))&lt;='KALENDER MINGGU'!$C$12)*(N53:DU53))/F53*H53</f>
        <v>0.39398969296458447</v>
      </c>
      <c r="EC53" s="210">
        <f>SUMPRODUCT((($I53+COLUMN($N$3:$DU$3)-COLUMN($N$3))&gt;='KALENDER MINGGU'!$B$13)*(($I53+COLUMN($N$3:$DU$3)-COLUMN($N$3))&lt;='KALENDER MINGGU'!$C$13)*(N53:DU53))/F53*H53</f>
        <v>1.4326897925984889</v>
      </c>
      <c r="ED53" s="210">
        <f>SUMPRODUCT((($I53+COLUMN($N$3:$DU$3)-COLUMN($N$3))&gt;='KALENDER MINGGU'!$B$14)*(($I53+COLUMN($N$3:$DU$3)-COLUMN($N$3))&lt;='KALENDER MINGGU'!$C$14)*(N53:DU53))/F53*H53</f>
        <v>1.8804053527855167E-2</v>
      </c>
      <c r="EE53" s="210">
        <f>SUMPRODUCT((($I53+COLUMN($N$3:$DU$3)-COLUMN($N$3))&gt;='KALENDER MINGGU'!$B$15)*(($I53+COLUMN($N$3:$DU$3)-COLUMN($N$3))&lt;='KALENDER MINGGU'!$C$15)*(N53:DU53))/F53*H53</f>
        <v>0</v>
      </c>
      <c r="EF53" s="210">
        <f>SUMPRODUCT((($I53+COLUMN($N$3:$DU$3)-COLUMN($N$3))&gt;='KALENDER MINGGU'!$B$16)*(($I53+COLUMN($N$3:$DU$3)-COLUMN($N$3))&lt;='KALENDER MINGGU'!$C$16)*(N53:DU53))/F53*H53</f>
        <v>0</v>
      </c>
      <c r="EG53" s="210">
        <f>SUMPRODUCT((($I53+COLUMN($N$3:$DU$3)-COLUMN($N$3))&gt;='KALENDER MINGGU'!$B$17)*(($I53+COLUMN($N$3:$DU$3)-COLUMN($N$3))&lt;='KALENDER MINGGU'!$C$17)*(N53:DU53))/F53*H53</f>
        <v>0</v>
      </c>
      <c r="EH53" s="210">
        <f>SUMPRODUCT((($I53+COLUMN($N$3:$DU$3)-COLUMN($N$3))&gt;='KALENDER MINGGU'!$B$18)*(($I53+COLUMN($N$3:$DU$3)-COLUMN($N$3))&lt;='KALENDER MINGGU'!$C$18)*(N53:DU53))/F53*H53</f>
        <v>0</v>
      </c>
      <c r="EI53" s="210">
        <f>SUMPRODUCT((($I53+COLUMN($N$3:$DU$3)-COLUMN($N$3))&gt;='KALENDER MINGGU'!$B$19)*(($I53+COLUMN($N$3:$DU$3)-COLUMN($N$3))&lt;='KALENDER MINGGU'!$C$19)*(N53:DU53))/F53*H53</f>
        <v>0</v>
      </c>
      <c r="EJ53" s="210">
        <f>SUMPRODUCT((($I53+COLUMN($N$3:$DU$3)-COLUMN($N$3))&gt;='KALENDER MINGGU'!$B$20)*(($I53+COLUMN($N$3:$DU$3)-COLUMN($N$3))&lt;='KALENDER MINGGU'!$C$20)*(N53:DU53))/F53*H53</f>
        <v>0</v>
      </c>
      <c r="EK53" s="210">
        <f>SUMPRODUCT((($I53+COLUMN($N$3:$DU$3)-COLUMN($N$3))&gt;='KALENDER MINGGU'!$B$21)*(($I53+COLUMN($N$3:$DU$3)-COLUMN($N$3))&lt;='KALENDER MINGGU'!$C$21)*(N53:DU53))/F53*H53</f>
        <v>0</v>
      </c>
    </row>
    <row r="54" spans="1:141" ht="15" customHeight="1" x14ac:dyDescent="0.2">
      <c r="A54" s="208">
        <v>51</v>
      </c>
      <c r="B54" s="208">
        <v>80</v>
      </c>
      <c r="C54" s="208" t="str">
        <f>IF(B54&lt;160,'BOBOT PEK'!$B$4,IF(B54&lt;207,'BOBOT PEK'!$B$160,'BOBOT PEK'!$B$207))</f>
        <v>Pekerjaan Gudang Umum</v>
      </c>
      <c r="D54" s="208" t="s">
        <v>138</v>
      </c>
      <c r="E54" s="208" t="str">
        <f>'BOBOT PEK'!C80</f>
        <v>Besi 13 ulir , kotak 30x30cm</v>
      </c>
      <c r="F54" s="209">
        <f>IF(OR('BOBOT PEK'!E80="",'BOBOT PEK'!E80=0),1,'BOBOT PEK'!E80)</f>
        <v>29027.777777777781</v>
      </c>
      <c r="G54" s="208" t="str">
        <f>IF('BOBOT PEK'!F80="","ls",'BOBOT PEK'!F80)</f>
        <v>kg</v>
      </c>
      <c r="H54" s="210">
        <f>'BOBOT PEK'!J80</f>
        <v>15.224105695407308</v>
      </c>
      <c r="I54" s="211">
        <f>'KALENDER MINGGU'!$B$3</f>
        <v>46226</v>
      </c>
      <c r="J54" s="209">
        <f t="shared" si="4"/>
        <v>27466.111111111113</v>
      </c>
      <c r="K54" s="209">
        <f t="shared" si="5"/>
        <v>1561.6666666666679</v>
      </c>
      <c r="L54" s="212">
        <f t="shared" si="6"/>
        <v>0.94620095693779904</v>
      </c>
      <c r="M54" s="208" t="str">
        <f t="shared" si="7"/>
        <v>OK</v>
      </c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>
        <f>12.5*400</f>
        <v>5000</v>
      </c>
      <c r="Z54" s="213"/>
      <c r="AA54" s="213"/>
      <c r="AB54" s="213"/>
      <c r="AC54" s="213">
        <f>12.5*400</f>
        <v>5000</v>
      </c>
      <c r="AD54" s="213"/>
      <c r="AE54" s="213"/>
      <c r="AF54" s="213"/>
      <c r="AG54" s="213"/>
      <c r="AH54" s="213"/>
      <c r="AI54" s="213">
        <f>12.5*280</f>
        <v>3500</v>
      </c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>
        <v>80</v>
      </c>
      <c r="AW54" s="213"/>
      <c r="AX54" s="213"/>
      <c r="AY54" s="213"/>
      <c r="AZ54" s="213"/>
      <c r="BA54" s="213"/>
      <c r="BB54" s="213"/>
      <c r="BC54" s="213"/>
      <c r="BD54" s="213"/>
      <c r="BE54" s="213"/>
      <c r="BF54" s="213"/>
      <c r="BG54" s="213"/>
      <c r="BH54" s="213"/>
      <c r="BI54" s="213"/>
      <c r="BJ54" s="213"/>
      <c r="BK54" s="213">
        <f>0.22*$F$54</f>
        <v>6386.1111111111122</v>
      </c>
      <c r="BL54" s="213">
        <v>500</v>
      </c>
      <c r="BM54" s="213"/>
      <c r="BN54" s="213"/>
      <c r="BO54" s="213">
        <v>1500</v>
      </c>
      <c r="BP54" s="213">
        <v>1500</v>
      </c>
      <c r="BQ54" s="213">
        <v>1500</v>
      </c>
      <c r="BR54" s="213">
        <v>1000</v>
      </c>
      <c r="BS54" s="213">
        <v>1000</v>
      </c>
      <c r="BT54" s="213">
        <v>500</v>
      </c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213"/>
      <c r="CP54" s="213"/>
      <c r="CQ54" s="213"/>
      <c r="CR54" s="213"/>
      <c r="CS54" s="213"/>
      <c r="CT54" s="213"/>
      <c r="CU54" s="213"/>
      <c r="CV54" s="213"/>
      <c r="CW54" s="213"/>
      <c r="CX54" s="213"/>
      <c r="CY54" s="213"/>
      <c r="CZ54" s="213"/>
      <c r="DA54" s="213"/>
      <c r="DB54" s="213"/>
      <c r="DC54" s="213"/>
      <c r="DD54" s="213"/>
      <c r="DE54" s="213"/>
      <c r="DF54" s="213"/>
      <c r="DG54" s="213"/>
      <c r="DH54" s="213"/>
      <c r="DI54" s="213"/>
      <c r="DJ54" s="213"/>
      <c r="DK54" s="213"/>
      <c r="DL54" s="213"/>
      <c r="DM54" s="213"/>
      <c r="DN54" s="213"/>
      <c r="DO54" s="213"/>
      <c r="DP54" s="213"/>
      <c r="DQ54" s="213"/>
      <c r="DR54" s="213"/>
      <c r="DS54" s="213"/>
      <c r="DT54" s="213"/>
      <c r="DU54" s="213"/>
      <c r="DV54" s="210">
        <f>SUMPRODUCT((($I54+COLUMN($N$3:$DU$3)-COLUMN($N$3))&gt;='KALENDER MINGGU'!$B$6)*(($I54+COLUMN($N$3:$DU$3)-COLUMN($N$3))&lt;='KALENDER MINGGU'!$C$6)*(N54:DU54))/F54*H54</f>
        <v>0</v>
      </c>
      <c r="DW54" s="210">
        <f>SUMPRODUCT((($I54+COLUMN($N$3:$DU$3)-COLUMN($N$3))&gt;='KALENDER MINGGU'!$B$7)*(($I54+COLUMN($N$3:$DU$3)-COLUMN($N$3))&lt;='KALENDER MINGGU'!$C$7)*(N54:DU54))/F54*H54</f>
        <v>2.6223339953811631</v>
      </c>
      <c r="DX54" s="210">
        <f>SUMPRODUCT((($I54+COLUMN($N$3:$DU$3)-COLUMN($N$3))&gt;='KALENDER MINGGU'!$B$8)*(($I54+COLUMN($N$3:$DU$3)-COLUMN($N$3))&lt;='KALENDER MINGGU'!$C$8)*(N54:DU54))/F54*H54</f>
        <v>2.6223339953811631</v>
      </c>
      <c r="DY54" s="210">
        <f>SUMPRODUCT((($I54+COLUMN($N$3:$DU$3)-COLUMN($N$3))&gt;='KALENDER MINGGU'!$B$9)*(($I54+COLUMN($N$3:$DU$3)-COLUMN($N$3))&lt;='KALENDER MINGGU'!$C$9)*(N54:DU54))/F54*H54</f>
        <v>1.8356337967668139</v>
      </c>
      <c r="DZ54" s="210">
        <f>SUMPRODUCT((($I54+COLUMN($N$3:$DU$3)-COLUMN($N$3))&gt;='KALENDER MINGGU'!$B$10)*(($I54+COLUMN($N$3:$DU$3)-COLUMN($N$3))&lt;='KALENDER MINGGU'!$C$10)*(N54:DU54))/F54*H54</f>
        <v>4.1957343926098602E-2</v>
      </c>
      <c r="EA54" s="210">
        <f>SUMPRODUCT((($I54+COLUMN($N$3:$DU$3)-COLUMN($N$3))&gt;='KALENDER MINGGU'!$B$11)*(($I54+COLUMN($N$3:$DU$3)-COLUMN($N$3))&lt;='KALENDER MINGGU'!$C$11)*(N54:DU54))/F54*H54</f>
        <v>0</v>
      </c>
      <c r="EB54" s="210">
        <f>SUMPRODUCT((($I54+COLUMN($N$3:$DU$3)-COLUMN($N$3))&gt;='KALENDER MINGGU'!$B$12)*(($I54+COLUMN($N$3:$DU$3)-COLUMN($N$3))&lt;='KALENDER MINGGU'!$C$12)*(N54:DU54))/F54*H54</f>
        <v>0</v>
      </c>
      <c r="EC54" s="210">
        <f>SUMPRODUCT((($I54+COLUMN($N$3:$DU$3)-COLUMN($N$3))&gt;='KALENDER MINGGU'!$B$13)*(($I54+COLUMN($N$3:$DU$3)-COLUMN($N$3))&lt;='KALENDER MINGGU'!$C$13)*(N54:DU54))/F54*H54</f>
        <v>5.9716372483707714</v>
      </c>
      <c r="ED54" s="210">
        <f>SUMPRODUCT((($I54+COLUMN($N$3:$DU$3)-COLUMN($N$3))&gt;='KALENDER MINGGU'!$B$14)*(($I54+COLUMN($N$3:$DU$3)-COLUMN($N$3))&lt;='KALENDER MINGGU'!$C$14)*(N54:DU54))/F54*H54</f>
        <v>1.3111669976905815</v>
      </c>
      <c r="EE54" s="210">
        <f>SUMPRODUCT((($I54+COLUMN($N$3:$DU$3)-COLUMN($N$3))&gt;='KALENDER MINGGU'!$B$15)*(($I54+COLUMN($N$3:$DU$3)-COLUMN($N$3))&lt;='KALENDER MINGGU'!$C$15)*(N54:DU54))/F54*H54</f>
        <v>0</v>
      </c>
      <c r="EF54" s="210">
        <f>SUMPRODUCT((($I54+COLUMN($N$3:$DU$3)-COLUMN($N$3))&gt;='KALENDER MINGGU'!$B$16)*(($I54+COLUMN($N$3:$DU$3)-COLUMN($N$3))&lt;='KALENDER MINGGU'!$C$16)*(N54:DU54))/F54*H54</f>
        <v>0</v>
      </c>
      <c r="EG54" s="210">
        <f>SUMPRODUCT((($I54+COLUMN($N$3:$DU$3)-COLUMN($N$3))&gt;='KALENDER MINGGU'!$B$17)*(($I54+COLUMN($N$3:$DU$3)-COLUMN($N$3))&lt;='KALENDER MINGGU'!$C$17)*(N54:DU54))/F54*H54</f>
        <v>0</v>
      </c>
      <c r="EH54" s="210">
        <f>SUMPRODUCT((($I54+COLUMN($N$3:$DU$3)-COLUMN($N$3))&gt;='KALENDER MINGGU'!$B$18)*(($I54+COLUMN($N$3:$DU$3)-COLUMN($N$3))&lt;='KALENDER MINGGU'!$C$18)*(N54:DU54))/F54*H54</f>
        <v>0</v>
      </c>
      <c r="EI54" s="210">
        <f>SUMPRODUCT((($I54+COLUMN($N$3:$DU$3)-COLUMN($N$3))&gt;='KALENDER MINGGU'!$B$19)*(($I54+COLUMN($N$3:$DU$3)-COLUMN($N$3))&lt;='KALENDER MINGGU'!$C$19)*(N54:DU54))/F54*H54</f>
        <v>0</v>
      </c>
      <c r="EJ54" s="210">
        <f>SUMPRODUCT((($I54+COLUMN($N$3:$DU$3)-COLUMN($N$3))&gt;='KALENDER MINGGU'!$B$20)*(($I54+COLUMN($N$3:$DU$3)-COLUMN($N$3))&lt;='KALENDER MINGGU'!$C$20)*(N54:DU54))/F54*H54</f>
        <v>0</v>
      </c>
      <c r="EK54" s="210">
        <f>SUMPRODUCT((($I54+COLUMN($N$3:$DU$3)-COLUMN($N$3))&gt;='KALENDER MINGGU'!$B$21)*(($I54+COLUMN($N$3:$DU$3)-COLUMN($N$3))&lt;='KALENDER MINGGU'!$C$21)*(N54:DU54))/F54*H54</f>
        <v>0</v>
      </c>
    </row>
    <row r="55" spans="1:141" ht="15" customHeight="1" x14ac:dyDescent="0.2">
      <c r="A55" s="208">
        <v>52</v>
      </c>
      <c r="B55" s="208">
        <v>81</v>
      </c>
      <c r="C55" s="208" t="str">
        <f>IF(B55&lt;160,'BOBOT PEK'!$B$4,IF(B55&lt;207,'BOBOT PEK'!$B$160,'BOBOT PEK'!$B$207))</f>
        <v>Pekerjaan Gudang Umum</v>
      </c>
      <c r="D55" s="208" t="s">
        <v>138</v>
      </c>
      <c r="E55" s="208" t="str">
        <f>'BOBOT PEK'!C81</f>
        <v>Cor ready mix K-350 (tanpa trowel dan line cutting)</v>
      </c>
      <c r="F55" s="209">
        <f>IF(OR('BOBOT PEK'!E81="",'BOBOT PEK'!E81=0),1,'BOBOT PEK'!E81)</f>
        <v>509.08500000000004</v>
      </c>
      <c r="G55" s="208" t="str">
        <f>IF('BOBOT PEK'!F81="","ls",'BOBOT PEK'!F81)</f>
        <v>m³</v>
      </c>
      <c r="H55" s="210">
        <f>'BOBOT PEK'!J81</f>
        <v>18.885237150790225</v>
      </c>
      <c r="I55" s="211">
        <f>'KALENDER MINGGU'!$B$3</f>
        <v>46226</v>
      </c>
      <c r="J55" s="209">
        <f t="shared" si="4"/>
        <v>509.08</v>
      </c>
      <c r="K55" s="209">
        <f t="shared" si="5"/>
        <v>5.0000000000522959E-3</v>
      </c>
      <c r="L55" s="212">
        <f t="shared" si="6"/>
        <v>0.99999017845742844</v>
      </c>
      <c r="M55" s="208" t="str">
        <f t="shared" si="7"/>
        <v>OK</v>
      </c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3"/>
      <c r="AD55" s="213"/>
      <c r="AE55" s="213"/>
      <c r="AF55" s="213"/>
      <c r="AG55" s="213"/>
      <c r="AH55" s="213"/>
      <c r="AI55" s="213"/>
      <c r="AJ55" s="213"/>
      <c r="AK55" s="213">
        <v>235</v>
      </c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  <c r="BC55" s="213"/>
      <c r="BD55" s="213"/>
      <c r="BE55" s="213"/>
      <c r="BF55" s="213"/>
      <c r="BG55" s="213"/>
      <c r="BH55" s="213"/>
      <c r="BI55" s="213"/>
      <c r="BJ55" s="213"/>
      <c r="BK55" s="213"/>
      <c r="BL55" s="213"/>
      <c r="BM55" s="213"/>
      <c r="BN55" s="213"/>
      <c r="BO55" s="213"/>
      <c r="BP55" s="213"/>
      <c r="BQ55" s="213"/>
      <c r="BR55" s="213"/>
      <c r="BS55" s="213"/>
      <c r="BT55" s="213">
        <v>274.08</v>
      </c>
      <c r="BU55" s="213"/>
      <c r="BV55" s="213"/>
      <c r="BW55" s="213"/>
      <c r="BX55" s="213"/>
      <c r="BY55" s="213"/>
      <c r="BZ55" s="213"/>
      <c r="CA55" s="213"/>
      <c r="CB55" s="213"/>
      <c r="CC55" s="213"/>
      <c r="CD55" s="213"/>
      <c r="CE55" s="213"/>
      <c r="CF55" s="213"/>
      <c r="CG55" s="213"/>
      <c r="CH55" s="213"/>
      <c r="CI55" s="213"/>
      <c r="CJ55" s="213"/>
      <c r="CK55" s="213"/>
      <c r="CL55" s="213"/>
      <c r="CM55" s="213"/>
      <c r="CN55" s="213"/>
      <c r="CO55" s="213"/>
      <c r="CP55" s="213"/>
      <c r="CQ55" s="213"/>
      <c r="CR55" s="213"/>
      <c r="CS55" s="213"/>
      <c r="CT55" s="213"/>
      <c r="CU55" s="213"/>
      <c r="CV55" s="213"/>
      <c r="CW55" s="213"/>
      <c r="CX55" s="213"/>
      <c r="CY55" s="213"/>
      <c r="CZ55" s="213"/>
      <c r="DA55" s="213"/>
      <c r="DB55" s="213"/>
      <c r="DC55" s="213"/>
      <c r="DD55" s="213"/>
      <c r="DE55" s="213"/>
      <c r="DF55" s="213"/>
      <c r="DG55" s="213"/>
      <c r="DH55" s="213"/>
      <c r="DI55" s="213"/>
      <c r="DJ55" s="213"/>
      <c r="DK55" s="213"/>
      <c r="DL55" s="213"/>
      <c r="DM55" s="213"/>
      <c r="DN55" s="213"/>
      <c r="DO55" s="213"/>
      <c r="DP55" s="213"/>
      <c r="DQ55" s="213"/>
      <c r="DR55" s="213"/>
      <c r="DS55" s="213"/>
      <c r="DT55" s="213"/>
      <c r="DU55" s="213"/>
      <c r="DV55" s="210">
        <f>SUMPRODUCT((($I55+COLUMN($N$3:$DU$3)-COLUMN($N$3))&gt;='KALENDER MINGGU'!$B$6)*(($I55+COLUMN($N$3:$DU$3)-COLUMN($N$3))&lt;='KALENDER MINGGU'!$C$6)*(N55:DU55))/F55*H55</f>
        <v>0</v>
      </c>
      <c r="DW55" s="210">
        <f>SUMPRODUCT((($I55+COLUMN($N$3:$DU$3)-COLUMN($N$3))&gt;='KALENDER MINGGU'!$B$7)*(($I55+COLUMN($N$3:$DU$3)-COLUMN($N$3))&lt;='KALENDER MINGGU'!$C$7)*(N55:DU55))/F55*H55</f>
        <v>0</v>
      </c>
      <c r="DX55" s="210">
        <f>SUMPRODUCT((($I55+COLUMN($N$3:$DU$3)-COLUMN($N$3))&gt;='KALENDER MINGGU'!$B$8)*(($I55+COLUMN($N$3:$DU$3)-COLUMN($N$3))&lt;='KALENDER MINGGU'!$C$8)*(N55:DU55))/F55*H55</f>
        <v>0</v>
      </c>
      <c r="DY55" s="210">
        <f>SUMPRODUCT((($I55+COLUMN($N$3:$DU$3)-COLUMN($N$3))&gt;='KALENDER MINGGU'!$B$9)*(($I55+COLUMN($N$3:$DU$3)-COLUMN($N$3))&lt;='KALENDER MINGGU'!$C$9)*(N55:DU55))/F55*H55</f>
        <v>8.7176615504988408</v>
      </c>
      <c r="DZ55" s="210">
        <f>SUMPRODUCT((($I55+COLUMN($N$3:$DU$3)-COLUMN($N$3))&gt;='KALENDER MINGGU'!$B$10)*(($I55+COLUMN($N$3:$DU$3)-COLUMN($N$3))&lt;='KALENDER MINGGU'!$C$10)*(N55:DU55))/F55*H55</f>
        <v>0</v>
      </c>
      <c r="EA55" s="210">
        <f>SUMPRODUCT((($I55+COLUMN($N$3:$DU$3)-COLUMN($N$3))&gt;='KALENDER MINGGU'!$B$11)*(($I55+COLUMN($N$3:$DU$3)-COLUMN($N$3))&lt;='KALENDER MINGGU'!$C$11)*(N55:DU55))/F55*H55</f>
        <v>0</v>
      </c>
      <c r="EB55" s="210">
        <f>SUMPRODUCT((($I55+COLUMN($N$3:$DU$3)-COLUMN($N$3))&gt;='KALENDER MINGGU'!$B$12)*(($I55+COLUMN($N$3:$DU$3)-COLUMN($N$3))&lt;='KALENDER MINGGU'!$C$12)*(N55:DU55))/F55*H55</f>
        <v>0</v>
      </c>
      <c r="EC55" s="210">
        <f>SUMPRODUCT((($I55+COLUMN($N$3:$DU$3)-COLUMN($N$3))&gt;='KALENDER MINGGU'!$B$13)*(($I55+COLUMN($N$3:$DU$3)-COLUMN($N$3))&lt;='KALENDER MINGGU'!$C$13)*(N55:DU55))/F55*H55</f>
        <v>0</v>
      </c>
      <c r="ED55" s="210">
        <f>SUMPRODUCT((($I55+COLUMN($N$3:$DU$3)-COLUMN($N$3))&gt;='KALENDER MINGGU'!$B$14)*(($I55+COLUMN($N$3:$DU$3)-COLUMN($N$3))&lt;='KALENDER MINGGU'!$C$14)*(N55:DU55))/F55*H55</f>
        <v>10.167390118130733</v>
      </c>
      <c r="EE55" s="210">
        <f>SUMPRODUCT((($I55+COLUMN($N$3:$DU$3)-COLUMN($N$3))&gt;='KALENDER MINGGU'!$B$15)*(($I55+COLUMN($N$3:$DU$3)-COLUMN($N$3))&lt;='KALENDER MINGGU'!$C$15)*(N55:DU55))/F55*H55</f>
        <v>0</v>
      </c>
      <c r="EF55" s="210">
        <f>SUMPRODUCT((($I55+COLUMN($N$3:$DU$3)-COLUMN($N$3))&gt;='KALENDER MINGGU'!$B$16)*(($I55+COLUMN($N$3:$DU$3)-COLUMN($N$3))&lt;='KALENDER MINGGU'!$C$16)*(N55:DU55))/F55*H55</f>
        <v>0</v>
      </c>
      <c r="EG55" s="210">
        <f>SUMPRODUCT((($I55+COLUMN($N$3:$DU$3)-COLUMN($N$3))&gt;='KALENDER MINGGU'!$B$17)*(($I55+COLUMN($N$3:$DU$3)-COLUMN($N$3))&lt;='KALENDER MINGGU'!$C$17)*(N55:DU55))/F55*H55</f>
        <v>0</v>
      </c>
      <c r="EH55" s="210">
        <f>SUMPRODUCT((($I55+COLUMN($N$3:$DU$3)-COLUMN($N$3))&gt;='KALENDER MINGGU'!$B$18)*(($I55+COLUMN($N$3:$DU$3)-COLUMN($N$3))&lt;='KALENDER MINGGU'!$C$18)*(N55:DU55))/F55*H55</f>
        <v>0</v>
      </c>
      <c r="EI55" s="210">
        <f>SUMPRODUCT((($I55+COLUMN($N$3:$DU$3)-COLUMN($N$3))&gt;='KALENDER MINGGU'!$B$19)*(($I55+COLUMN($N$3:$DU$3)-COLUMN($N$3))&lt;='KALENDER MINGGU'!$C$19)*(N55:DU55))/F55*H55</f>
        <v>0</v>
      </c>
      <c r="EJ55" s="210">
        <f>SUMPRODUCT((($I55+COLUMN($N$3:$DU$3)-COLUMN($N$3))&gt;='KALENDER MINGGU'!$B$20)*(($I55+COLUMN($N$3:$DU$3)-COLUMN($N$3))&lt;='KALENDER MINGGU'!$C$20)*(N55:DU55))/F55*H55</f>
        <v>0</v>
      </c>
      <c r="EK55" s="210">
        <f>SUMPRODUCT((($I55+COLUMN($N$3:$DU$3)-COLUMN($N$3))&gt;='KALENDER MINGGU'!$B$21)*(($I55+COLUMN($N$3:$DU$3)-COLUMN($N$3))&lt;='KALENDER MINGGU'!$C$21)*(N55:DU55))/F55*H55</f>
        <v>0</v>
      </c>
    </row>
    <row r="56" spans="1:141" ht="15" customHeight="1" x14ac:dyDescent="0.2">
      <c r="A56" s="208">
        <v>53</v>
      </c>
      <c r="B56" s="208">
        <v>85</v>
      </c>
      <c r="C56" s="208" t="str">
        <f>IF(B56&lt;160,'BOBOT PEK'!$B$4,IF(B56&lt;207,'BOBOT PEK'!$B$160,'BOBOT PEK'!$B$207))</f>
        <v>Pekerjaan Gudang Umum</v>
      </c>
      <c r="D56" s="208" t="s">
        <v>158</v>
      </c>
      <c r="E56" s="208" t="str">
        <f>'BOBOT PEK'!C85</f>
        <v>Pekerjaan refinishing dinding pagar timur &amp; utara</v>
      </c>
      <c r="F56" s="209">
        <f>IF(OR('BOBOT PEK'!E85="",'BOBOT PEK'!E85=0),1,'BOBOT PEK'!E85)</f>
        <v>734.4</v>
      </c>
      <c r="G56" s="208" t="str">
        <f>IF('BOBOT PEK'!F85="","ls",'BOBOT PEK'!F85)</f>
        <v>m²</v>
      </c>
      <c r="H56" s="210">
        <f>'BOBOT PEK'!J85</f>
        <v>1.0803504386044462</v>
      </c>
      <c r="I56" s="211">
        <f>'KALENDER MINGGU'!$B$3</f>
        <v>46226</v>
      </c>
      <c r="J56" s="209">
        <f t="shared" si="4"/>
        <v>621</v>
      </c>
      <c r="K56" s="209">
        <f t="shared" si="5"/>
        <v>113.39999999999998</v>
      </c>
      <c r="L56" s="212">
        <f t="shared" si="6"/>
        <v>0.84558823529411764</v>
      </c>
      <c r="M56" s="208" t="str">
        <f t="shared" si="7"/>
        <v>OK</v>
      </c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3"/>
      <c r="AB56" s="213"/>
      <c r="AC56" s="213"/>
      <c r="AD56" s="213"/>
      <c r="AE56" s="213"/>
      <c r="AF56" s="213">
        <v>2</v>
      </c>
      <c r="AG56" s="213"/>
      <c r="AH56" s="213"/>
      <c r="AI56" s="213"/>
      <c r="AJ56" s="213"/>
      <c r="AK56" s="213"/>
      <c r="AL56" s="213"/>
      <c r="AM56" s="213"/>
      <c r="AN56" s="213"/>
      <c r="AO56" s="213">
        <v>10</v>
      </c>
      <c r="AP56" s="213">
        <v>30</v>
      </c>
      <c r="AQ56" s="213"/>
      <c r="AR56" s="213"/>
      <c r="AS56" s="213"/>
      <c r="AT56" s="213"/>
      <c r="AU56" s="213">
        <v>40</v>
      </c>
      <c r="AV56" s="213">
        <v>210</v>
      </c>
      <c r="AW56" s="213">
        <v>20</v>
      </c>
      <c r="AX56" s="213">
        <v>30</v>
      </c>
      <c r="AY56" s="213">
        <v>30</v>
      </c>
      <c r="AZ56" s="213">
        <v>20</v>
      </c>
      <c r="BA56" s="213">
        <v>6</v>
      </c>
      <c r="BB56" s="213">
        <v>50</v>
      </c>
      <c r="BC56" s="213">
        <v>60</v>
      </c>
      <c r="BD56" s="213">
        <v>30</v>
      </c>
      <c r="BE56" s="213">
        <v>30</v>
      </c>
      <c r="BF56" s="213">
        <v>5</v>
      </c>
      <c r="BG56" s="213">
        <v>5</v>
      </c>
      <c r="BH56" s="213">
        <v>5</v>
      </c>
      <c r="BI56" s="213">
        <v>5</v>
      </c>
      <c r="BJ56" s="213">
        <v>5</v>
      </c>
      <c r="BK56" s="213"/>
      <c r="BL56" s="213"/>
      <c r="BM56" s="213"/>
      <c r="BN56" s="213"/>
      <c r="BO56" s="213"/>
      <c r="BP56" s="213"/>
      <c r="BQ56" s="213">
        <v>5</v>
      </c>
      <c r="BR56" s="213">
        <v>5</v>
      </c>
      <c r="BS56" s="213">
        <v>5</v>
      </c>
      <c r="BT56" s="213">
        <v>5</v>
      </c>
      <c r="BU56" s="213"/>
      <c r="BV56" s="213"/>
      <c r="BW56" s="213"/>
      <c r="BX56" s="213"/>
      <c r="BY56" s="213"/>
      <c r="BZ56" s="213"/>
      <c r="CA56" s="213">
        <v>5</v>
      </c>
      <c r="CB56" s="213">
        <v>3</v>
      </c>
      <c r="CC56" s="213"/>
      <c r="CD56" s="213"/>
      <c r="CE56" s="213"/>
      <c r="CF56" s="213"/>
      <c r="CG56" s="213"/>
      <c r="CH56" s="213"/>
      <c r="CI56" s="213"/>
      <c r="CJ56" s="213"/>
      <c r="CK56" s="213"/>
      <c r="CL56" s="213"/>
      <c r="CM56" s="213"/>
      <c r="CN56" s="213"/>
      <c r="CO56" s="213"/>
      <c r="CP56" s="213"/>
      <c r="CQ56" s="213"/>
      <c r="CR56" s="213"/>
      <c r="CS56" s="213"/>
      <c r="CT56" s="213"/>
      <c r="CU56" s="213"/>
      <c r="CV56" s="213"/>
      <c r="CW56" s="213"/>
      <c r="CX56" s="213"/>
      <c r="CY56" s="213"/>
      <c r="CZ56" s="213"/>
      <c r="DA56" s="213"/>
      <c r="DB56" s="213"/>
      <c r="DC56" s="213"/>
      <c r="DD56" s="213"/>
      <c r="DE56" s="213"/>
      <c r="DF56" s="213"/>
      <c r="DG56" s="213"/>
      <c r="DH56" s="213"/>
      <c r="DI56" s="213"/>
      <c r="DJ56" s="213"/>
      <c r="DK56" s="213"/>
      <c r="DL56" s="213"/>
      <c r="DM56" s="213"/>
      <c r="DN56" s="213"/>
      <c r="DO56" s="213"/>
      <c r="DP56" s="213"/>
      <c r="DQ56" s="213"/>
      <c r="DR56" s="213"/>
      <c r="DS56" s="213"/>
      <c r="DT56" s="213"/>
      <c r="DU56" s="213"/>
      <c r="DV56" s="210">
        <f>SUMPRODUCT((($I56+COLUMN($N$3:$DU$3)-COLUMN($N$3))&gt;='KALENDER MINGGU'!$B$6)*(($I56+COLUMN($N$3:$DU$3)-COLUMN($N$3))&lt;='KALENDER MINGGU'!$C$6)*(N56:DU56))/F56*H56</f>
        <v>0</v>
      </c>
      <c r="DW56" s="210">
        <f>SUMPRODUCT((($I56+COLUMN($N$3:$DU$3)-COLUMN($N$3))&gt;='KALENDER MINGGU'!$B$7)*(($I56+COLUMN($N$3:$DU$3)-COLUMN($N$3))&lt;='KALENDER MINGGU'!$C$7)*(N56:DU56))/F56*H56</f>
        <v>0</v>
      </c>
      <c r="DX56" s="210">
        <f>SUMPRODUCT((($I56+COLUMN($N$3:$DU$3)-COLUMN($N$3))&gt;='KALENDER MINGGU'!$B$8)*(($I56+COLUMN($N$3:$DU$3)-COLUMN($N$3))&lt;='KALENDER MINGGU'!$C$8)*(N56:DU56))/F56*H56</f>
        <v>2.9421308240861828E-3</v>
      </c>
      <c r="DY56" s="210">
        <f>SUMPRODUCT((($I56+COLUMN($N$3:$DU$3)-COLUMN($N$3))&gt;='KALENDER MINGGU'!$B$9)*(($I56+COLUMN($N$3:$DU$3)-COLUMN($N$3))&lt;='KALENDER MINGGU'!$C$9)*(N56:DU56))/F56*H56</f>
        <v>1.4710654120430914E-2</v>
      </c>
      <c r="DZ56" s="210">
        <f>SUMPRODUCT((($I56+COLUMN($N$3:$DU$3)-COLUMN($N$3))&gt;='KALENDER MINGGU'!$B$10)*(($I56+COLUMN($N$3:$DU$3)-COLUMN($N$3))&lt;='KALENDER MINGGU'!$C$10)*(N56:DU56))/F56*H56</f>
        <v>0.41189831537206556</v>
      </c>
      <c r="EA56" s="210">
        <f>SUMPRODUCT((($I56+COLUMN($N$3:$DU$3)-COLUMN($N$3))&gt;='KALENDER MINGGU'!$B$11)*(($I56+COLUMN($N$3:$DU$3)-COLUMN($N$3))&lt;='KALENDER MINGGU'!$C$11)*(N56:DU56))/F56*H56</f>
        <v>0.31775012900130772</v>
      </c>
      <c r="EB56" s="210">
        <f>SUMPRODUCT((($I56+COLUMN($N$3:$DU$3)-COLUMN($N$3))&gt;='KALENDER MINGGU'!$B$12)*(($I56+COLUMN($N$3:$DU$3)-COLUMN($N$3))&lt;='KALENDER MINGGU'!$C$12)*(N56:DU56))/F56*H56</f>
        <v>0.12504056002366276</v>
      </c>
      <c r="EC56" s="210">
        <f>SUMPRODUCT((($I56+COLUMN($N$3:$DU$3)-COLUMN($N$3))&gt;='KALENDER MINGGU'!$B$13)*(($I56+COLUMN($N$3:$DU$3)-COLUMN($N$3))&lt;='KALENDER MINGGU'!$C$13)*(N56:DU56))/F56*H56</f>
        <v>7.3553270602154568E-3</v>
      </c>
      <c r="ED56" s="210">
        <f>SUMPRODUCT((($I56+COLUMN($N$3:$DU$3)-COLUMN($N$3))&gt;='KALENDER MINGGU'!$B$14)*(($I56+COLUMN($N$3:$DU$3)-COLUMN($N$3))&lt;='KALENDER MINGGU'!$C$14)*(N56:DU56))/F56*H56</f>
        <v>2.2065981180646371E-2</v>
      </c>
      <c r="EE56" s="210">
        <f>SUMPRODUCT((($I56+COLUMN($N$3:$DU$3)-COLUMN($N$3))&gt;='KALENDER MINGGU'!$B$15)*(($I56+COLUMN($N$3:$DU$3)-COLUMN($N$3))&lt;='KALENDER MINGGU'!$C$15)*(N56:DU56))/F56*H56</f>
        <v>1.1768523296344731E-2</v>
      </c>
      <c r="EF56" s="210">
        <f>SUMPRODUCT((($I56+COLUMN($N$3:$DU$3)-COLUMN($N$3))&gt;='KALENDER MINGGU'!$B$16)*(($I56+COLUMN($N$3:$DU$3)-COLUMN($N$3))&lt;='KALENDER MINGGU'!$C$16)*(N56:DU56))/F56*H56</f>
        <v>0</v>
      </c>
      <c r="EG56" s="210">
        <f>SUMPRODUCT((($I56+COLUMN($N$3:$DU$3)-COLUMN($N$3))&gt;='KALENDER MINGGU'!$B$17)*(($I56+COLUMN($N$3:$DU$3)-COLUMN($N$3))&lt;='KALENDER MINGGU'!$C$17)*(N56:DU56))/F56*H56</f>
        <v>0</v>
      </c>
      <c r="EH56" s="210">
        <f>SUMPRODUCT((($I56+COLUMN($N$3:$DU$3)-COLUMN($N$3))&gt;='KALENDER MINGGU'!$B$18)*(($I56+COLUMN($N$3:$DU$3)-COLUMN($N$3))&lt;='KALENDER MINGGU'!$C$18)*(N56:DU56))/F56*H56</f>
        <v>0</v>
      </c>
      <c r="EI56" s="210">
        <f>SUMPRODUCT((($I56+COLUMN($N$3:$DU$3)-COLUMN($N$3))&gt;='KALENDER MINGGU'!$B$19)*(($I56+COLUMN($N$3:$DU$3)-COLUMN($N$3))&lt;='KALENDER MINGGU'!$C$19)*(N56:DU56))/F56*H56</f>
        <v>0</v>
      </c>
      <c r="EJ56" s="210">
        <f>SUMPRODUCT((($I56+COLUMN($N$3:$DU$3)-COLUMN($N$3))&gt;='KALENDER MINGGU'!$B$20)*(($I56+COLUMN($N$3:$DU$3)-COLUMN($N$3))&lt;='KALENDER MINGGU'!$C$20)*(N56:DU56))/F56*H56</f>
        <v>0</v>
      </c>
      <c r="EK56" s="210">
        <f>SUMPRODUCT((($I56+COLUMN($N$3:$DU$3)-COLUMN($N$3))&gt;='KALENDER MINGGU'!$B$21)*(($I56+COLUMN($N$3:$DU$3)-COLUMN($N$3))&lt;='KALENDER MINGGU'!$C$21)*(N56:DU56))/F56*H56</f>
        <v>0</v>
      </c>
    </row>
    <row r="57" spans="1:141" ht="15" customHeight="1" x14ac:dyDescent="0.2">
      <c r="A57" s="208">
        <v>54</v>
      </c>
      <c r="B57" s="208">
        <v>86</v>
      </c>
      <c r="C57" s="208" t="str">
        <f>IF(B57&lt;160,'BOBOT PEK'!$B$4,IF(B57&lt;207,'BOBOT PEK'!$B$160,'BOBOT PEK'!$B$207))</f>
        <v>Pekerjaan Gudang Umum</v>
      </c>
      <c r="D57" s="208" t="s">
        <v>158</v>
      </c>
      <c r="E57" s="208" t="str">
        <f>'BOBOT PEK'!C86</f>
        <v>Pekerjaan refinishing dinding barat</v>
      </c>
      <c r="F57" s="209">
        <f>IF(OR('BOBOT PEK'!E86="",'BOBOT PEK'!E86=0),1,'BOBOT PEK'!E86)</f>
        <v>516</v>
      </c>
      <c r="G57" s="208" t="str">
        <f>IF('BOBOT PEK'!F86="","ls",'BOBOT PEK'!F86)</f>
        <v>m²</v>
      </c>
      <c r="H57" s="210">
        <f>'BOBOT PEK'!J86</f>
        <v>0.75906975261423504</v>
      </c>
      <c r="I57" s="211">
        <f>'KALENDER MINGGU'!$B$3</f>
        <v>46226</v>
      </c>
      <c r="J57" s="209">
        <f t="shared" si="4"/>
        <v>445</v>
      </c>
      <c r="K57" s="209">
        <f t="shared" si="5"/>
        <v>71</v>
      </c>
      <c r="L57" s="212">
        <f t="shared" si="6"/>
        <v>0.86240310077519378</v>
      </c>
      <c r="M57" s="208" t="str">
        <f t="shared" si="7"/>
        <v>OK</v>
      </c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3"/>
      <c r="AB57" s="213"/>
      <c r="AC57" s="213"/>
      <c r="AD57" s="213"/>
      <c r="AE57" s="213"/>
      <c r="AF57" s="213">
        <v>2</v>
      </c>
      <c r="AG57" s="213"/>
      <c r="AH57" s="213"/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>
        <v>20</v>
      </c>
      <c r="BB57" s="213">
        <v>20</v>
      </c>
      <c r="BC57" s="213">
        <v>20</v>
      </c>
      <c r="BD57" s="213">
        <v>20</v>
      </c>
      <c r="BE57" s="213">
        <v>20</v>
      </c>
      <c r="BF57" s="213">
        <v>20</v>
      </c>
      <c r="BG57" s="213">
        <v>30</v>
      </c>
      <c r="BH57" s="213">
        <v>30</v>
      </c>
      <c r="BI57" s="213">
        <v>30</v>
      </c>
      <c r="BJ57" s="213">
        <v>50</v>
      </c>
      <c r="BK57" s="213">
        <v>50</v>
      </c>
      <c r="BL57" s="213">
        <v>50</v>
      </c>
      <c r="BM57" s="213">
        <v>50</v>
      </c>
      <c r="BN57" s="213"/>
      <c r="BO57" s="213"/>
      <c r="BP57" s="213">
        <v>5</v>
      </c>
      <c r="BQ57" s="213">
        <v>5</v>
      </c>
      <c r="BR57" s="213">
        <v>5</v>
      </c>
      <c r="BS57" s="213">
        <v>5</v>
      </c>
      <c r="BT57" s="213">
        <v>5</v>
      </c>
      <c r="BU57" s="213"/>
      <c r="BV57" s="213"/>
      <c r="BW57" s="213"/>
      <c r="BX57" s="213"/>
      <c r="BY57" s="213"/>
      <c r="BZ57" s="213"/>
      <c r="CA57" s="213">
        <v>5</v>
      </c>
      <c r="CB57" s="213">
        <v>3</v>
      </c>
      <c r="CC57" s="213"/>
      <c r="CD57" s="213"/>
      <c r="CE57" s="213"/>
      <c r="CF57" s="213"/>
      <c r="CG57" s="213"/>
      <c r="CH57" s="213"/>
      <c r="CI57" s="213"/>
      <c r="CJ57" s="213"/>
      <c r="CK57" s="213"/>
      <c r="CL57" s="213"/>
      <c r="CM57" s="213"/>
      <c r="CN57" s="213"/>
      <c r="CO57" s="213"/>
      <c r="CP57" s="213"/>
      <c r="CQ57" s="213"/>
      <c r="CR57" s="213"/>
      <c r="CS57" s="213"/>
      <c r="CT57" s="213"/>
      <c r="CU57" s="213"/>
      <c r="CV57" s="213"/>
      <c r="CW57" s="213"/>
      <c r="CX57" s="213"/>
      <c r="CY57" s="213"/>
      <c r="CZ57" s="213"/>
      <c r="DA57" s="213"/>
      <c r="DB57" s="213"/>
      <c r="DC57" s="213"/>
      <c r="DD57" s="213"/>
      <c r="DE57" s="213"/>
      <c r="DF57" s="213"/>
      <c r="DG57" s="213"/>
      <c r="DH57" s="213"/>
      <c r="DI57" s="213"/>
      <c r="DJ57" s="213"/>
      <c r="DK57" s="213"/>
      <c r="DL57" s="213"/>
      <c r="DM57" s="213"/>
      <c r="DN57" s="213"/>
      <c r="DO57" s="213"/>
      <c r="DP57" s="213"/>
      <c r="DQ57" s="213"/>
      <c r="DR57" s="213"/>
      <c r="DS57" s="213"/>
      <c r="DT57" s="213"/>
      <c r="DU57" s="213"/>
      <c r="DV57" s="210">
        <f>SUMPRODUCT((($I57+COLUMN($N$3:$DU$3)-COLUMN($N$3))&gt;='KALENDER MINGGU'!$B$6)*(($I57+COLUMN($N$3:$DU$3)-COLUMN($N$3))&lt;='KALENDER MINGGU'!$C$6)*(N57:DU57))/F57*H57</f>
        <v>0</v>
      </c>
      <c r="DW57" s="210">
        <f>SUMPRODUCT((($I57+COLUMN($N$3:$DU$3)-COLUMN($N$3))&gt;='KALENDER MINGGU'!$B$7)*(($I57+COLUMN($N$3:$DU$3)-COLUMN($N$3))&lt;='KALENDER MINGGU'!$C$7)*(N57:DU57))/F57*H57</f>
        <v>0</v>
      </c>
      <c r="DX57" s="210">
        <f>SUMPRODUCT((($I57+COLUMN($N$3:$DU$3)-COLUMN($N$3))&gt;='KALENDER MINGGU'!$B$8)*(($I57+COLUMN($N$3:$DU$3)-COLUMN($N$3))&lt;='KALENDER MINGGU'!$C$8)*(N57:DU57))/F57*H57</f>
        <v>2.9421308240861824E-3</v>
      </c>
      <c r="DY57" s="210">
        <f>SUMPRODUCT((($I57+COLUMN($N$3:$DU$3)-COLUMN($N$3))&gt;='KALENDER MINGGU'!$B$9)*(($I57+COLUMN($N$3:$DU$3)-COLUMN($N$3))&lt;='KALENDER MINGGU'!$C$9)*(N57:DU57))/F57*H57</f>
        <v>0</v>
      </c>
      <c r="DZ57" s="210">
        <f>SUMPRODUCT((($I57+COLUMN($N$3:$DU$3)-COLUMN($N$3))&gt;='KALENDER MINGGU'!$B$10)*(($I57+COLUMN($N$3:$DU$3)-COLUMN($N$3))&lt;='KALENDER MINGGU'!$C$10)*(N57:DU57))/F57*H57</f>
        <v>0</v>
      </c>
      <c r="EA57" s="210">
        <f>SUMPRODUCT((($I57+COLUMN($N$3:$DU$3)-COLUMN($N$3))&gt;='KALENDER MINGGU'!$B$11)*(($I57+COLUMN($N$3:$DU$3)-COLUMN($N$3))&lt;='KALENDER MINGGU'!$C$11)*(N57:DU57))/F57*H57</f>
        <v>8.8263924722585471E-2</v>
      </c>
      <c r="EB57" s="210">
        <f>SUMPRODUCT((($I57+COLUMN($N$3:$DU$3)-COLUMN($N$3))&gt;='KALENDER MINGGU'!$B$12)*(($I57+COLUMN($N$3:$DU$3)-COLUMN($N$3))&lt;='KALENDER MINGGU'!$C$12)*(N57:DU57))/F57*H57</f>
        <v>0.29421308240861826</v>
      </c>
      <c r="EC57" s="210">
        <f>SUMPRODUCT((($I57+COLUMN($N$3:$DU$3)-COLUMN($N$3))&gt;='KALENDER MINGGU'!$B$13)*(($I57+COLUMN($N$3:$DU$3)-COLUMN($N$3))&lt;='KALENDER MINGGU'!$C$13)*(N57:DU57))/F57*H57</f>
        <v>0.23537046592689459</v>
      </c>
      <c r="ED57" s="210">
        <f>SUMPRODUCT((($I57+COLUMN($N$3:$DU$3)-COLUMN($N$3))&gt;='KALENDER MINGGU'!$B$14)*(($I57+COLUMN($N$3:$DU$3)-COLUMN($N$3))&lt;='KALENDER MINGGU'!$C$14)*(N57:DU57))/F57*H57</f>
        <v>2.2065981180646368E-2</v>
      </c>
      <c r="EE57" s="210">
        <f>SUMPRODUCT((($I57+COLUMN($N$3:$DU$3)-COLUMN($N$3))&gt;='KALENDER MINGGU'!$B$15)*(($I57+COLUMN($N$3:$DU$3)-COLUMN($N$3))&lt;='KALENDER MINGGU'!$C$15)*(N57:DU57))/F57*H57</f>
        <v>1.1768523296344729E-2</v>
      </c>
      <c r="EF57" s="210">
        <f>SUMPRODUCT((($I57+COLUMN($N$3:$DU$3)-COLUMN($N$3))&gt;='KALENDER MINGGU'!$B$16)*(($I57+COLUMN($N$3:$DU$3)-COLUMN($N$3))&lt;='KALENDER MINGGU'!$C$16)*(N57:DU57))/F57*H57</f>
        <v>0</v>
      </c>
      <c r="EG57" s="210">
        <f>SUMPRODUCT((($I57+COLUMN($N$3:$DU$3)-COLUMN($N$3))&gt;='KALENDER MINGGU'!$B$17)*(($I57+COLUMN($N$3:$DU$3)-COLUMN($N$3))&lt;='KALENDER MINGGU'!$C$17)*(N57:DU57))/F57*H57</f>
        <v>0</v>
      </c>
      <c r="EH57" s="210">
        <f>SUMPRODUCT((($I57+COLUMN($N$3:$DU$3)-COLUMN($N$3))&gt;='KALENDER MINGGU'!$B$18)*(($I57+COLUMN($N$3:$DU$3)-COLUMN($N$3))&lt;='KALENDER MINGGU'!$C$18)*(N57:DU57))/F57*H57</f>
        <v>0</v>
      </c>
      <c r="EI57" s="210">
        <f>SUMPRODUCT((($I57+COLUMN($N$3:$DU$3)-COLUMN($N$3))&gt;='KALENDER MINGGU'!$B$19)*(($I57+COLUMN($N$3:$DU$3)-COLUMN($N$3))&lt;='KALENDER MINGGU'!$C$19)*(N57:DU57))/F57*H57</f>
        <v>0</v>
      </c>
      <c r="EJ57" s="210">
        <f>SUMPRODUCT((($I57+COLUMN($N$3:$DU$3)-COLUMN($N$3))&gt;='KALENDER MINGGU'!$B$20)*(($I57+COLUMN($N$3:$DU$3)-COLUMN($N$3))&lt;='KALENDER MINGGU'!$C$20)*(N57:DU57))/F57*H57</f>
        <v>0</v>
      </c>
      <c r="EK57" s="210">
        <f>SUMPRODUCT((($I57+COLUMN($N$3:$DU$3)-COLUMN($N$3))&gt;='KALENDER MINGGU'!$B$21)*(($I57+COLUMN($N$3:$DU$3)-COLUMN($N$3))&lt;='KALENDER MINGGU'!$C$21)*(N57:DU57))/F57*H57</f>
        <v>0</v>
      </c>
    </row>
    <row r="58" spans="1:141" ht="15" customHeight="1" x14ac:dyDescent="0.2">
      <c r="A58" s="208">
        <v>55</v>
      </c>
      <c r="B58" s="208">
        <v>90</v>
      </c>
      <c r="C58" s="208" t="str">
        <f>IF(B58&lt;160,'BOBOT PEK'!$B$4,IF(B58&lt;207,'BOBOT PEK'!$B$160,'BOBOT PEK'!$B$207))</f>
        <v>Pekerjaan Gudang Umum</v>
      </c>
      <c r="D58" s="208" t="s">
        <v>163</v>
      </c>
      <c r="E58" s="208">
        <f>'BOBOT PEK'!C90</f>
        <v>0</v>
      </c>
      <c r="F58" s="209">
        <f>IF(OR('BOBOT PEK'!E90="",'BOBOT PEK'!E90=0),1,'BOBOT PEK'!E90)</f>
        <v>1</v>
      </c>
      <c r="G58" s="208" t="str">
        <f>IF('BOBOT PEK'!F90="","ls",'BOBOT PEK'!F90)</f>
        <v>ls</v>
      </c>
      <c r="H58" s="210">
        <f>'BOBOT PEK'!J90</f>
        <v>0</v>
      </c>
      <c r="I58" s="211">
        <f>'KALENDER MINGGU'!$B$3</f>
        <v>46226</v>
      </c>
      <c r="J58" s="209">
        <f t="shared" si="4"/>
        <v>0</v>
      </c>
      <c r="K58" s="209">
        <f t="shared" si="5"/>
        <v>1</v>
      </c>
      <c r="L58" s="212">
        <f t="shared" si="6"/>
        <v>0</v>
      </c>
      <c r="M58" s="208" t="str">
        <f t="shared" si="7"/>
        <v>OK</v>
      </c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3"/>
      <c r="AB58" s="213"/>
      <c r="AC58" s="213"/>
      <c r="AD58" s="213"/>
      <c r="AE58" s="213"/>
      <c r="AF58" s="213"/>
      <c r="AG58" s="213"/>
      <c r="AH58" s="213"/>
      <c r="AI58" s="213"/>
      <c r="AJ58" s="213"/>
      <c r="AK58" s="213"/>
      <c r="AL58" s="213"/>
      <c r="AM58" s="213"/>
      <c r="AN58" s="213"/>
      <c r="AO58" s="213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213"/>
      <c r="BC58" s="213"/>
      <c r="BD58" s="213"/>
      <c r="BE58" s="213"/>
      <c r="BF58" s="213"/>
      <c r="BG58" s="213"/>
      <c r="BH58" s="213"/>
      <c r="BI58" s="213"/>
      <c r="BJ58" s="213"/>
      <c r="BK58" s="213"/>
      <c r="BL58" s="213"/>
      <c r="BM58" s="213"/>
      <c r="BN58" s="213"/>
      <c r="BO58" s="213"/>
      <c r="BP58" s="213"/>
      <c r="BQ58" s="213"/>
      <c r="BR58" s="213"/>
      <c r="BS58" s="213"/>
      <c r="BT58" s="213"/>
      <c r="BU58" s="213"/>
      <c r="BV58" s="213"/>
      <c r="BW58" s="213"/>
      <c r="BX58" s="213"/>
      <c r="BY58" s="213"/>
      <c r="BZ58" s="213"/>
      <c r="CA58" s="213"/>
      <c r="CB58" s="213"/>
      <c r="CC58" s="213"/>
      <c r="CD58" s="213"/>
      <c r="CE58" s="213"/>
      <c r="CF58" s="213"/>
      <c r="CG58" s="213"/>
      <c r="CH58" s="213"/>
      <c r="CI58" s="213"/>
      <c r="CJ58" s="213"/>
      <c r="CK58" s="213"/>
      <c r="CL58" s="213"/>
      <c r="CM58" s="213"/>
      <c r="CN58" s="213"/>
      <c r="CO58" s="213"/>
      <c r="CP58" s="213"/>
      <c r="CQ58" s="213"/>
      <c r="CR58" s="213"/>
      <c r="CS58" s="213"/>
      <c r="CT58" s="213"/>
      <c r="CU58" s="213"/>
      <c r="CV58" s="213"/>
      <c r="CW58" s="213"/>
      <c r="CX58" s="213"/>
      <c r="CY58" s="213"/>
      <c r="CZ58" s="213"/>
      <c r="DA58" s="213"/>
      <c r="DB58" s="213"/>
      <c r="DC58" s="213"/>
      <c r="DD58" s="213"/>
      <c r="DE58" s="213"/>
      <c r="DF58" s="213"/>
      <c r="DG58" s="213"/>
      <c r="DH58" s="213"/>
      <c r="DI58" s="213"/>
      <c r="DJ58" s="213"/>
      <c r="DK58" s="213"/>
      <c r="DL58" s="213"/>
      <c r="DM58" s="213"/>
      <c r="DN58" s="213"/>
      <c r="DO58" s="213"/>
      <c r="DP58" s="213"/>
      <c r="DQ58" s="213"/>
      <c r="DR58" s="213"/>
      <c r="DS58" s="213"/>
      <c r="DT58" s="213"/>
      <c r="DU58" s="213"/>
      <c r="DV58" s="210">
        <f>SUMPRODUCT((($I58+COLUMN($N$3:$DU$3)-COLUMN($N$3))&gt;='KALENDER MINGGU'!$B$6)*(($I58+COLUMN($N$3:$DU$3)-COLUMN($N$3))&lt;='KALENDER MINGGU'!$C$6)*(N58:DU58))/F58*H58</f>
        <v>0</v>
      </c>
      <c r="DW58" s="210">
        <f>SUMPRODUCT((($I58+COLUMN($N$3:$DU$3)-COLUMN($N$3))&gt;='KALENDER MINGGU'!$B$7)*(($I58+COLUMN($N$3:$DU$3)-COLUMN($N$3))&lt;='KALENDER MINGGU'!$C$7)*(N58:DU58))/F58*H58</f>
        <v>0</v>
      </c>
      <c r="DX58" s="210">
        <f>SUMPRODUCT((($I58+COLUMN($N$3:$DU$3)-COLUMN($N$3))&gt;='KALENDER MINGGU'!$B$8)*(($I58+COLUMN($N$3:$DU$3)-COLUMN($N$3))&lt;='KALENDER MINGGU'!$C$8)*(N58:DU58))/F58*H58</f>
        <v>0</v>
      </c>
      <c r="DY58" s="210">
        <f>SUMPRODUCT((($I58+COLUMN($N$3:$DU$3)-COLUMN($N$3))&gt;='KALENDER MINGGU'!$B$9)*(($I58+COLUMN($N$3:$DU$3)-COLUMN($N$3))&lt;='KALENDER MINGGU'!$C$9)*(N58:DU58))/F58*H58</f>
        <v>0</v>
      </c>
      <c r="DZ58" s="210">
        <f>SUMPRODUCT((($I58+COLUMN($N$3:$DU$3)-COLUMN($N$3))&gt;='KALENDER MINGGU'!$B$10)*(($I58+COLUMN($N$3:$DU$3)-COLUMN($N$3))&lt;='KALENDER MINGGU'!$C$10)*(N58:DU58))/F58*H58</f>
        <v>0</v>
      </c>
      <c r="EA58" s="210">
        <f>SUMPRODUCT((($I58+COLUMN($N$3:$DU$3)-COLUMN($N$3))&gt;='KALENDER MINGGU'!$B$11)*(($I58+COLUMN($N$3:$DU$3)-COLUMN($N$3))&lt;='KALENDER MINGGU'!$C$11)*(N58:DU58))/F58*H58</f>
        <v>0</v>
      </c>
      <c r="EB58" s="210">
        <f>SUMPRODUCT((($I58+COLUMN($N$3:$DU$3)-COLUMN($N$3))&gt;='KALENDER MINGGU'!$B$12)*(($I58+COLUMN($N$3:$DU$3)-COLUMN($N$3))&lt;='KALENDER MINGGU'!$C$12)*(N58:DU58))/F58*H58</f>
        <v>0</v>
      </c>
      <c r="EC58" s="210">
        <f>SUMPRODUCT((($I58+COLUMN($N$3:$DU$3)-COLUMN($N$3))&gt;='KALENDER MINGGU'!$B$13)*(($I58+COLUMN($N$3:$DU$3)-COLUMN($N$3))&lt;='KALENDER MINGGU'!$C$13)*(N58:DU58))/F58*H58</f>
        <v>0</v>
      </c>
      <c r="ED58" s="210">
        <f>SUMPRODUCT((($I58+COLUMN($N$3:$DU$3)-COLUMN($N$3))&gt;='KALENDER MINGGU'!$B$14)*(($I58+COLUMN($N$3:$DU$3)-COLUMN($N$3))&lt;='KALENDER MINGGU'!$C$14)*(N58:DU58))/F58*H58</f>
        <v>0</v>
      </c>
      <c r="EE58" s="210">
        <f>SUMPRODUCT((($I58+COLUMN($N$3:$DU$3)-COLUMN($N$3))&gt;='KALENDER MINGGU'!$B$15)*(($I58+COLUMN($N$3:$DU$3)-COLUMN($N$3))&lt;='KALENDER MINGGU'!$C$15)*(N58:DU58))/F58*H58</f>
        <v>0</v>
      </c>
      <c r="EF58" s="210">
        <f>SUMPRODUCT((($I58+COLUMN($N$3:$DU$3)-COLUMN($N$3))&gt;='KALENDER MINGGU'!$B$16)*(($I58+COLUMN($N$3:$DU$3)-COLUMN($N$3))&lt;='KALENDER MINGGU'!$C$16)*(N58:DU58))/F58*H58</f>
        <v>0</v>
      </c>
      <c r="EG58" s="210">
        <f>SUMPRODUCT((($I58+COLUMN($N$3:$DU$3)-COLUMN($N$3))&gt;='KALENDER MINGGU'!$B$17)*(($I58+COLUMN($N$3:$DU$3)-COLUMN($N$3))&lt;='KALENDER MINGGU'!$C$17)*(N58:DU58))/F58*H58</f>
        <v>0</v>
      </c>
      <c r="EH58" s="210">
        <f>SUMPRODUCT((($I58+COLUMN($N$3:$DU$3)-COLUMN($N$3))&gt;='KALENDER MINGGU'!$B$18)*(($I58+COLUMN($N$3:$DU$3)-COLUMN($N$3))&lt;='KALENDER MINGGU'!$C$18)*(N58:DU58))/F58*H58</f>
        <v>0</v>
      </c>
      <c r="EI58" s="210">
        <f>SUMPRODUCT((($I58+COLUMN($N$3:$DU$3)-COLUMN($N$3))&gt;='KALENDER MINGGU'!$B$19)*(($I58+COLUMN($N$3:$DU$3)-COLUMN($N$3))&lt;='KALENDER MINGGU'!$C$19)*(N58:DU58))/F58*H58</f>
        <v>0</v>
      </c>
      <c r="EJ58" s="210">
        <f>SUMPRODUCT((($I58+COLUMN($N$3:$DU$3)-COLUMN($N$3))&gt;='KALENDER MINGGU'!$B$20)*(($I58+COLUMN($N$3:$DU$3)-COLUMN($N$3))&lt;='KALENDER MINGGU'!$C$20)*(N58:DU58))/F58*H58</f>
        <v>0</v>
      </c>
      <c r="EK58" s="210">
        <f>SUMPRODUCT((($I58+COLUMN($N$3:$DU$3)-COLUMN($N$3))&gt;='KALENDER MINGGU'!$B$21)*(($I58+COLUMN($N$3:$DU$3)-COLUMN($N$3))&lt;='KALENDER MINGGU'!$C$21)*(N58:DU58))/F58*H58</f>
        <v>0</v>
      </c>
    </row>
    <row r="59" spans="1:141" ht="15" customHeight="1" x14ac:dyDescent="0.2">
      <c r="A59" s="208">
        <v>56</v>
      </c>
      <c r="B59" s="208">
        <v>91</v>
      </c>
      <c r="C59" s="208" t="str">
        <f>IF(B59&lt;160,'BOBOT PEK'!$B$4,IF(B59&lt;207,'BOBOT PEK'!$B$160,'BOBOT PEK'!$B$207))</f>
        <v>Pekerjaan Gudang Umum</v>
      </c>
      <c r="D59" s="208" t="s">
        <v>163</v>
      </c>
      <c r="E59" s="208" t="str">
        <f>'BOBOT PEK'!C91</f>
        <v>Ganti rangka atap toilet ( rangka lama sudah lapuk )</v>
      </c>
      <c r="F59" s="209">
        <f>IF(OR('BOBOT PEK'!E91="",'BOBOT PEK'!E91=0),1,'BOBOT PEK'!E91)</f>
        <v>94.875</v>
      </c>
      <c r="G59" s="208" t="str">
        <f>IF('BOBOT PEK'!F91="","ls",'BOBOT PEK'!F91)</f>
        <v>m2</v>
      </c>
      <c r="H59" s="210">
        <f>'BOBOT PEK'!J91</f>
        <v>0.92235801335101819</v>
      </c>
      <c r="I59" s="211">
        <f>'KALENDER MINGGU'!$B$3</f>
        <v>46226</v>
      </c>
      <c r="J59" s="209">
        <f t="shared" si="4"/>
        <v>94.87</v>
      </c>
      <c r="K59" s="209">
        <f t="shared" si="5"/>
        <v>4.9999999999954525E-3</v>
      </c>
      <c r="L59" s="212">
        <f t="shared" si="6"/>
        <v>0.99994729907773394</v>
      </c>
      <c r="M59" s="208" t="str">
        <f t="shared" si="7"/>
        <v>OK</v>
      </c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  <c r="AH59" s="213"/>
      <c r="AI59" s="213"/>
      <c r="AJ59" s="213"/>
      <c r="AK59" s="213"/>
      <c r="AL59" s="213"/>
      <c r="AM59" s="213"/>
      <c r="AN59" s="213"/>
      <c r="AO59" s="213"/>
      <c r="AP59" s="213">
        <v>5</v>
      </c>
      <c r="AQ59" s="213"/>
      <c r="AR59" s="213"/>
      <c r="AS59" s="213"/>
      <c r="AT59" s="213">
        <v>3</v>
      </c>
      <c r="AU59" s="213"/>
      <c r="AV59" s="213">
        <v>15</v>
      </c>
      <c r="AW59" s="213">
        <v>28</v>
      </c>
      <c r="AX59" s="213">
        <v>10</v>
      </c>
      <c r="AY59" s="213">
        <v>18</v>
      </c>
      <c r="AZ59" s="213"/>
      <c r="BA59" s="213">
        <v>10</v>
      </c>
      <c r="BB59" s="213">
        <v>5.87</v>
      </c>
      <c r="BC59" s="213"/>
      <c r="BD59" s="213"/>
      <c r="BE59" s="213"/>
      <c r="BF59" s="213"/>
      <c r="BG59" s="213"/>
      <c r="BH59" s="213"/>
      <c r="BI59" s="213"/>
      <c r="BJ59" s="213"/>
      <c r="BK59" s="213"/>
      <c r="BL59" s="213"/>
      <c r="BM59" s="213"/>
      <c r="BN59" s="213"/>
      <c r="BO59" s="213"/>
      <c r="BP59" s="213"/>
      <c r="BQ59" s="213"/>
      <c r="BR59" s="213"/>
      <c r="BS59" s="213"/>
      <c r="BT59" s="213"/>
      <c r="BU59" s="213"/>
      <c r="BV59" s="213"/>
      <c r="BW59" s="213"/>
      <c r="BX59" s="213"/>
      <c r="BY59" s="213"/>
      <c r="BZ59" s="213"/>
      <c r="CA59" s="213"/>
      <c r="CB59" s="213"/>
      <c r="CC59" s="213"/>
      <c r="CD59" s="213"/>
      <c r="CE59" s="213"/>
      <c r="CF59" s="213"/>
      <c r="CG59" s="213"/>
      <c r="CH59" s="213"/>
      <c r="CI59" s="213"/>
      <c r="CJ59" s="213"/>
      <c r="CK59" s="213"/>
      <c r="CL59" s="213"/>
      <c r="CM59" s="213"/>
      <c r="CN59" s="213"/>
      <c r="CO59" s="213"/>
      <c r="CP59" s="213"/>
      <c r="CQ59" s="213"/>
      <c r="CR59" s="213"/>
      <c r="CS59" s="213"/>
      <c r="CT59" s="213"/>
      <c r="CU59" s="213"/>
      <c r="CV59" s="213"/>
      <c r="CW59" s="213"/>
      <c r="CX59" s="213"/>
      <c r="CY59" s="213"/>
      <c r="CZ59" s="213"/>
      <c r="DA59" s="213"/>
      <c r="DB59" s="213"/>
      <c r="DC59" s="213"/>
      <c r="DD59" s="213"/>
      <c r="DE59" s="213"/>
      <c r="DF59" s="213"/>
      <c r="DG59" s="213"/>
      <c r="DH59" s="213"/>
      <c r="DI59" s="213"/>
      <c r="DJ59" s="213"/>
      <c r="DK59" s="213"/>
      <c r="DL59" s="213"/>
      <c r="DM59" s="213"/>
      <c r="DN59" s="213"/>
      <c r="DO59" s="213"/>
      <c r="DP59" s="213"/>
      <c r="DQ59" s="213"/>
      <c r="DR59" s="213"/>
      <c r="DS59" s="213"/>
      <c r="DT59" s="213"/>
      <c r="DU59" s="213"/>
      <c r="DV59" s="210">
        <f>SUMPRODUCT((($I59+COLUMN($N$3:$DU$3)-COLUMN($N$3))&gt;='KALENDER MINGGU'!$B$6)*(($I59+COLUMN($N$3:$DU$3)-COLUMN($N$3))&lt;='KALENDER MINGGU'!$C$6)*(N59:DU59))/F59*H59</f>
        <v>0</v>
      </c>
      <c r="DW59" s="210">
        <f>SUMPRODUCT((($I59+COLUMN($N$3:$DU$3)-COLUMN($N$3))&gt;='KALENDER MINGGU'!$B$7)*(($I59+COLUMN($N$3:$DU$3)-COLUMN($N$3))&lt;='KALENDER MINGGU'!$C$7)*(N59:DU59))/F59*H59</f>
        <v>0</v>
      </c>
      <c r="DX59" s="210">
        <f>SUMPRODUCT((($I59+COLUMN($N$3:$DU$3)-COLUMN($N$3))&gt;='KALENDER MINGGU'!$B$8)*(($I59+COLUMN($N$3:$DU$3)-COLUMN($N$3))&lt;='KALENDER MINGGU'!$C$8)*(N59:DU59))/F59*H59</f>
        <v>0</v>
      </c>
      <c r="DY59" s="210">
        <f>SUMPRODUCT((($I59+COLUMN($N$3:$DU$3)-COLUMN($N$3))&gt;='KALENDER MINGGU'!$B$9)*(($I59+COLUMN($N$3:$DU$3)-COLUMN($N$3))&lt;='KALENDER MINGGU'!$C$9)*(N59:DU59))/F59*H59</f>
        <v>0</v>
      </c>
      <c r="DZ59" s="210">
        <f>SUMPRODUCT((($I59+COLUMN($N$3:$DU$3)-COLUMN($N$3))&gt;='KALENDER MINGGU'!$B$10)*(($I59+COLUMN($N$3:$DU$3)-COLUMN($N$3))&lt;='KALENDER MINGGU'!$C$10)*(N59:DU59))/F59*H59</f>
        <v>0.22360194263054986</v>
      </c>
      <c r="EA59" s="210">
        <f>SUMPRODUCT((($I59+COLUMN($N$3:$DU$3)-COLUMN($N$3))&gt;='KALENDER MINGGU'!$B$11)*(($I59+COLUMN($N$3:$DU$3)-COLUMN($N$3))&lt;='KALENDER MINGGU'!$C$11)*(N59:DU59))/F59*H59</f>
        <v>0.69870746160250519</v>
      </c>
      <c r="EB59" s="210">
        <f>SUMPRODUCT((($I59+COLUMN($N$3:$DU$3)-COLUMN($N$3))&gt;='KALENDER MINGGU'!$B$12)*(($I59+COLUMN($N$3:$DU$3)-COLUMN($N$3))&lt;='KALENDER MINGGU'!$C$12)*(N59:DU59))/F59*H59</f>
        <v>0</v>
      </c>
      <c r="EC59" s="210">
        <f>SUMPRODUCT((($I59+COLUMN($N$3:$DU$3)-COLUMN($N$3))&gt;='KALENDER MINGGU'!$B$13)*(($I59+COLUMN($N$3:$DU$3)-COLUMN($N$3))&lt;='KALENDER MINGGU'!$C$13)*(N59:DU59))/F59*H59</f>
        <v>0</v>
      </c>
      <c r="ED59" s="210">
        <f>SUMPRODUCT((($I59+COLUMN($N$3:$DU$3)-COLUMN($N$3))&gt;='KALENDER MINGGU'!$B$14)*(($I59+COLUMN($N$3:$DU$3)-COLUMN($N$3))&lt;='KALENDER MINGGU'!$C$14)*(N59:DU59))/F59*H59</f>
        <v>0</v>
      </c>
      <c r="EE59" s="210">
        <f>SUMPRODUCT((($I59+COLUMN($N$3:$DU$3)-COLUMN($N$3))&gt;='KALENDER MINGGU'!$B$15)*(($I59+COLUMN($N$3:$DU$3)-COLUMN($N$3))&lt;='KALENDER MINGGU'!$C$15)*(N59:DU59))/F59*H59</f>
        <v>0</v>
      </c>
      <c r="EF59" s="210">
        <f>SUMPRODUCT((($I59+COLUMN($N$3:$DU$3)-COLUMN($N$3))&gt;='KALENDER MINGGU'!$B$16)*(($I59+COLUMN($N$3:$DU$3)-COLUMN($N$3))&lt;='KALENDER MINGGU'!$C$16)*(N59:DU59))/F59*H59</f>
        <v>0</v>
      </c>
      <c r="EG59" s="210">
        <f>SUMPRODUCT((($I59+COLUMN($N$3:$DU$3)-COLUMN($N$3))&gt;='KALENDER MINGGU'!$B$17)*(($I59+COLUMN($N$3:$DU$3)-COLUMN($N$3))&lt;='KALENDER MINGGU'!$C$17)*(N59:DU59))/F59*H59</f>
        <v>0</v>
      </c>
      <c r="EH59" s="210">
        <f>SUMPRODUCT((($I59+COLUMN($N$3:$DU$3)-COLUMN($N$3))&gt;='KALENDER MINGGU'!$B$18)*(($I59+COLUMN($N$3:$DU$3)-COLUMN($N$3))&lt;='KALENDER MINGGU'!$C$18)*(N59:DU59))/F59*H59</f>
        <v>0</v>
      </c>
      <c r="EI59" s="210">
        <f>SUMPRODUCT((($I59+COLUMN($N$3:$DU$3)-COLUMN($N$3))&gt;='KALENDER MINGGU'!$B$19)*(($I59+COLUMN($N$3:$DU$3)-COLUMN($N$3))&lt;='KALENDER MINGGU'!$C$19)*(N59:DU59))/F59*H59</f>
        <v>0</v>
      </c>
      <c r="EJ59" s="210">
        <f>SUMPRODUCT((($I59+COLUMN($N$3:$DU$3)-COLUMN($N$3))&gt;='KALENDER MINGGU'!$B$20)*(($I59+COLUMN($N$3:$DU$3)-COLUMN($N$3))&lt;='KALENDER MINGGU'!$C$20)*(N59:DU59))/F59*H59</f>
        <v>0</v>
      </c>
      <c r="EK59" s="210">
        <f>SUMPRODUCT((($I59+COLUMN($N$3:$DU$3)-COLUMN($N$3))&gt;='KALENDER MINGGU'!$B$21)*(($I59+COLUMN($N$3:$DU$3)-COLUMN($N$3))&lt;='KALENDER MINGGU'!$C$21)*(N59:DU59))/F59*H59</f>
        <v>0</v>
      </c>
    </row>
    <row r="60" spans="1:141" ht="15" customHeight="1" x14ac:dyDescent="0.2">
      <c r="A60" s="208">
        <v>57</v>
      </c>
      <c r="B60" s="208">
        <v>92</v>
      </c>
      <c r="C60" s="208" t="str">
        <f>IF(B60&lt;160,'BOBOT PEK'!$B$4,IF(B60&lt;207,'BOBOT PEK'!$B$160,'BOBOT PEK'!$B$207))</f>
        <v>Pekerjaan Gudang Umum</v>
      </c>
      <c r="D60" s="208" t="s">
        <v>163</v>
      </c>
      <c r="E60" s="208" t="str">
        <f>'BOBOT PEK'!C92</f>
        <v>Perbaikan plafond + refinishing cat</v>
      </c>
      <c r="F60" s="209">
        <f>IF(OR('BOBOT PEK'!E92="",'BOBOT PEK'!E92=0),1,'BOBOT PEK'!E92)</f>
        <v>88</v>
      </c>
      <c r="G60" s="208" t="str">
        <f>IF('BOBOT PEK'!F92="","ls",'BOBOT PEK'!F92)</f>
        <v>m²</v>
      </c>
      <c r="H60" s="210">
        <f>'BOBOT PEK'!J92</f>
        <v>0.49755269797241802</v>
      </c>
      <c r="I60" s="211">
        <f>'KALENDER MINGGU'!$B$3</f>
        <v>46226</v>
      </c>
      <c r="J60" s="209">
        <f t="shared" si="4"/>
        <v>88</v>
      </c>
      <c r="K60" s="209">
        <f t="shared" si="5"/>
        <v>0</v>
      </c>
      <c r="L60" s="212">
        <f t="shared" si="6"/>
        <v>1</v>
      </c>
      <c r="M60" s="208" t="str">
        <f t="shared" si="7"/>
        <v>OK</v>
      </c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3"/>
      <c r="AB60" s="213"/>
      <c r="AC60" s="213"/>
      <c r="AD60" s="213"/>
      <c r="AE60" s="213"/>
      <c r="AF60" s="213"/>
      <c r="AG60" s="213"/>
      <c r="AH60" s="213"/>
      <c r="AI60" s="213"/>
      <c r="AJ60" s="213"/>
      <c r="AK60" s="213"/>
      <c r="AL60" s="213"/>
      <c r="AM60" s="213"/>
      <c r="AN60" s="213"/>
      <c r="AO60" s="213"/>
      <c r="AP60" s="213">
        <v>3</v>
      </c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  <c r="BC60" s="213"/>
      <c r="BD60" s="213"/>
      <c r="BE60" s="213"/>
      <c r="BF60" s="213"/>
      <c r="BG60" s="213"/>
      <c r="BH60" s="213">
        <v>10</v>
      </c>
      <c r="BI60" s="213">
        <v>10</v>
      </c>
      <c r="BJ60" s="213">
        <v>20</v>
      </c>
      <c r="BK60" s="213">
        <v>10</v>
      </c>
      <c r="BL60" s="213"/>
      <c r="BM60" s="213"/>
      <c r="BN60" s="213"/>
      <c r="BO60" s="213"/>
      <c r="BP60" s="213"/>
      <c r="BQ60" s="213"/>
      <c r="BR60" s="213">
        <v>5</v>
      </c>
      <c r="BS60" s="213">
        <v>5</v>
      </c>
      <c r="BT60" s="213">
        <v>5</v>
      </c>
      <c r="BU60" s="213"/>
      <c r="BV60" s="213"/>
      <c r="BW60" s="213"/>
      <c r="BX60" s="213"/>
      <c r="BY60" s="213"/>
      <c r="BZ60" s="213"/>
      <c r="CA60" s="213">
        <v>10</v>
      </c>
      <c r="CB60" s="213">
        <v>10</v>
      </c>
      <c r="CC60" s="213"/>
      <c r="CD60" s="213"/>
      <c r="CE60" s="213"/>
      <c r="CF60" s="213"/>
      <c r="CG60" s="213"/>
      <c r="CH60" s="213"/>
      <c r="CI60" s="213"/>
      <c r="CJ60" s="213"/>
      <c r="CK60" s="213"/>
      <c r="CL60" s="213"/>
      <c r="CM60" s="213"/>
      <c r="CN60" s="213"/>
      <c r="CO60" s="213"/>
      <c r="CP60" s="213"/>
      <c r="CQ60" s="213"/>
      <c r="CR60" s="213"/>
      <c r="CS60" s="213"/>
      <c r="CT60" s="213"/>
      <c r="CU60" s="213"/>
      <c r="CV60" s="213"/>
      <c r="CW60" s="213"/>
      <c r="CX60" s="213"/>
      <c r="CY60" s="213"/>
      <c r="CZ60" s="213"/>
      <c r="DA60" s="213"/>
      <c r="DB60" s="213"/>
      <c r="DC60" s="213"/>
      <c r="DD60" s="213"/>
      <c r="DE60" s="213"/>
      <c r="DF60" s="213"/>
      <c r="DG60" s="213"/>
      <c r="DH60" s="213"/>
      <c r="DI60" s="213"/>
      <c r="DJ60" s="213"/>
      <c r="DK60" s="213"/>
      <c r="DL60" s="213"/>
      <c r="DM60" s="213"/>
      <c r="DN60" s="213"/>
      <c r="DO60" s="213"/>
      <c r="DP60" s="213"/>
      <c r="DQ60" s="213"/>
      <c r="DR60" s="213"/>
      <c r="DS60" s="213"/>
      <c r="DT60" s="213"/>
      <c r="DU60" s="213"/>
      <c r="DV60" s="210">
        <f>SUMPRODUCT((($I60+COLUMN($N$3:$DU$3)-COLUMN($N$3))&gt;='KALENDER MINGGU'!$B$6)*(($I60+COLUMN($N$3:$DU$3)-COLUMN($N$3))&lt;='KALENDER MINGGU'!$C$6)*(N60:DU60))/F60*H60</f>
        <v>0</v>
      </c>
      <c r="DW60" s="210">
        <f>SUMPRODUCT((($I60+COLUMN($N$3:$DU$3)-COLUMN($N$3))&gt;='KALENDER MINGGU'!$B$7)*(($I60+COLUMN($N$3:$DU$3)-COLUMN($N$3))&lt;='KALENDER MINGGU'!$C$7)*(N60:DU60))/F60*H60</f>
        <v>0</v>
      </c>
      <c r="DX60" s="210">
        <f>SUMPRODUCT((($I60+COLUMN($N$3:$DU$3)-COLUMN($N$3))&gt;='KALENDER MINGGU'!$B$8)*(($I60+COLUMN($N$3:$DU$3)-COLUMN($N$3))&lt;='KALENDER MINGGU'!$C$8)*(N60:DU60))/F60*H60</f>
        <v>0</v>
      </c>
      <c r="DY60" s="210">
        <f>SUMPRODUCT((($I60+COLUMN($N$3:$DU$3)-COLUMN($N$3))&gt;='KALENDER MINGGU'!$B$9)*(($I60+COLUMN($N$3:$DU$3)-COLUMN($N$3))&lt;='KALENDER MINGGU'!$C$9)*(N60:DU60))/F60*H60</f>
        <v>0</v>
      </c>
      <c r="DZ60" s="210">
        <f>SUMPRODUCT((($I60+COLUMN($N$3:$DU$3)-COLUMN($N$3))&gt;='KALENDER MINGGU'!$B$10)*(($I60+COLUMN($N$3:$DU$3)-COLUMN($N$3))&lt;='KALENDER MINGGU'!$C$10)*(N60:DU60))/F60*H60</f>
        <v>1.6962023794514249E-2</v>
      </c>
      <c r="EA60" s="210">
        <f>SUMPRODUCT((($I60+COLUMN($N$3:$DU$3)-COLUMN($N$3))&gt;='KALENDER MINGGU'!$B$11)*(($I60+COLUMN($N$3:$DU$3)-COLUMN($N$3))&lt;='KALENDER MINGGU'!$C$11)*(N60:DU60))/F60*H60</f>
        <v>0</v>
      </c>
      <c r="EB60" s="210">
        <f>SUMPRODUCT((($I60+COLUMN($N$3:$DU$3)-COLUMN($N$3))&gt;='KALENDER MINGGU'!$B$12)*(($I60+COLUMN($N$3:$DU$3)-COLUMN($N$3))&lt;='KALENDER MINGGU'!$C$12)*(N60:DU60))/F60*H60</f>
        <v>0.22616031726019001</v>
      </c>
      <c r="EC60" s="210">
        <f>SUMPRODUCT((($I60+COLUMN($N$3:$DU$3)-COLUMN($N$3))&gt;='KALENDER MINGGU'!$B$13)*(($I60+COLUMN($N$3:$DU$3)-COLUMN($N$3))&lt;='KALENDER MINGGU'!$C$13)*(N60:DU60))/F60*H60</f>
        <v>5.6540079315047502E-2</v>
      </c>
      <c r="ED60" s="210">
        <f>SUMPRODUCT((($I60+COLUMN($N$3:$DU$3)-COLUMN($N$3))&gt;='KALENDER MINGGU'!$B$14)*(($I60+COLUMN($N$3:$DU$3)-COLUMN($N$3))&lt;='KALENDER MINGGU'!$C$14)*(N60:DU60))/F60*H60</f>
        <v>8.481011897257125E-2</v>
      </c>
      <c r="EE60" s="210">
        <f>SUMPRODUCT((($I60+COLUMN($N$3:$DU$3)-COLUMN($N$3))&gt;='KALENDER MINGGU'!$B$15)*(($I60+COLUMN($N$3:$DU$3)-COLUMN($N$3))&lt;='KALENDER MINGGU'!$C$15)*(N60:DU60))/F60*H60</f>
        <v>0.113080158630095</v>
      </c>
      <c r="EF60" s="210">
        <f>SUMPRODUCT((($I60+COLUMN($N$3:$DU$3)-COLUMN($N$3))&gt;='KALENDER MINGGU'!$B$16)*(($I60+COLUMN($N$3:$DU$3)-COLUMN($N$3))&lt;='KALENDER MINGGU'!$C$16)*(N60:DU60))/F60*H60</f>
        <v>0</v>
      </c>
      <c r="EG60" s="210">
        <f>SUMPRODUCT((($I60+COLUMN($N$3:$DU$3)-COLUMN($N$3))&gt;='KALENDER MINGGU'!$B$17)*(($I60+COLUMN($N$3:$DU$3)-COLUMN($N$3))&lt;='KALENDER MINGGU'!$C$17)*(N60:DU60))/F60*H60</f>
        <v>0</v>
      </c>
      <c r="EH60" s="210">
        <f>SUMPRODUCT((($I60+COLUMN($N$3:$DU$3)-COLUMN($N$3))&gt;='KALENDER MINGGU'!$B$18)*(($I60+COLUMN($N$3:$DU$3)-COLUMN($N$3))&lt;='KALENDER MINGGU'!$C$18)*(N60:DU60))/F60*H60</f>
        <v>0</v>
      </c>
      <c r="EI60" s="210">
        <f>SUMPRODUCT((($I60+COLUMN($N$3:$DU$3)-COLUMN($N$3))&gt;='KALENDER MINGGU'!$B$19)*(($I60+COLUMN($N$3:$DU$3)-COLUMN($N$3))&lt;='KALENDER MINGGU'!$C$19)*(N60:DU60))/F60*H60</f>
        <v>0</v>
      </c>
      <c r="EJ60" s="210">
        <f>SUMPRODUCT((($I60+COLUMN($N$3:$DU$3)-COLUMN($N$3))&gt;='KALENDER MINGGU'!$B$20)*(($I60+COLUMN($N$3:$DU$3)-COLUMN($N$3))&lt;='KALENDER MINGGU'!$C$20)*(N60:DU60))/F60*H60</f>
        <v>0</v>
      </c>
      <c r="EK60" s="210">
        <f>SUMPRODUCT((($I60+COLUMN($N$3:$DU$3)-COLUMN($N$3))&gt;='KALENDER MINGGU'!$B$21)*(($I60+COLUMN($N$3:$DU$3)-COLUMN($N$3))&lt;='KALENDER MINGGU'!$C$21)*(N60:DU60))/F60*H60</f>
        <v>0</v>
      </c>
    </row>
    <row r="61" spans="1:141" ht="15" customHeight="1" x14ac:dyDescent="0.2">
      <c r="A61" s="208">
        <v>58</v>
      </c>
      <c r="B61" s="208">
        <v>93</v>
      </c>
      <c r="C61" s="208" t="str">
        <f>IF(B61&lt;160,'BOBOT PEK'!$B$4,IF(B61&lt;207,'BOBOT PEK'!$B$160,'BOBOT PEK'!$B$207))</f>
        <v>Pekerjaan Gudang Umum</v>
      </c>
      <c r="D61" s="208" t="s">
        <v>163</v>
      </c>
      <c r="E61" s="208" t="str">
        <f>'BOBOT PEK'!C93</f>
        <v>Cat ulang exterior musholla</v>
      </c>
      <c r="F61" s="209">
        <f>IF(OR('BOBOT PEK'!E93="",'BOBOT PEK'!E93=0),1,'BOBOT PEK'!E93)</f>
        <v>118.4</v>
      </c>
      <c r="G61" s="208" t="str">
        <f>IF('BOBOT PEK'!F93="","ls",'BOBOT PEK'!F93)</f>
        <v>m²</v>
      </c>
      <c r="H61" s="210">
        <f>'BOBOT PEK'!J93</f>
        <v>0.17417414478590201</v>
      </c>
      <c r="I61" s="211">
        <f>'KALENDER MINGGU'!$B$3</f>
        <v>46226</v>
      </c>
      <c r="J61" s="209">
        <f t="shared" si="4"/>
        <v>10</v>
      </c>
      <c r="K61" s="209">
        <f t="shared" si="5"/>
        <v>108.4</v>
      </c>
      <c r="L61" s="212">
        <f t="shared" si="6"/>
        <v>8.4459459459459457E-2</v>
      </c>
      <c r="M61" s="208" t="str">
        <f t="shared" si="7"/>
        <v>OK</v>
      </c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3"/>
      <c r="AB61" s="213"/>
      <c r="AC61" s="213"/>
      <c r="AD61" s="213"/>
      <c r="AE61" s="213"/>
      <c r="AF61" s="213"/>
      <c r="AG61" s="213"/>
      <c r="AH61" s="213"/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  <c r="BC61" s="213"/>
      <c r="BD61" s="213"/>
      <c r="BE61" s="213"/>
      <c r="BF61" s="213"/>
      <c r="BG61" s="213"/>
      <c r="BH61" s="213"/>
      <c r="BI61" s="213"/>
      <c r="BJ61" s="213"/>
      <c r="BK61" s="213"/>
      <c r="BL61" s="213"/>
      <c r="BM61" s="213"/>
      <c r="BN61" s="213"/>
      <c r="BO61" s="213"/>
      <c r="BP61" s="213"/>
      <c r="BQ61" s="213"/>
      <c r="BR61" s="213"/>
      <c r="BS61" s="213"/>
      <c r="BT61" s="213"/>
      <c r="BU61" s="213"/>
      <c r="BV61" s="213"/>
      <c r="BW61" s="213"/>
      <c r="BX61" s="213"/>
      <c r="BY61" s="213"/>
      <c r="BZ61" s="213"/>
      <c r="CA61" s="213">
        <v>10</v>
      </c>
      <c r="CB61" s="213"/>
      <c r="CC61" s="213"/>
      <c r="CD61" s="213"/>
      <c r="CE61" s="213"/>
      <c r="CF61" s="213"/>
      <c r="CG61" s="213"/>
      <c r="CH61" s="213"/>
      <c r="CI61" s="213"/>
      <c r="CJ61" s="213"/>
      <c r="CK61" s="213"/>
      <c r="CL61" s="213"/>
      <c r="CM61" s="213"/>
      <c r="CN61" s="213"/>
      <c r="CO61" s="213"/>
      <c r="CP61" s="213"/>
      <c r="CQ61" s="213"/>
      <c r="CR61" s="213"/>
      <c r="CS61" s="213"/>
      <c r="CT61" s="213"/>
      <c r="CU61" s="213"/>
      <c r="CV61" s="213"/>
      <c r="CW61" s="213"/>
      <c r="CX61" s="213"/>
      <c r="CY61" s="213"/>
      <c r="CZ61" s="213"/>
      <c r="DA61" s="213"/>
      <c r="DB61" s="213"/>
      <c r="DC61" s="213"/>
      <c r="DD61" s="213"/>
      <c r="DE61" s="213"/>
      <c r="DF61" s="213"/>
      <c r="DG61" s="213"/>
      <c r="DH61" s="213"/>
      <c r="DI61" s="213"/>
      <c r="DJ61" s="213"/>
      <c r="DK61" s="213"/>
      <c r="DL61" s="213"/>
      <c r="DM61" s="213"/>
      <c r="DN61" s="213"/>
      <c r="DO61" s="213"/>
      <c r="DP61" s="213"/>
      <c r="DQ61" s="213"/>
      <c r="DR61" s="213"/>
      <c r="DS61" s="213"/>
      <c r="DT61" s="213"/>
      <c r="DU61" s="213"/>
      <c r="DV61" s="210">
        <f>SUMPRODUCT((($I61+COLUMN($N$3:$DU$3)-COLUMN($N$3))&gt;='KALENDER MINGGU'!$B$6)*(($I61+COLUMN($N$3:$DU$3)-COLUMN($N$3))&lt;='KALENDER MINGGU'!$C$6)*(N61:DU61))/F61*H61</f>
        <v>0</v>
      </c>
      <c r="DW61" s="210">
        <f>SUMPRODUCT((($I61+COLUMN($N$3:$DU$3)-COLUMN($N$3))&gt;='KALENDER MINGGU'!$B$7)*(($I61+COLUMN($N$3:$DU$3)-COLUMN($N$3))&lt;='KALENDER MINGGU'!$C$7)*(N61:DU61))/F61*H61</f>
        <v>0</v>
      </c>
      <c r="DX61" s="210">
        <f>SUMPRODUCT((($I61+COLUMN($N$3:$DU$3)-COLUMN($N$3))&gt;='KALENDER MINGGU'!$B$8)*(($I61+COLUMN($N$3:$DU$3)-COLUMN($N$3))&lt;='KALENDER MINGGU'!$C$8)*(N61:DU61))/F61*H61</f>
        <v>0</v>
      </c>
      <c r="DY61" s="210">
        <f>SUMPRODUCT((($I61+COLUMN($N$3:$DU$3)-COLUMN($N$3))&gt;='KALENDER MINGGU'!$B$9)*(($I61+COLUMN($N$3:$DU$3)-COLUMN($N$3))&lt;='KALENDER MINGGU'!$C$9)*(N61:DU61))/F61*H61</f>
        <v>0</v>
      </c>
      <c r="DZ61" s="210">
        <f>SUMPRODUCT((($I61+COLUMN($N$3:$DU$3)-COLUMN($N$3))&gt;='KALENDER MINGGU'!$B$10)*(($I61+COLUMN($N$3:$DU$3)-COLUMN($N$3))&lt;='KALENDER MINGGU'!$C$10)*(N61:DU61))/F61*H61</f>
        <v>0</v>
      </c>
      <c r="EA61" s="210">
        <f>SUMPRODUCT((($I61+COLUMN($N$3:$DU$3)-COLUMN($N$3))&gt;='KALENDER MINGGU'!$B$11)*(($I61+COLUMN($N$3:$DU$3)-COLUMN($N$3))&lt;='KALENDER MINGGU'!$C$11)*(N61:DU61))/F61*H61</f>
        <v>0</v>
      </c>
      <c r="EB61" s="210">
        <f>SUMPRODUCT((($I61+COLUMN($N$3:$DU$3)-COLUMN($N$3))&gt;='KALENDER MINGGU'!$B$12)*(($I61+COLUMN($N$3:$DU$3)-COLUMN($N$3))&lt;='KALENDER MINGGU'!$C$12)*(N61:DU61))/F61*H61</f>
        <v>0</v>
      </c>
      <c r="EC61" s="210">
        <f>SUMPRODUCT((($I61+COLUMN($N$3:$DU$3)-COLUMN($N$3))&gt;='KALENDER MINGGU'!$B$13)*(($I61+COLUMN($N$3:$DU$3)-COLUMN($N$3))&lt;='KALENDER MINGGU'!$C$13)*(N61:DU61))/F61*H61</f>
        <v>0</v>
      </c>
      <c r="ED61" s="210">
        <f>SUMPRODUCT((($I61+COLUMN($N$3:$DU$3)-COLUMN($N$3))&gt;='KALENDER MINGGU'!$B$14)*(($I61+COLUMN($N$3:$DU$3)-COLUMN($N$3))&lt;='KALENDER MINGGU'!$C$14)*(N61:DU61))/F61*H61</f>
        <v>0</v>
      </c>
      <c r="EE61" s="210">
        <f>SUMPRODUCT((($I61+COLUMN($N$3:$DU$3)-COLUMN($N$3))&gt;='KALENDER MINGGU'!$B$15)*(($I61+COLUMN($N$3:$DU$3)-COLUMN($N$3))&lt;='KALENDER MINGGU'!$C$15)*(N61:DU61))/F61*H61</f>
        <v>1.4710654120430914E-2</v>
      </c>
      <c r="EF61" s="210">
        <f>SUMPRODUCT((($I61+COLUMN($N$3:$DU$3)-COLUMN($N$3))&gt;='KALENDER MINGGU'!$B$16)*(($I61+COLUMN($N$3:$DU$3)-COLUMN($N$3))&lt;='KALENDER MINGGU'!$C$16)*(N61:DU61))/F61*H61</f>
        <v>0</v>
      </c>
      <c r="EG61" s="210">
        <f>SUMPRODUCT((($I61+COLUMN($N$3:$DU$3)-COLUMN($N$3))&gt;='KALENDER MINGGU'!$B$17)*(($I61+COLUMN($N$3:$DU$3)-COLUMN($N$3))&lt;='KALENDER MINGGU'!$C$17)*(N61:DU61))/F61*H61</f>
        <v>0</v>
      </c>
      <c r="EH61" s="210">
        <f>SUMPRODUCT((($I61+COLUMN($N$3:$DU$3)-COLUMN($N$3))&gt;='KALENDER MINGGU'!$B$18)*(($I61+COLUMN($N$3:$DU$3)-COLUMN($N$3))&lt;='KALENDER MINGGU'!$C$18)*(N61:DU61))/F61*H61</f>
        <v>0</v>
      </c>
      <c r="EI61" s="210">
        <f>SUMPRODUCT((($I61+COLUMN($N$3:$DU$3)-COLUMN($N$3))&gt;='KALENDER MINGGU'!$B$19)*(($I61+COLUMN($N$3:$DU$3)-COLUMN($N$3))&lt;='KALENDER MINGGU'!$C$19)*(N61:DU61))/F61*H61</f>
        <v>0</v>
      </c>
      <c r="EJ61" s="210">
        <f>SUMPRODUCT((($I61+COLUMN($N$3:$DU$3)-COLUMN($N$3))&gt;='KALENDER MINGGU'!$B$20)*(($I61+COLUMN($N$3:$DU$3)-COLUMN($N$3))&lt;='KALENDER MINGGU'!$C$20)*(N61:DU61))/F61*H61</f>
        <v>0</v>
      </c>
      <c r="EK61" s="210">
        <f>SUMPRODUCT((($I61+COLUMN($N$3:$DU$3)-COLUMN($N$3))&gt;='KALENDER MINGGU'!$B$21)*(($I61+COLUMN($N$3:$DU$3)-COLUMN($N$3))&lt;='KALENDER MINGGU'!$C$21)*(N61:DU61))/F61*H61</f>
        <v>0</v>
      </c>
    </row>
    <row r="62" spans="1:141" ht="15" customHeight="1" x14ac:dyDescent="0.2">
      <c r="A62" s="208">
        <v>59</v>
      </c>
      <c r="B62" s="208">
        <v>94</v>
      </c>
      <c r="C62" s="208" t="str">
        <f>IF(B62&lt;160,'BOBOT PEK'!$B$4,IF(B62&lt;207,'BOBOT PEK'!$B$160,'BOBOT PEK'!$B$207))</f>
        <v>Pekerjaan Gudang Umum</v>
      </c>
      <c r="D62" s="208" t="s">
        <v>163</v>
      </c>
      <c r="E62" s="208" t="str">
        <f>'BOBOT PEK'!C94</f>
        <v>Penggantian pintu  musholla</v>
      </c>
      <c r="F62" s="209">
        <f>IF(OR('BOBOT PEK'!E94="",'BOBOT PEK'!E94=0),1,'BOBOT PEK'!E94)</f>
        <v>3</v>
      </c>
      <c r="G62" s="208" t="str">
        <f>IF('BOBOT PEK'!F94="","ls",'BOBOT PEK'!F94)</f>
        <v>ls</v>
      </c>
      <c r="H62" s="210">
        <f>'BOBOT PEK'!J94</f>
        <v>9.9776610555966191E-2</v>
      </c>
      <c r="I62" s="211">
        <f>'KALENDER MINGGU'!$B$3</f>
        <v>46226</v>
      </c>
      <c r="J62" s="209">
        <f t="shared" si="4"/>
        <v>1</v>
      </c>
      <c r="K62" s="209">
        <f t="shared" si="5"/>
        <v>2</v>
      </c>
      <c r="L62" s="212">
        <f t="shared" si="6"/>
        <v>0.33333333333333331</v>
      </c>
      <c r="M62" s="208" t="str">
        <f t="shared" si="7"/>
        <v>OK</v>
      </c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3"/>
      <c r="AB62" s="213"/>
      <c r="AC62" s="213"/>
      <c r="AD62" s="213"/>
      <c r="AE62" s="213"/>
      <c r="AF62" s="213"/>
      <c r="AG62" s="213"/>
      <c r="AH62" s="213"/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  <c r="BC62" s="213"/>
      <c r="BD62" s="213"/>
      <c r="BE62" s="213"/>
      <c r="BF62" s="213"/>
      <c r="BG62" s="213"/>
      <c r="BH62" s="213"/>
      <c r="BI62" s="213"/>
      <c r="BJ62" s="213"/>
      <c r="BK62" s="213"/>
      <c r="BL62" s="213"/>
      <c r="BM62" s="213"/>
      <c r="BN62" s="213"/>
      <c r="BO62" s="213"/>
      <c r="BP62" s="213"/>
      <c r="BQ62" s="213"/>
      <c r="BR62" s="213">
        <v>1</v>
      </c>
      <c r="BS62" s="213"/>
      <c r="BT62" s="213"/>
      <c r="BU62" s="213"/>
      <c r="BV62" s="213"/>
      <c r="BW62" s="213"/>
      <c r="BX62" s="213"/>
      <c r="BY62" s="213"/>
      <c r="BZ62" s="213"/>
      <c r="CA62" s="213"/>
      <c r="CB62" s="213"/>
      <c r="CC62" s="213"/>
      <c r="CD62" s="213"/>
      <c r="CE62" s="213"/>
      <c r="CF62" s="213"/>
      <c r="CG62" s="213"/>
      <c r="CH62" s="213"/>
      <c r="CI62" s="213"/>
      <c r="CJ62" s="213"/>
      <c r="CK62" s="213"/>
      <c r="CL62" s="213"/>
      <c r="CM62" s="213"/>
      <c r="CN62" s="213"/>
      <c r="CO62" s="213"/>
      <c r="CP62" s="213"/>
      <c r="CQ62" s="213"/>
      <c r="CR62" s="213"/>
      <c r="CS62" s="213"/>
      <c r="CT62" s="213"/>
      <c r="CU62" s="213"/>
      <c r="CV62" s="213"/>
      <c r="CW62" s="213"/>
      <c r="CX62" s="213"/>
      <c r="CY62" s="213"/>
      <c r="CZ62" s="213"/>
      <c r="DA62" s="213"/>
      <c r="DB62" s="213"/>
      <c r="DC62" s="213"/>
      <c r="DD62" s="213"/>
      <c r="DE62" s="213"/>
      <c r="DF62" s="213"/>
      <c r="DG62" s="213"/>
      <c r="DH62" s="213"/>
      <c r="DI62" s="213"/>
      <c r="DJ62" s="213"/>
      <c r="DK62" s="213"/>
      <c r="DL62" s="213"/>
      <c r="DM62" s="213"/>
      <c r="DN62" s="213"/>
      <c r="DO62" s="213"/>
      <c r="DP62" s="213"/>
      <c r="DQ62" s="213"/>
      <c r="DR62" s="213"/>
      <c r="DS62" s="213"/>
      <c r="DT62" s="213"/>
      <c r="DU62" s="213"/>
      <c r="DV62" s="210">
        <f>SUMPRODUCT((($I62+COLUMN($N$3:$DU$3)-COLUMN($N$3))&gt;='KALENDER MINGGU'!$B$6)*(($I62+COLUMN($N$3:$DU$3)-COLUMN($N$3))&lt;='KALENDER MINGGU'!$C$6)*(N62:DU62))/F62*H62</f>
        <v>0</v>
      </c>
      <c r="DW62" s="210">
        <f>SUMPRODUCT((($I62+COLUMN($N$3:$DU$3)-COLUMN($N$3))&gt;='KALENDER MINGGU'!$B$7)*(($I62+COLUMN($N$3:$DU$3)-COLUMN($N$3))&lt;='KALENDER MINGGU'!$C$7)*(N62:DU62))/F62*H62</f>
        <v>0</v>
      </c>
      <c r="DX62" s="210">
        <f>SUMPRODUCT((($I62+COLUMN($N$3:$DU$3)-COLUMN($N$3))&gt;='KALENDER MINGGU'!$B$8)*(($I62+COLUMN($N$3:$DU$3)-COLUMN($N$3))&lt;='KALENDER MINGGU'!$C$8)*(N62:DU62))/F62*H62</f>
        <v>0</v>
      </c>
      <c r="DY62" s="210">
        <f>SUMPRODUCT((($I62+COLUMN($N$3:$DU$3)-COLUMN($N$3))&gt;='KALENDER MINGGU'!$B$9)*(($I62+COLUMN($N$3:$DU$3)-COLUMN($N$3))&lt;='KALENDER MINGGU'!$C$9)*(N62:DU62))/F62*H62</f>
        <v>0</v>
      </c>
      <c r="DZ62" s="210">
        <f>SUMPRODUCT((($I62+COLUMN($N$3:$DU$3)-COLUMN($N$3))&gt;='KALENDER MINGGU'!$B$10)*(($I62+COLUMN($N$3:$DU$3)-COLUMN($N$3))&lt;='KALENDER MINGGU'!$C$10)*(N62:DU62))/F62*H62</f>
        <v>0</v>
      </c>
      <c r="EA62" s="210">
        <f>SUMPRODUCT((($I62+COLUMN($N$3:$DU$3)-COLUMN($N$3))&gt;='KALENDER MINGGU'!$B$11)*(($I62+COLUMN($N$3:$DU$3)-COLUMN($N$3))&lt;='KALENDER MINGGU'!$C$11)*(N62:DU62))/F62*H62</f>
        <v>0</v>
      </c>
      <c r="EB62" s="210">
        <f>SUMPRODUCT((($I62+COLUMN($N$3:$DU$3)-COLUMN($N$3))&gt;='KALENDER MINGGU'!$B$12)*(($I62+COLUMN($N$3:$DU$3)-COLUMN($N$3))&lt;='KALENDER MINGGU'!$C$12)*(N62:DU62))/F62*H62</f>
        <v>0</v>
      </c>
      <c r="EC62" s="210">
        <f>SUMPRODUCT((($I62+COLUMN($N$3:$DU$3)-COLUMN($N$3))&gt;='KALENDER MINGGU'!$B$13)*(($I62+COLUMN($N$3:$DU$3)-COLUMN($N$3))&lt;='KALENDER MINGGU'!$C$13)*(N62:DU62))/F62*H62</f>
        <v>0</v>
      </c>
      <c r="ED62" s="210">
        <f>SUMPRODUCT((($I62+COLUMN($N$3:$DU$3)-COLUMN($N$3))&gt;='KALENDER MINGGU'!$B$14)*(($I62+COLUMN($N$3:$DU$3)-COLUMN($N$3))&lt;='KALENDER MINGGU'!$C$14)*(N62:DU62))/F62*H62</f>
        <v>3.3258870185322059E-2</v>
      </c>
      <c r="EE62" s="210">
        <f>SUMPRODUCT((($I62+COLUMN($N$3:$DU$3)-COLUMN($N$3))&gt;='KALENDER MINGGU'!$B$15)*(($I62+COLUMN($N$3:$DU$3)-COLUMN($N$3))&lt;='KALENDER MINGGU'!$C$15)*(N62:DU62))/F62*H62</f>
        <v>0</v>
      </c>
      <c r="EF62" s="210">
        <f>SUMPRODUCT((($I62+COLUMN($N$3:$DU$3)-COLUMN($N$3))&gt;='KALENDER MINGGU'!$B$16)*(($I62+COLUMN($N$3:$DU$3)-COLUMN($N$3))&lt;='KALENDER MINGGU'!$C$16)*(N62:DU62))/F62*H62</f>
        <v>0</v>
      </c>
      <c r="EG62" s="210">
        <f>SUMPRODUCT((($I62+COLUMN($N$3:$DU$3)-COLUMN($N$3))&gt;='KALENDER MINGGU'!$B$17)*(($I62+COLUMN($N$3:$DU$3)-COLUMN($N$3))&lt;='KALENDER MINGGU'!$C$17)*(N62:DU62))/F62*H62</f>
        <v>0</v>
      </c>
      <c r="EH62" s="210">
        <f>SUMPRODUCT((($I62+COLUMN($N$3:$DU$3)-COLUMN($N$3))&gt;='KALENDER MINGGU'!$B$18)*(($I62+COLUMN($N$3:$DU$3)-COLUMN($N$3))&lt;='KALENDER MINGGU'!$C$18)*(N62:DU62))/F62*H62</f>
        <v>0</v>
      </c>
      <c r="EI62" s="210">
        <f>SUMPRODUCT((($I62+COLUMN($N$3:$DU$3)-COLUMN($N$3))&gt;='KALENDER MINGGU'!$B$19)*(($I62+COLUMN($N$3:$DU$3)-COLUMN($N$3))&lt;='KALENDER MINGGU'!$C$19)*(N62:DU62))/F62*H62</f>
        <v>0</v>
      </c>
      <c r="EJ62" s="210">
        <f>SUMPRODUCT((($I62+COLUMN($N$3:$DU$3)-COLUMN($N$3))&gt;='KALENDER MINGGU'!$B$20)*(($I62+COLUMN($N$3:$DU$3)-COLUMN($N$3))&lt;='KALENDER MINGGU'!$C$20)*(N62:DU62))/F62*H62</f>
        <v>0</v>
      </c>
      <c r="EK62" s="210">
        <f>SUMPRODUCT((($I62+COLUMN($N$3:$DU$3)-COLUMN($N$3))&gt;='KALENDER MINGGU'!$B$21)*(($I62+COLUMN($N$3:$DU$3)-COLUMN($N$3))&lt;='KALENDER MINGGU'!$C$21)*(N62:DU62))/F62*H62</f>
        <v>0</v>
      </c>
    </row>
    <row r="63" spans="1:141" ht="15" customHeight="1" x14ac:dyDescent="0.2">
      <c r="A63" s="208">
        <v>60</v>
      </c>
      <c r="B63" s="208">
        <v>95</v>
      </c>
      <c r="C63" s="208" t="str">
        <f>IF(B63&lt;160,'BOBOT PEK'!$B$4,IF(B63&lt;207,'BOBOT PEK'!$B$160,'BOBOT PEK'!$B$207))</f>
        <v>Pekerjaan Gudang Umum</v>
      </c>
      <c r="D63" s="208" t="s">
        <v>163</v>
      </c>
      <c r="E63" s="208" t="str">
        <f>'BOBOT PEK'!C95</f>
        <v>Penggantian keramik teras</v>
      </c>
      <c r="F63" s="209">
        <f>IF(OR('BOBOT PEK'!E95="",'BOBOT PEK'!E95=0),1,'BOBOT PEK'!E95)</f>
        <v>12</v>
      </c>
      <c r="G63" s="208" t="str">
        <f>IF('BOBOT PEK'!F95="","ls",'BOBOT PEK'!F95)</f>
        <v>m²</v>
      </c>
      <c r="H63" s="210">
        <f>'BOBOT PEK'!J95</f>
        <v>6.1400991111363809E-2</v>
      </c>
      <c r="I63" s="211">
        <f>'KALENDER MINGGU'!$B$3</f>
        <v>46226</v>
      </c>
      <c r="J63" s="209">
        <f t="shared" si="4"/>
        <v>12</v>
      </c>
      <c r="K63" s="209">
        <f t="shared" si="5"/>
        <v>0</v>
      </c>
      <c r="L63" s="212">
        <f t="shared" si="6"/>
        <v>1</v>
      </c>
      <c r="M63" s="208" t="str">
        <f t="shared" si="7"/>
        <v>OK</v>
      </c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3"/>
      <c r="AB63" s="213"/>
      <c r="AC63" s="213"/>
      <c r="AD63" s="213"/>
      <c r="AE63" s="213"/>
      <c r="AF63" s="213"/>
      <c r="AG63" s="213"/>
      <c r="AH63" s="213"/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  <c r="BC63" s="213"/>
      <c r="BD63" s="213"/>
      <c r="BE63" s="213"/>
      <c r="BF63" s="213"/>
      <c r="BG63" s="213"/>
      <c r="BH63" s="213"/>
      <c r="BI63" s="213"/>
      <c r="BJ63" s="213"/>
      <c r="BK63" s="213"/>
      <c r="BL63" s="213"/>
      <c r="BM63" s="213"/>
      <c r="BN63" s="213"/>
      <c r="BO63" s="213"/>
      <c r="BP63" s="213"/>
      <c r="BQ63" s="213"/>
      <c r="BR63" s="213"/>
      <c r="BS63" s="213">
        <v>12</v>
      </c>
      <c r="BT63" s="213"/>
      <c r="BU63" s="213"/>
      <c r="BV63" s="213"/>
      <c r="BW63" s="213"/>
      <c r="BX63" s="213"/>
      <c r="BY63" s="213"/>
      <c r="BZ63" s="213"/>
      <c r="CA63" s="213"/>
      <c r="CB63" s="213"/>
      <c r="CC63" s="213"/>
      <c r="CD63" s="213"/>
      <c r="CE63" s="213"/>
      <c r="CF63" s="213"/>
      <c r="CG63" s="213"/>
      <c r="CH63" s="213"/>
      <c r="CI63" s="213"/>
      <c r="CJ63" s="213"/>
      <c r="CK63" s="213"/>
      <c r="CL63" s="213"/>
      <c r="CM63" s="213"/>
      <c r="CN63" s="213"/>
      <c r="CO63" s="213"/>
      <c r="CP63" s="213"/>
      <c r="CQ63" s="213"/>
      <c r="CR63" s="213"/>
      <c r="CS63" s="213"/>
      <c r="CT63" s="213"/>
      <c r="CU63" s="213"/>
      <c r="CV63" s="213"/>
      <c r="CW63" s="213"/>
      <c r="CX63" s="213"/>
      <c r="CY63" s="213"/>
      <c r="CZ63" s="213"/>
      <c r="DA63" s="213"/>
      <c r="DB63" s="213"/>
      <c r="DC63" s="213"/>
      <c r="DD63" s="213"/>
      <c r="DE63" s="213"/>
      <c r="DF63" s="213"/>
      <c r="DG63" s="213"/>
      <c r="DH63" s="213"/>
      <c r="DI63" s="213"/>
      <c r="DJ63" s="213"/>
      <c r="DK63" s="213"/>
      <c r="DL63" s="213"/>
      <c r="DM63" s="213"/>
      <c r="DN63" s="213"/>
      <c r="DO63" s="213"/>
      <c r="DP63" s="213"/>
      <c r="DQ63" s="213"/>
      <c r="DR63" s="213"/>
      <c r="DS63" s="213"/>
      <c r="DT63" s="213"/>
      <c r="DU63" s="213"/>
      <c r="DV63" s="210">
        <f>SUMPRODUCT((($I63+COLUMN($N$3:$DU$3)-COLUMN($N$3))&gt;='KALENDER MINGGU'!$B$6)*(($I63+COLUMN($N$3:$DU$3)-COLUMN($N$3))&lt;='KALENDER MINGGU'!$C$6)*(N63:DU63))/F63*H63</f>
        <v>0</v>
      </c>
      <c r="DW63" s="210">
        <f>SUMPRODUCT((($I63+COLUMN($N$3:$DU$3)-COLUMN($N$3))&gt;='KALENDER MINGGU'!$B$7)*(($I63+COLUMN($N$3:$DU$3)-COLUMN($N$3))&lt;='KALENDER MINGGU'!$C$7)*(N63:DU63))/F63*H63</f>
        <v>0</v>
      </c>
      <c r="DX63" s="210">
        <f>SUMPRODUCT((($I63+COLUMN($N$3:$DU$3)-COLUMN($N$3))&gt;='KALENDER MINGGU'!$B$8)*(($I63+COLUMN($N$3:$DU$3)-COLUMN($N$3))&lt;='KALENDER MINGGU'!$C$8)*(N63:DU63))/F63*H63</f>
        <v>0</v>
      </c>
      <c r="DY63" s="210">
        <f>SUMPRODUCT((($I63+COLUMN($N$3:$DU$3)-COLUMN($N$3))&gt;='KALENDER MINGGU'!$B$9)*(($I63+COLUMN($N$3:$DU$3)-COLUMN($N$3))&lt;='KALENDER MINGGU'!$C$9)*(N63:DU63))/F63*H63</f>
        <v>0</v>
      </c>
      <c r="DZ63" s="210">
        <f>SUMPRODUCT((($I63+COLUMN($N$3:$DU$3)-COLUMN($N$3))&gt;='KALENDER MINGGU'!$B$10)*(($I63+COLUMN($N$3:$DU$3)-COLUMN($N$3))&lt;='KALENDER MINGGU'!$C$10)*(N63:DU63))/F63*H63</f>
        <v>0</v>
      </c>
      <c r="EA63" s="210">
        <f>SUMPRODUCT((($I63+COLUMN($N$3:$DU$3)-COLUMN($N$3))&gt;='KALENDER MINGGU'!$B$11)*(($I63+COLUMN($N$3:$DU$3)-COLUMN($N$3))&lt;='KALENDER MINGGU'!$C$11)*(N63:DU63))/F63*H63</f>
        <v>0</v>
      </c>
      <c r="EB63" s="210">
        <f>SUMPRODUCT((($I63+COLUMN($N$3:$DU$3)-COLUMN($N$3))&gt;='KALENDER MINGGU'!$B$12)*(($I63+COLUMN($N$3:$DU$3)-COLUMN($N$3))&lt;='KALENDER MINGGU'!$C$12)*(N63:DU63))/F63*H63</f>
        <v>0</v>
      </c>
      <c r="EC63" s="210">
        <f>SUMPRODUCT((($I63+COLUMN($N$3:$DU$3)-COLUMN($N$3))&gt;='KALENDER MINGGU'!$B$13)*(($I63+COLUMN($N$3:$DU$3)-COLUMN($N$3))&lt;='KALENDER MINGGU'!$C$13)*(N63:DU63))/F63*H63</f>
        <v>0</v>
      </c>
      <c r="ED63" s="210">
        <f>SUMPRODUCT((($I63+COLUMN($N$3:$DU$3)-COLUMN($N$3))&gt;='KALENDER MINGGU'!$B$14)*(($I63+COLUMN($N$3:$DU$3)-COLUMN($N$3))&lt;='KALENDER MINGGU'!$C$14)*(N63:DU63))/F63*H63</f>
        <v>6.1400991111363809E-2</v>
      </c>
      <c r="EE63" s="210">
        <f>SUMPRODUCT((($I63+COLUMN($N$3:$DU$3)-COLUMN($N$3))&gt;='KALENDER MINGGU'!$B$15)*(($I63+COLUMN($N$3:$DU$3)-COLUMN($N$3))&lt;='KALENDER MINGGU'!$C$15)*(N63:DU63))/F63*H63</f>
        <v>0</v>
      </c>
      <c r="EF63" s="210">
        <f>SUMPRODUCT((($I63+COLUMN($N$3:$DU$3)-COLUMN($N$3))&gt;='KALENDER MINGGU'!$B$16)*(($I63+COLUMN($N$3:$DU$3)-COLUMN($N$3))&lt;='KALENDER MINGGU'!$C$16)*(N63:DU63))/F63*H63</f>
        <v>0</v>
      </c>
      <c r="EG63" s="210">
        <f>SUMPRODUCT((($I63+COLUMN($N$3:$DU$3)-COLUMN($N$3))&gt;='KALENDER MINGGU'!$B$17)*(($I63+COLUMN($N$3:$DU$3)-COLUMN($N$3))&lt;='KALENDER MINGGU'!$C$17)*(N63:DU63))/F63*H63</f>
        <v>0</v>
      </c>
      <c r="EH63" s="210">
        <f>SUMPRODUCT((($I63+COLUMN($N$3:$DU$3)-COLUMN($N$3))&gt;='KALENDER MINGGU'!$B$18)*(($I63+COLUMN($N$3:$DU$3)-COLUMN($N$3))&lt;='KALENDER MINGGU'!$C$18)*(N63:DU63))/F63*H63</f>
        <v>0</v>
      </c>
      <c r="EI63" s="210">
        <f>SUMPRODUCT((($I63+COLUMN($N$3:$DU$3)-COLUMN($N$3))&gt;='KALENDER MINGGU'!$B$19)*(($I63+COLUMN($N$3:$DU$3)-COLUMN($N$3))&lt;='KALENDER MINGGU'!$C$19)*(N63:DU63))/F63*H63</f>
        <v>0</v>
      </c>
      <c r="EJ63" s="210">
        <f>SUMPRODUCT((($I63+COLUMN($N$3:$DU$3)-COLUMN($N$3))&gt;='KALENDER MINGGU'!$B$20)*(($I63+COLUMN($N$3:$DU$3)-COLUMN($N$3))&lt;='KALENDER MINGGU'!$C$20)*(N63:DU63))/F63*H63</f>
        <v>0</v>
      </c>
      <c r="EK63" s="210">
        <f>SUMPRODUCT((($I63+COLUMN($N$3:$DU$3)-COLUMN($N$3))&gt;='KALENDER MINGGU'!$B$21)*(($I63+COLUMN($N$3:$DU$3)-COLUMN($N$3))&lt;='KALENDER MINGGU'!$C$21)*(N63:DU63))/F63*H63</f>
        <v>0</v>
      </c>
    </row>
    <row r="64" spans="1:141" ht="15" customHeight="1" x14ac:dyDescent="0.2">
      <c r="A64" s="208">
        <v>61</v>
      </c>
      <c r="B64" s="208">
        <v>96</v>
      </c>
      <c r="C64" s="208" t="str">
        <f>IF(B64&lt;160,'BOBOT PEK'!$B$4,IF(B64&lt;207,'BOBOT PEK'!$B$160,'BOBOT PEK'!$B$207))</f>
        <v>Pekerjaan Gudang Umum</v>
      </c>
      <c r="D64" s="208" t="s">
        <v>163</v>
      </c>
      <c r="E64" s="208" t="str">
        <f>'BOBOT PEK'!C96</f>
        <v>Pembuatan tempat wudhu</v>
      </c>
      <c r="F64" s="209">
        <f>IF(OR('BOBOT PEK'!E96="",'BOBOT PEK'!E96=0),1,'BOBOT PEK'!E96)</f>
        <v>6</v>
      </c>
      <c r="G64" s="208" t="str">
        <f>IF('BOBOT PEK'!F96="","ls",'BOBOT PEK'!F96)</f>
        <v>m2</v>
      </c>
      <c r="H64" s="210">
        <f>'BOBOT PEK'!J96</f>
        <v>6.907611500028428E-2</v>
      </c>
      <c r="I64" s="211">
        <f>'KALENDER MINGGU'!$B$3</f>
        <v>46226</v>
      </c>
      <c r="J64" s="209">
        <f t="shared" si="4"/>
        <v>6</v>
      </c>
      <c r="K64" s="209">
        <f t="shared" si="5"/>
        <v>0</v>
      </c>
      <c r="L64" s="212">
        <f t="shared" si="6"/>
        <v>1</v>
      </c>
      <c r="M64" s="208" t="str">
        <f t="shared" si="7"/>
        <v>OK</v>
      </c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  <c r="AE64" s="213"/>
      <c r="AF64" s="213"/>
      <c r="AG64" s="213"/>
      <c r="AH64" s="213"/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  <c r="BC64" s="213"/>
      <c r="BD64" s="213"/>
      <c r="BE64" s="213"/>
      <c r="BF64" s="213"/>
      <c r="BG64" s="213"/>
      <c r="BH64" s="213"/>
      <c r="BI64" s="213"/>
      <c r="BJ64" s="213"/>
      <c r="BK64" s="213"/>
      <c r="BL64" s="213"/>
      <c r="BM64" s="213"/>
      <c r="BN64" s="213"/>
      <c r="BO64" s="213"/>
      <c r="BP64" s="213"/>
      <c r="BQ64" s="213"/>
      <c r="BR64" s="213"/>
      <c r="BS64" s="213">
        <v>6</v>
      </c>
      <c r="BT64" s="213"/>
      <c r="BU64" s="213"/>
      <c r="BV64" s="213"/>
      <c r="BW64" s="213"/>
      <c r="BX64" s="213"/>
      <c r="BY64" s="213"/>
      <c r="BZ64" s="213"/>
      <c r="CA64" s="213"/>
      <c r="CB64" s="213"/>
      <c r="CC64" s="213"/>
      <c r="CD64" s="213"/>
      <c r="CE64" s="213"/>
      <c r="CF64" s="213"/>
      <c r="CG64" s="213"/>
      <c r="CH64" s="213"/>
      <c r="CI64" s="213"/>
      <c r="CJ64" s="213"/>
      <c r="CK64" s="213"/>
      <c r="CL64" s="213"/>
      <c r="CM64" s="213"/>
      <c r="CN64" s="213"/>
      <c r="CO64" s="213"/>
      <c r="CP64" s="213"/>
      <c r="CQ64" s="213"/>
      <c r="CR64" s="213"/>
      <c r="CS64" s="213"/>
      <c r="CT64" s="213"/>
      <c r="CU64" s="213"/>
      <c r="CV64" s="213"/>
      <c r="CW64" s="213"/>
      <c r="CX64" s="213"/>
      <c r="CY64" s="213"/>
      <c r="CZ64" s="213"/>
      <c r="DA64" s="213"/>
      <c r="DB64" s="213"/>
      <c r="DC64" s="213"/>
      <c r="DD64" s="213"/>
      <c r="DE64" s="213"/>
      <c r="DF64" s="213"/>
      <c r="DG64" s="213"/>
      <c r="DH64" s="213"/>
      <c r="DI64" s="213"/>
      <c r="DJ64" s="213"/>
      <c r="DK64" s="213"/>
      <c r="DL64" s="213"/>
      <c r="DM64" s="213"/>
      <c r="DN64" s="213"/>
      <c r="DO64" s="213"/>
      <c r="DP64" s="213"/>
      <c r="DQ64" s="213"/>
      <c r="DR64" s="213"/>
      <c r="DS64" s="213"/>
      <c r="DT64" s="213"/>
      <c r="DU64" s="213"/>
      <c r="DV64" s="210">
        <f>SUMPRODUCT((($I64+COLUMN($N$3:$DU$3)-COLUMN($N$3))&gt;='KALENDER MINGGU'!$B$6)*(($I64+COLUMN($N$3:$DU$3)-COLUMN($N$3))&lt;='KALENDER MINGGU'!$C$6)*(N64:DU64))/F64*H64</f>
        <v>0</v>
      </c>
      <c r="DW64" s="210">
        <f>SUMPRODUCT((($I64+COLUMN($N$3:$DU$3)-COLUMN($N$3))&gt;='KALENDER MINGGU'!$B$7)*(($I64+COLUMN($N$3:$DU$3)-COLUMN($N$3))&lt;='KALENDER MINGGU'!$C$7)*(N64:DU64))/F64*H64</f>
        <v>0</v>
      </c>
      <c r="DX64" s="210">
        <f>SUMPRODUCT((($I64+COLUMN($N$3:$DU$3)-COLUMN($N$3))&gt;='KALENDER MINGGU'!$B$8)*(($I64+COLUMN($N$3:$DU$3)-COLUMN($N$3))&lt;='KALENDER MINGGU'!$C$8)*(N64:DU64))/F64*H64</f>
        <v>0</v>
      </c>
      <c r="DY64" s="210">
        <f>SUMPRODUCT((($I64+COLUMN($N$3:$DU$3)-COLUMN($N$3))&gt;='KALENDER MINGGU'!$B$9)*(($I64+COLUMN($N$3:$DU$3)-COLUMN($N$3))&lt;='KALENDER MINGGU'!$C$9)*(N64:DU64))/F64*H64</f>
        <v>0</v>
      </c>
      <c r="DZ64" s="210">
        <f>SUMPRODUCT((($I64+COLUMN($N$3:$DU$3)-COLUMN($N$3))&gt;='KALENDER MINGGU'!$B$10)*(($I64+COLUMN($N$3:$DU$3)-COLUMN($N$3))&lt;='KALENDER MINGGU'!$C$10)*(N64:DU64))/F64*H64</f>
        <v>0</v>
      </c>
      <c r="EA64" s="210">
        <f>SUMPRODUCT((($I64+COLUMN($N$3:$DU$3)-COLUMN($N$3))&gt;='KALENDER MINGGU'!$B$11)*(($I64+COLUMN($N$3:$DU$3)-COLUMN($N$3))&lt;='KALENDER MINGGU'!$C$11)*(N64:DU64))/F64*H64</f>
        <v>0</v>
      </c>
      <c r="EB64" s="210">
        <f>SUMPRODUCT((($I64+COLUMN($N$3:$DU$3)-COLUMN($N$3))&gt;='KALENDER MINGGU'!$B$12)*(($I64+COLUMN($N$3:$DU$3)-COLUMN($N$3))&lt;='KALENDER MINGGU'!$C$12)*(N64:DU64))/F64*H64</f>
        <v>0</v>
      </c>
      <c r="EC64" s="210">
        <f>SUMPRODUCT((($I64+COLUMN($N$3:$DU$3)-COLUMN($N$3))&gt;='KALENDER MINGGU'!$B$13)*(($I64+COLUMN($N$3:$DU$3)-COLUMN($N$3))&lt;='KALENDER MINGGU'!$C$13)*(N64:DU64))/F64*H64</f>
        <v>0</v>
      </c>
      <c r="ED64" s="210">
        <f>SUMPRODUCT((($I64+COLUMN($N$3:$DU$3)-COLUMN($N$3))&gt;='KALENDER MINGGU'!$B$14)*(($I64+COLUMN($N$3:$DU$3)-COLUMN($N$3))&lt;='KALENDER MINGGU'!$C$14)*(N64:DU64))/F64*H64</f>
        <v>6.907611500028428E-2</v>
      </c>
      <c r="EE64" s="210">
        <f>SUMPRODUCT((($I64+COLUMN($N$3:$DU$3)-COLUMN($N$3))&gt;='KALENDER MINGGU'!$B$15)*(($I64+COLUMN($N$3:$DU$3)-COLUMN($N$3))&lt;='KALENDER MINGGU'!$C$15)*(N64:DU64))/F64*H64</f>
        <v>0</v>
      </c>
      <c r="EF64" s="210">
        <f>SUMPRODUCT((($I64+COLUMN($N$3:$DU$3)-COLUMN($N$3))&gt;='KALENDER MINGGU'!$B$16)*(($I64+COLUMN($N$3:$DU$3)-COLUMN($N$3))&lt;='KALENDER MINGGU'!$C$16)*(N64:DU64))/F64*H64</f>
        <v>0</v>
      </c>
      <c r="EG64" s="210">
        <f>SUMPRODUCT((($I64+COLUMN($N$3:$DU$3)-COLUMN($N$3))&gt;='KALENDER MINGGU'!$B$17)*(($I64+COLUMN($N$3:$DU$3)-COLUMN($N$3))&lt;='KALENDER MINGGU'!$C$17)*(N64:DU64))/F64*H64</f>
        <v>0</v>
      </c>
      <c r="EH64" s="210">
        <f>SUMPRODUCT((($I64+COLUMN($N$3:$DU$3)-COLUMN($N$3))&gt;='KALENDER MINGGU'!$B$18)*(($I64+COLUMN($N$3:$DU$3)-COLUMN($N$3))&lt;='KALENDER MINGGU'!$C$18)*(N64:DU64))/F64*H64</f>
        <v>0</v>
      </c>
      <c r="EI64" s="210">
        <f>SUMPRODUCT((($I64+COLUMN($N$3:$DU$3)-COLUMN($N$3))&gt;='KALENDER MINGGU'!$B$19)*(($I64+COLUMN($N$3:$DU$3)-COLUMN($N$3))&lt;='KALENDER MINGGU'!$C$19)*(N64:DU64))/F64*H64</f>
        <v>0</v>
      </c>
      <c r="EJ64" s="210">
        <f>SUMPRODUCT((($I64+COLUMN($N$3:$DU$3)-COLUMN($N$3))&gt;='KALENDER MINGGU'!$B$20)*(($I64+COLUMN($N$3:$DU$3)-COLUMN($N$3))&lt;='KALENDER MINGGU'!$C$20)*(N64:DU64))/F64*H64</f>
        <v>0</v>
      </c>
      <c r="EK64" s="210">
        <f>SUMPRODUCT((($I64+COLUMN($N$3:$DU$3)-COLUMN($N$3))&gt;='KALENDER MINGGU'!$B$21)*(($I64+COLUMN($N$3:$DU$3)-COLUMN($N$3))&lt;='KALENDER MINGGU'!$C$21)*(N64:DU64))/F64*H64</f>
        <v>0</v>
      </c>
    </row>
    <row r="65" spans="1:141" ht="15" customHeight="1" x14ac:dyDescent="0.2">
      <c r="A65" s="208">
        <v>62</v>
      </c>
      <c r="B65" s="208">
        <v>97</v>
      </c>
      <c r="C65" s="208" t="str">
        <f>IF(B65&lt;160,'BOBOT PEK'!$B$4,IF(B65&lt;207,'BOBOT PEK'!$B$160,'BOBOT PEK'!$B$207))</f>
        <v>Pekerjaan Gudang Umum</v>
      </c>
      <c r="D65" s="208" t="s">
        <v>163</v>
      </c>
      <c r="E65" s="208" t="str">
        <f>'BOBOT PEK'!C97</f>
        <v>Pembuatan instalasi wastafel</v>
      </c>
      <c r="F65" s="209">
        <f>IF(OR('BOBOT PEK'!E97="",'BOBOT PEK'!E97=0),1,'BOBOT PEK'!E97)</f>
        <v>1</v>
      </c>
      <c r="G65" s="208" t="str">
        <f>IF('BOBOT PEK'!F97="","ls",'BOBOT PEK'!F97)</f>
        <v>ls</v>
      </c>
      <c r="H65" s="210">
        <f>'BOBOT PEK'!J97</f>
        <v>5.116749259280318E-3</v>
      </c>
      <c r="I65" s="211">
        <f>'KALENDER MINGGU'!$B$3</f>
        <v>46226</v>
      </c>
      <c r="J65" s="209">
        <f t="shared" si="4"/>
        <v>0</v>
      </c>
      <c r="K65" s="209">
        <f t="shared" si="5"/>
        <v>1</v>
      </c>
      <c r="L65" s="212">
        <f t="shared" si="6"/>
        <v>0</v>
      </c>
      <c r="M65" s="208" t="str">
        <f t="shared" si="7"/>
        <v>OK</v>
      </c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213"/>
      <c r="AE65" s="213"/>
      <c r="AF65" s="213"/>
      <c r="AG65" s="213"/>
      <c r="AH65" s="213"/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  <c r="BC65" s="213"/>
      <c r="BD65" s="213"/>
      <c r="BE65" s="213"/>
      <c r="BF65" s="213"/>
      <c r="BG65" s="213"/>
      <c r="BH65" s="213"/>
      <c r="BI65" s="213"/>
      <c r="BJ65" s="213"/>
      <c r="BK65" s="213"/>
      <c r="BL65" s="213"/>
      <c r="BM65" s="213"/>
      <c r="BN65" s="213"/>
      <c r="BO65" s="213"/>
      <c r="BP65" s="213"/>
      <c r="BQ65" s="213"/>
      <c r="BR65" s="213"/>
      <c r="BS65" s="213"/>
      <c r="BT65" s="213"/>
      <c r="BU65" s="213"/>
      <c r="BV65" s="213"/>
      <c r="BW65" s="213"/>
      <c r="BX65" s="213"/>
      <c r="BY65" s="213"/>
      <c r="BZ65" s="213"/>
      <c r="CA65" s="213"/>
      <c r="CB65" s="213"/>
      <c r="CC65" s="213"/>
      <c r="CD65" s="213"/>
      <c r="CE65" s="213"/>
      <c r="CF65" s="213"/>
      <c r="CG65" s="213"/>
      <c r="CH65" s="213"/>
      <c r="CI65" s="213"/>
      <c r="CJ65" s="213"/>
      <c r="CK65" s="213"/>
      <c r="CL65" s="213"/>
      <c r="CM65" s="213"/>
      <c r="CN65" s="213"/>
      <c r="CO65" s="213"/>
      <c r="CP65" s="213"/>
      <c r="CQ65" s="213"/>
      <c r="CR65" s="213"/>
      <c r="CS65" s="213"/>
      <c r="CT65" s="213"/>
      <c r="CU65" s="213"/>
      <c r="CV65" s="213"/>
      <c r="CW65" s="213"/>
      <c r="CX65" s="213"/>
      <c r="CY65" s="213"/>
      <c r="CZ65" s="213"/>
      <c r="DA65" s="213"/>
      <c r="DB65" s="213"/>
      <c r="DC65" s="213"/>
      <c r="DD65" s="213"/>
      <c r="DE65" s="213"/>
      <c r="DF65" s="213"/>
      <c r="DG65" s="213"/>
      <c r="DH65" s="213"/>
      <c r="DI65" s="213"/>
      <c r="DJ65" s="213"/>
      <c r="DK65" s="213"/>
      <c r="DL65" s="213"/>
      <c r="DM65" s="213"/>
      <c r="DN65" s="213"/>
      <c r="DO65" s="213"/>
      <c r="DP65" s="213"/>
      <c r="DQ65" s="213"/>
      <c r="DR65" s="213"/>
      <c r="DS65" s="213"/>
      <c r="DT65" s="213"/>
      <c r="DU65" s="213"/>
      <c r="DV65" s="210">
        <f>SUMPRODUCT((($I65+COLUMN($N$3:$DU$3)-COLUMN($N$3))&gt;='KALENDER MINGGU'!$B$6)*(($I65+COLUMN($N$3:$DU$3)-COLUMN($N$3))&lt;='KALENDER MINGGU'!$C$6)*(N65:DU65))/F65*H65</f>
        <v>0</v>
      </c>
      <c r="DW65" s="210">
        <f>SUMPRODUCT((($I65+COLUMN($N$3:$DU$3)-COLUMN($N$3))&gt;='KALENDER MINGGU'!$B$7)*(($I65+COLUMN($N$3:$DU$3)-COLUMN($N$3))&lt;='KALENDER MINGGU'!$C$7)*(N65:DU65))/F65*H65</f>
        <v>0</v>
      </c>
      <c r="DX65" s="210">
        <f>SUMPRODUCT((($I65+COLUMN($N$3:$DU$3)-COLUMN($N$3))&gt;='KALENDER MINGGU'!$B$8)*(($I65+COLUMN($N$3:$DU$3)-COLUMN($N$3))&lt;='KALENDER MINGGU'!$C$8)*(N65:DU65))/F65*H65</f>
        <v>0</v>
      </c>
      <c r="DY65" s="210">
        <f>SUMPRODUCT((($I65+COLUMN($N$3:$DU$3)-COLUMN($N$3))&gt;='KALENDER MINGGU'!$B$9)*(($I65+COLUMN($N$3:$DU$3)-COLUMN($N$3))&lt;='KALENDER MINGGU'!$C$9)*(N65:DU65))/F65*H65</f>
        <v>0</v>
      </c>
      <c r="DZ65" s="210">
        <f>SUMPRODUCT((($I65+COLUMN($N$3:$DU$3)-COLUMN($N$3))&gt;='KALENDER MINGGU'!$B$10)*(($I65+COLUMN($N$3:$DU$3)-COLUMN($N$3))&lt;='KALENDER MINGGU'!$C$10)*(N65:DU65))/F65*H65</f>
        <v>0</v>
      </c>
      <c r="EA65" s="210">
        <f>SUMPRODUCT((($I65+COLUMN($N$3:$DU$3)-COLUMN($N$3))&gt;='KALENDER MINGGU'!$B$11)*(($I65+COLUMN($N$3:$DU$3)-COLUMN($N$3))&lt;='KALENDER MINGGU'!$C$11)*(N65:DU65))/F65*H65</f>
        <v>0</v>
      </c>
      <c r="EB65" s="210">
        <f>SUMPRODUCT((($I65+COLUMN($N$3:$DU$3)-COLUMN($N$3))&gt;='KALENDER MINGGU'!$B$12)*(($I65+COLUMN($N$3:$DU$3)-COLUMN($N$3))&lt;='KALENDER MINGGU'!$C$12)*(N65:DU65))/F65*H65</f>
        <v>0</v>
      </c>
      <c r="EC65" s="210">
        <f>SUMPRODUCT((($I65+COLUMN($N$3:$DU$3)-COLUMN($N$3))&gt;='KALENDER MINGGU'!$B$13)*(($I65+COLUMN($N$3:$DU$3)-COLUMN($N$3))&lt;='KALENDER MINGGU'!$C$13)*(N65:DU65))/F65*H65</f>
        <v>0</v>
      </c>
      <c r="ED65" s="210">
        <f>SUMPRODUCT((($I65+COLUMN($N$3:$DU$3)-COLUMN($N$3))&gt;='KALENDER MINGGU'!$B$14)*(($I65+COLUMN($N$3:$DU$3)-COLUMN($N$3))&lt;='KALENDER MINGGU'!$C$14)*(N65:DU65))/F65*H65</f>
        <v>0</v>
      </c>
      <c r="EE65" s="210">
        <f>SUMPRODUCT((($I65+COLUMN($N$3:$DU$3)-COLUMN($N$3))&gt;='KALENDER MINGGU'!$B$15)*(($I65+COLUMN($N$3:$DU$3)-COLUMN($N$3))&lt;='KALENDER MINGGU'!$C$15)*(N65:DU65))/F65*H65</f>
        <v>0</v>
      </c>
      <c r="EF65" s="210">
        <f>SUMPRODUCT((($I65+COLUMN($N$3:$DU$3)-COLUMN($N$3))&gt;='KALENDER MINGGU'!$B$16)*(($I65+COLUMN($N$3:$DU$3)-COLUMN($N$3))&lt;='KALENDER MINGGU'!$C$16)*(N65:DU65))/F65*H65</f>
        <v>0</v>
      </c>
      <c r="EG65" s="210">
        <f>SUMPRODUCT((($I65+COLUMN($N$3:$DU$3)-COLUMN($N$3))&gt;='KALENDER MINGGU'!$B$17)*(($I65+COLUMN($N$3:$DU$3)-COLUMN($N$3))&lt;='KALENDER MINGGU'!$C$17)*(N65:DU65))/F65*H65</f>
        <v>0</v>
      </c>
      <c r="EH65" s="210">
        <f>SUMPRODUCT((($I65+COLUMN($N$3:$DU$3)-COLUMN($N$3))&gt;='KALENDER MINGGU'!$B$18)*(($I65+COLUMN($N$3:$DU$3)-COLUMN($N$3))&lt;='KALENDER MINGGU'!$C$18)*(N65:DU65))/F65*H65</f>
        <v>0</v>
      </c>
      <c r="EI65" s="210">
        <f>SUMPRODUCT((($I65+COLUMN($N$3:$DU$3)-COLUMN($N$3))&gt;='KALENDER MINGGU'!$B$19)*(($I65+COLUMN($N$3:$DU$3)-COLUMN($N$3))&lt;='KALENDER MINGGU'!$C$19)*(N65:DU65))/F65*H65</f>
        <v>0</v>
      </c>
      <c r="EJ65" s="210">
        <f>SUMPRODUCT((($I65+COLUMN($N$3:$DU$3)-COLUMN($N$3))&gt;='KALENDER MINGGU'!$B$20)*(($I65+COLUMN($N$3:$DU$3)-COLUMN($N$3))&lt;='KALENDER MINGGU'!$C$20)*(N65:DU65))/F65*H65</f>
        <v>0</v>
      </c>
      <c r="EK65" s="210">
        <f>SUMPRODUCT((($I65+COLUMN($N$3:$DU$3)-COLUMN($N$3))&gt;='KALENDER MINGGU'!$B$21)*(($I65+COLUMN($N$3:$DU$3)-COLUMN($N$3))&lt;='KALENDER MINGGU'!$C$21)*(N65:DU65))/F65*H65</f>
        <v>0</v>
      </c>
    </row>
    <row r="66" spans="1:141" ht="15" customHeight="1" x14ac:dyDescent="0.2">
      <c r="A66" s="208">
        <v>63</v>
      </c>
      <c r="B66" s="208">
        <v>98</v>
      </c>
      <c r="C66" s="208" t="str">
        <f>IF(B66&lt;160,'BOBOT PEK'!$B$4,IF(B66&lt;207,'BOBOT PEK'!$B$160,'BOBOT PEK'!$B$207))</f>
        <v>Pekerjaan Gudang Umum</v>
      </c>
      <c r="D66" s="208" t="s">
        <v>163</v>
      </c>
      <c r="E66" s="208" t="str">
        <f>'BOBOT PEK'!C98</f>
        <v>Pekerjaan lantai bengkel</v>
      </c>
      <c r="F66" s="209">
        <f>IF(OR('BOBOT PEK'!E98="",'BOBOT PEK'!E98=0),1,'BOBOT PEK'!E98)</f>
        <v>1</v>
      </c>
      <c r="G66" s="208" t="str">
        <f>IF('BOBOT PEK'!F98="","ls",'BOBOT PEK'!F98)</f>
        <v>ls</v>
      </c>
      <c r="H66" s="210">
        <f>'BOBOT PEK'!J98</f>
        <v>0</v>
      </c>
      <c r="I66" s="211">
        <f>'KALENDER MINGGU'!$B$3</f>
        <v>46226</v>
      </c>
      <c r="J66" s="209">
        <f t="shared" si="4"/>
        <v>0</v>
      </c>
      <c r="K66" s="209">
        <f t="shared" si="5"/>
        <v>1</v>
      </c>
      <c r="L66" s="212">
        <f t="shared" si="6"/>
        <v>0</v>
      </c>
      <c r="M66" s="208" t="str">
        <f t="shared" si="7"/>
        <v>OK</v>
      </c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3"/>
      <c r="AB66" s="213"/>
      <c r="AC66" s="213"/>
      <c r="AD66" s="213"/>
      <c r="AE66" s="213"/>
      <c r="AF66" s="213"/>
      <c r="AG66" s="213"/>
      <c r="AH66" s="213"/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  <c r="BC66" s="213"/>
      <c r="BD66" s="213"/>
      <c r="BE66" s="213"/>
      <c r="BF66" s="213"/>
      <c r="BG66" s="213"/>
      <c r="BH66" s="213"/>
      <c r="BI66" s="213"/>
      <c r="BJ66" s="213"/>
      <c r="BK66" s="213"/>
      <c r="BL66" s="213"/>
      <c r="BM66" s="213"/>
      <c r="BN66" s="213"/>
      <c r="BO66" s="213"/>
      <c r="BP66" s="213"/>
      <c r="BQ66" s="213"/>
      <c r="BR66" s="213"/>
      <c r="BS66" s="213"/>
      <c r="BT66" s="213"/>
      <c r="BU66" s="213"/>
      <c r="BV66" s="213"/>
      <c r="BW66" s="213"/>
      <c r="BX66" s="213"/>
      <c r="BY66" s="213"/>
      <c r="BZ66" s="213"/>
      <c r="CA66" s="213"/>
      <c r="CB66" s="213"/>
      <c r="CC66" s="213"/>
      <c r="CD66" s="213"/>
      <c r="CE66" s="213"/>
      <c r="CF66" s="213"/>
      <c r="CG66" s="213"/>
      <c r="CH66" s="213"/>
      <c r="CI66" s="213"/>
      <c r="CJ66" s="213"/>
      <c r="CK66" s="213"/>
      <c r="CL66" s="213"/>
      <c r="CM66" s="213"/>
      <c r="CN66" s="213"/>
      <c r="CO66" s="213"/>
      <c r="CP66" s="213"/>
      <c r="CQ66" s="213"/>
      <c r="CR66" s="213"/>
      <c r="CS66" s="213"/>
      <c r="CT66" s="213"/>
      <c r="CU66" s="213"/>
      <c r="CV66" s="213"/>
      <c r="CW66" s="213"/>
      <c r="CX66" s="213"/>
      <c r="CY66" s="213"/>
      <c r="CZ66" s="213"/>
      <c r="DA66" s="213"/>
      <c r="DB66" s="213"/>
      <c r="DC66" s="213"/>
      <c r="DD66" s="213"/>
      <c r="DE66" s="213"/>
      <c r="DF66" s="213"/>
      <c r="DG66" s="213"/>
      <c r="DH66" s="213"/>
      <c r="DI66" s="213"/>
      <c r="DJ66" s="213"/>
      <c r="DK66" s="213"/>
      <c r="DL66" s="213"/>
      <c r="DM66" s="213"/>
      <c r="DN66" s="213"/>
      <c r="DO66" s="213"/>
      <c r="DP66" s="213"/>
      <c r="DQ66" s="213"/>
      <c r="DR66" s="213"/>
      <c r="DS66" s="213"/>
      <c r="DT66" s="213"/>
      <c r="DU66" s="213"/>
      <c r="DV66" s="210">
        <f>SUMPRODUCT((($I66+COLUMN($N$3:$DU$3)-COLUMN($N$3))&gt;='KALENDER MINGGU'!$B$6)*(($I66+COLUMN($N$3:$DU$3)-COLUMN($N$3))&lt;='KALENDER MINGGU'!$C$6)*(N66:DU66))/F66*H66</f>
        <v>0</v>
      </c>
      <c r="DW66" s="210">
        <f>SUMPRODUCT((($I66+COLUMN($N$3:$DU$3)-COLUMN($N$3))&gt;='KALENDER MINGGU'!$B$7)*(($I66+COLUMN($N$3:$DU$3)-COLUMN($N$3))&lt;='KALENDER MINGGU'!$C$7)*(N66:DU66))/F66*H66</f>
        <v>0</v>
      </c>
      <c r="DX66" s="210">
        <f>SUMPRODUCT((($I66+COLUMN($N$3:$DU$3)-COLUMN($N$3))&gt;='KALENDER MINGGU'!$B$8)*(($I66+COLUMN($N$3:$DU$3)-COLUMN($N$3))&lt;='KALENDER MINGGU'!$C$8)*(N66:DU66))/F66*H66</f>
        <v>0</v>
      </c>
      <c r="DY66" s="210">
        <f>SUMPRODUCT((($I66+COLUMN($N$3:$DU$3)-COLUMN($N$3))&gt;='KALENDER MINGGU'!$B$9)*(($I66+COLUMN($N$3:$DU$3)-COLUMN($N$3))&lt;='KALENDER MINGGU'!$C$9)*(N66:DU66))/F66*H66</f>
        <v>0</v>
      </c>
      <c r="DZ66" s="210">
        <f>SUMPRODUCT((($I66+COLUMN($N$3:$DU$3)-COLUMN($N$3))&gt;='KALENDER MINGGU'!$B$10)*(($I66+COLUMN($N$3:$DU$3)-COLUMN($N$3))&lt;='KALENDER MINGGU'!$C$10)*(N66:DU66))/F66*H66</f>
        <v>0</v>
      </c>
      <c r="EA66" s="210">
        <f>SUMPRODUCT((($I66+COLUMN($N$3:$DU$3)-COLUMN($N$3))&gt;='KALENDER MINGGU'!$B$11)*(($I66+COLUMN($N$3:$DU$3)-COLUMN($N$3))&lt;='KALENDER MINGGU'!$C$11)*(N66:DU66))/F66*H66</f>
        <v>0</v>
      </c>
      <c r="EB66" s="210">
        <f>SUMPRODUCT((($I66+COLUMN($N$3:$DU$3)-COLUMN($N$3))&gt;='KALENDER MINGGU'!$B$12)*(($I66+COLUMN($N$3:$DU$3)-COLUMN($N$3))&lt;='KALENDER MINGGU'!$C$12)*(N66:DU66))/F66*H66</f>
        <v>0</v>
      </c>
      <c r="EC66" s="210">
        <f>SUMPRODUCT((($I66+COLUMN($N$3:$DU$3)-COLUMN($N$3))&gt;='KALENDER MINGGU'!$B$13)*(($I66+COLUMN($N$3:$DU$3)-COLUMN($N$3))&lt;='KALENDER MINGGU'!$C$13)*(N66:DU66))/F66*H66</f>
        <v>0</v>
      </c>
      <c r="ED66" s="210">
        <f>SUMPRODUCT((($I66+COLUMN($N$3:$DU$3)-COLUMN($N$3))&gt;='KALENDER MINGGU'!$B$14)*(($I66+COLUMN($N$3:$DU$3)-COLUMN($N$3))&lt;='KALENDER MINGGU'!$C$14)*(N66:DU66))/F66*H66</f>
        <v>0</v>
      </c>
      <c r="EE66" s="210">
        <f>SUMPRODUCT((($I66+COLUMN($N$3:$DU$3)-COLUMN($N$3))&gt;='KALENDER MINGGU'!$B$15)*(($I66+COLUMN($N$3:$DU$3)-COLUMN($N$3))&lt;='KALENDER MINGGU'!$C$15)*(N66:DU66))/F66*H66</f>
        <v>0</v>
      </c>
      <c r="EF66" s="210">
        <f>SUMPRODUCT((($I66+COLUMN($N$3:$DU$3)-COLUMN($N$3))&gt;='KALENDER MINGGU'!$B$16)*(($I66+COLUMN($N$3:$DU$3)-COLUMN($N$3))&lt;='KALENDER MINGGU'!$C$16)*(N66:DU66))/F66*H66</f>
        <v>0</v>
      </c>
      <c r="EG66" s="210">
        <f>SUMPRODUCT((($I66+COLUMN($N$3:$DU$3)-COLUMN($N$3))&gt;='KALENDER MINGGU'!$B$17)*(($I66+COLUMN($N$3:$DU$3)-COLUMN($N$3))&lt;='KALENDER MINGGU'!$C$17)*(N66:DU66))/F66*H66</f>
        <v>0</v>
      </c>
      <c r="EH66" s="210">
        <f>SUMPRODUCT((($I66+COLUMN($N$3:$DU$3)-COLUMN($N$3))&gt;='KALENDER MINGGU'!$B$18)*(($I66+COLUMN($N$3:$DU$3)-COLUMN($N$3))&lt;='KALENDER MINGGU'!$C$18)*(N66:DU66))/F66*H66</f>
        <v>0</v>
      </c>
      <c r="EI66" s="210">
        <f>SUMPRODUCT((($I66+COLUMN($N$3:$DU$3)-COLUMN($N$3))&gt;='KALENDER MINGGU'!$B$19)*(($I66+COLUMN($N$3:$DU$3)-COLUMN($N$3))&lt;='KALENDER MINGGU'!$C$19)*(N66:DU66))/F66*H66</f>
        <v>0</v>
      </c>
      <c r="EJ66" s="210">
        <f>SUMPRODUCT((($I66+COLUMN($N$3:$DU$3)-COLUMN($N$3))&gt;='KALENDER MINGGU'!$B$20)*(($I66+COLUMN($N$3:$DU$3)-COLUMN($N$3))&lt;='KALENDER MINGGU'!$C$20)*(N66:DU66))/F66*H66</f>
        <v>0</v>
      </c>
      <c r="EK66" s="210">
        <f>SUMPRODUCT((($I66+COLUMN($N$3:$DU$3)-COLUMN($N$3))&gt;='KALENDER MINGGU'!$B$21)*(($I66+COLUMN($N$3:$DU$3)-COLUMN($N$3))&lt;='KALENDER MINGGU'!$C$21)*(N66:DU66))/F66*H66</f>
        <v>0</v>
      </c>
    </row>
    <row r="67" spans="1:141" ht="15" customHeight="1" x14ac:dyDescent="0.2">
      <c r="A67" s="208">
        <v>64</v>
      </c>
      <c r="B67" s="208">
        <v>99</v>
      </c>
      <c r="C67" s="208" t="str">
        <f>IF(B67&lt;160,'BOBOT PEK'!$B$4,IF(B67&lt;207,'BOBOT PEK'!$B$160,'BOBOT PEK'!$B$207))</f>
        <v>Pekerjaan Gudang Umum</v>
      </c>
      <c r="D67" s="208" t="s">
        <v>163</v>
      </c>
      <c r="E67" s="208" t="str">
        <f>'BOBOT PEK'!C99</f>
        <v>Land clearing</v>
      </c>
      <c r="F67" s="209">
        <f>IF(OR('BOBOT PEK'!E99="",'BOBOT PEK'!E99=0),1,'BOBOT PEK'!E99)</f>
        <v>480</v>
      </c>
      <c r="G67" s="208" t="str">
        <f>IF('BOBOT PEK'!F99="","ls",'BOBOT PEK'!F99)</f>
        <v>m2</v>
      </c>
      <c r="H67" s="210">
        <f>'BOBOT PEK'!J99</f>
        <v>0.36840594666818283</v>
      </c>
      <c r="I67" s="211">
        <f>'KALENDER MINGGU'!$B$3</f>
        <v>46226</v>
      </c>
      <c r="J67" s="209">
        <f t="shared" si="4"/>
        <v>480</v>
      </c>
      <c r="K67" s="209">
        <f t="shared" si="5"/>
        <v>0</v>
      </c>
      <c r="L67" s="212">
        <f t="shared" si="6"/>
        <v>1</v>
      </c>
      <c r="M67" s="208" t="str">
        <f t="shared" si="7"/>
        <v>OK</v>
      </c>
      <c r="N67" s="213"/>
      <c r="O67" s="213">
        <v>100</v>
      </c>
      <c r="P67" s="213">
        <v>100</v>
      </c>
      <c r="Q67" s="213">
        <v>100</v>
      </c>
      <c r="R67" s="213">
        <v>100</v>
      </c>
      <c r="S67" s="213">
        <v>80</v>
      </c>
      <c r="T67" s="213"/>
      <c r="U67" s="213"/>
      <c r="V67" s="213"/>
      <c r="W67" s="213"/>
      <c r="X67" s="213"/>
      <c r="Y67" s="213"/>
      <c r="Z67" s="213"/>
      <c r="AA67" s="213"/>
      <c r="AB67" s="213"/>
      <c r="AC67" s="213"/>
      <c r="AD67" s="213"/>
      <c r="AE67" s="213"/>
      <c r="AF67" s="213"/>
      <c r="AG67" s="213"/>
      <c r="AH67" s="213"/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  <c r="BC67" s="213"/>
      <c r="BD67" s="213"/>
      <c r="BE67" s="213"/>
      <c r="BF67" s="213"/>
      <c r="BG67" s="213"/>
      <c r="BH67" s="213"/>
      <c r="BI67" s="213"/>
      <c r="BJ67" s="213"/>
      <c r="BK67" s="213"/>
      <c r="BL67" s="213"/>
      <c r="BM67" s="213"/>
      <c r="BN67" s="213"/>
      <c r="BO67" s="213"/>
      <c r="BP67" s="213"/>
      <c r="BQ67" s="213"/>
      <c r="BR67" s="213"/>
      <c r="BS67" s="213"/>
      <c r="BT67" s="213"/>
      <c r="BU67" s="213"/>
      <c r="BV67" s="213"/>
      <c r="BW67" s="213"/>
      <c r="BX67" s="213"/>
      <c r="BY67" s="213"/>
      <c r="BZ67" s="213"/>
      <c r="CA67" s="213"/>
      <c r="CB67" s="213"/>
      <c r="CC67" s="213"/>
      <c r="CD67" s="213"/>
      <c r="CE67" s="213"/>
      <c r="CF67" s="213"/>
      <c r="CG67" s="213"/>
      <c r="CH67" s="213"/>
      <c r="CI67" s="213"/>
      <c r="CJ67" s="213"/>
      <c r="CK67" s="213"/>
      <c r="CL67" s="213"/>
      <c r="CM67" s="213"/>
      <c r="CN67" s="213"/>
      <c r="CO67" s="213"/>
      <c r="CP67" s="213"/>
      <c r="CQ67" s="213"/>
      <c r="CR67" s="213"/>
      <c r="CS67" s="213"/>
      <c r="CT67" s="213"/>
      <c r="CU67" s="213"/>
      <c r="CV67" s="213"/>
      <c r="CW67" s="213"/>
      <c r="CX67" s="213"/>
      <c r="CY67" s="213"/>
      <c r="CZ67" s="213"/>
      <c r="DA67" s="213"/>
      <c r="DB67" s="213"/>
      <c r="DC67" s="213"/>
      <c r="DD67" s="213"/>
      <c r="DE67" s="213"/>
      <c r="DF67" s="213"/>
      <c r="DG67" s="213"/>
      <c r="DH67" s="213"/>
      <c r="DI67" s="213"/>
      <c r="DJ67" s="213"/>
      <c r="DK67" s="213"/>
      <c r="DL67" s="213"/>
      <c r="DM67" s="213"/>
      <c r="DN67" s="213"/>
      <c r="DO67" s="213"/>
      <c r="DP67" s="213"/>
      <c r="DQ67" s="213"/>
      <c r="DR67" s="213"/>
      <c r="DS67" s="213"/>
      <c r="DT67" s="213"/>
      <c r="DU67" s="213"/>
      <c r="DV67" s="210">
        <f>SUMPRODUCT((($I67+COLUMN($N$3:$DU$3)-COLUMN($N$3))&gt;='KALENDER MINGGU'!$B$6)*(($I67+COLUMN($N$3:$DU$3)-COLUMN($N$3))&lt;='KALENDER MINGGU'!$C$6)*(N67:DU67))/F67*H67</f>
        <v>0.36840594666818283</v>
      </c>
      <c r="DW67" s="210">
        <f>SUMPRODUCT((($I67+COLUMN($N$3:$DU$3)-COLUMN($N$3))&gt;='KALENDER MINGGU'!$B$7)*(($I67+COLUMN($N$3:$DU$3)-COLUMN($N$3))&lt;='KALENDER MINGGU'!$C$7)*(N67:DU67))/F67*H67</f>
        <v>0</v>
      </c>
      <c r="DX67" s="210">
        <f>SUMPRODUCT((($I67+COLUMN($N$3:$DU$3)-COLUMN($N$3))&gt;='KALENDER MINGGU'!$B$8)*(($I67+COLUMN($N$3:$DU$3)-COLUMN($N$3))&lt;='KALENDER MINGGU'!$C$8)*(N67:DU67))/F67*H67</f>
        <v>0</v>
      </c>
      <c r="DY67" s="210">
        <f>SUMPRODUCT((($I67+COLUMN($N$3:$DU$3)-COLUMN($N$3))&gt;='KALENDER MINGGU'!$B$9)*(($I67+COLUMN($N$3:$DU$3)-COLUMN($N$3))&lt;='KALENDER MINGGU'!$C$9)*(N67:DU67))/F67*H67</f>
        <v>0</v>
      </c>
      <c r="DZ67" s="210">
        <f>SUMPRODUCT((($I67+COLUMN($N$3:$DU$3)-COLUMN($N$3))&gt;='KALENDER MINGGU'!$B$10)*(($I67+COLUMN($N$3:$DU$3)-COLUMN($N$3))&lt;='KALENDER MINGGU'!$C$10)*(N67:DU67))/F67*H67</f>
        <v>0</v>
      </c>
      <c r="EA67" s="210">
        <f>SUMPRODUCT((($I67+COLUMN($N$3:$DU$3)-COLUMN($N$3))&gt;='KALENDER MINGGU'!$B$11)*(($I67+COLUMN($N$3:$DU$3)-COLUMN($N$3))&lt;='KALENDER MINGGU'!$C$11)*(N67:DU67))/F67*H67</f>
        <v>0</v>
      </c>
      <c r="EB67" s="210">
        <f>SUMPRODUCT((($I67+COLUMN($N$3:$DU$3)-COLUMN($N$3))&gt;='KALENDER MINGGU'!$B$12)*(($I67+COLUMN($N$3:$DU$3)-COLUMN($N$3))&lt;='KALENDER MINGGU'!$C$12)*(N67:DU67))/F67*H67</f>
        <v>0</v>
      </c>
      <c r="EC67" s="210">
        <f>SUMPRODUCT((($I67+COLUMN($N$3:$DU$3)-COLUMN($N$3))&gt;='KALENDER MINGGU'!$B$13)*(($I67+COLUMN($N$3:$DU$3)-COLUMN($N$3))&lt;='KALENDER MINGGU'!$C$13)*(N67:DU67))/F67*H67</f>
        <v>0</v>
      </c>
      <c r="ED67" s="210">
        <f>SUMPRODUCT((($I67+COLUMN($N$3:$DU$3)-COLUMN($N$3))&gt;='KALENDER MINGGU'!$B$14)*(($I67+COLUMN($N$3:$DU$3)-COLUMN($N$3))&lt;='KALENDER MINGGU'!$C$14)*(N67:DU67))/F67*H67</f>
        <v>0</v>
      </c>
      <c r="EE67" s="210">
        <f>SUMPRODUCT((($I67+COLUMN($N$3:$DU$3)-COLUMN($N$3))&gt;='KALENDER MINGGU'!$B$15)*(($I67+COLUMN($N$3:$DU$3)-COLUMN($N$3))&lt;='KALENDER MINGGU'!$C$15)*(N67:DU67))/F67*H67</f>
        <v>0</v>
      </c>
      <c r="EF67" s="210">
        <f>SUMPRODUCT((($I67+COLUMN($N$3:$DU$3)-COLUMN($N$3))&gt;='KALENDER MINGGU'!$B$16)*(($I67+COLUMN($N$3:$DU$3)-COLUMN($N$3))&lt;='KALENDER MINGGU'!$C$16)*(N67:DU67))/F67*H67</f>
        <v>0</v>
      </c>
      <c r="EG67" s="210">
        <f>SUMPRODUCT((($I67+COLUMN($N$3:$DU$3)-COLUMN($N$3))&gt;='KALENDER MINGGU'!$B$17)*(($I67+COLUMN($N$3:$DU$3)-COLUMN($N$3))&lt;='KALENDER MINGGU'!$C$17)*(N67:DU67))/F67*H67</f>
        <v>0</v>
      </c>
      <c r="EH67" s="210">
        <f>SUMPRODUCT((($I67+COLUMN($N$3:$DU$3)-COLUMN($N$3))&gt;='KALENDER MINGGU'!$B$18)*(($I67+COLUMN($N$3:$DU$3)-COLUMN($N$3))&lt;='KALENDER MINGGU'!$C$18)*(N67:DU67))/F67*H67</f>
        <v>0</v>
      </c>
      <c r="EI67" s="210">
        <f>SUMPRODUCT((($I67+COLUMN($N$3:$DU$3)-COLUMN($N$3))&gt;='KALENDER MINGGU'!$B$19)*(($I67+COLUMN($N$3:$DU$3)-COLUMN($N$3))&lt;='KALENDER MINGGU'!$C$19)*(N67:DU67))/F67*H67</f>
        <v>0</v>
      </c>
      <c r="EJ67" s="210">
        <f>SUMPRODUCT((($I67+COLUMN($N$3:$DU$3)-COLUMN($N$3))&gt;='KALENDER MINGGU'!$B$20)*(($I67+COLUMN($N$3:$DU$3)-COLUMN($N$3))&lt;='KALENDER MINGGU'!$C$20)*(N67:DU67))/F67*H67</f>
        <v>0</v>
      </c>
      <c r="EK67" s="210">
        <f>SUMPRODUCT((($I67+COLUMN($N$3:$DU$3)-COLUMN($N$3))&gt;='KALENDER MINGGU'!$B$21)*(($I67+COLUMN($N$3:$DU$3)-COLUMN($N$3))&lt;='KALENDER MINGGU'!$C$21)*(N67:DU67))/F67*H67</f>
        <v>0</v>
      </c>
    </row>
    <row r="68" spans="1:141" ht="15" customHeight="1" x14ac:dyDescent="0.2">
      <c r="A68" s="208">
        <v>65</v>
      </c>
      <c r="B68" s="208">
        <v>100</v>
      </c>
      <c r="C68" s="208" t="str">
        <f>IF(B68&lt;160,'BOBOT PEK'!$B$4,IF(B68&lt;207,'BOBOT PEK'!$B$160,'BOBOT PEK'!$B$207))</f>
        <v>Pekerjaan Gudang Umum</v>
      </c>
      <c r="D68" s="208" t="s">
        <v>163</v>
      </c>
      <c r="E68" s="208" t="str">
        <f>'BOBOT PEK'!C100</f>
        <v>Perataan dan pemadatan tanah taman belakang</v>
      </c>
      <c r="F68" s="209">
        <f>IF(OR('BOBOT PEK'!E100="",'BOBOT PEK'!E100=0),1,'BOBOT PEK'!E100)</f>
        <v>480</v>
      </c>
      <c r="G68" s="208" t="str">
        <f>IF('BOBOT PEK'!F100="","ls",'BOBOT PEK'!F100)</f>
        <v>m2</v>
      </c>
      <c r="H68" s="210">
        <f>'BOBOT PEK'!J100</f>
        <v>0.14736237866727314</v>
      </c>
      <c r="I68" s="211">
        <f>'KALENDER MINGGU'!$B$3</f>
        <v>46226</v>
      </c>
      <c r="J68" s="209">
        <f t="shared" ref="J68:J95" si="8">SUM(N68:DU68)</f>
        <v>480</v>
      </c>
      <c r="K68" s="209">
        <f t="shared" ref="K68:K95" si="9">MAX(F68-J68,0)</f>
        <v>0</v>
      </c>
      <c r="L68" s="212">
        <f t="shared" ref="L68:L95" si="10">MIN(J68/F68,1)</f>
        <v>1</v>
      </c>
      <c r="M68" s="208" t="str">
        <f t="shared" ref="M68:M95" si="11">IF(J68&gt;F68,"MELEBIHI VOLUME!","OK")</f>
        <v>OK</v>
      </c>
      <c r="N68" s="213"/>
      <c r="O68" s="213"/>
      <c r="P68" s="213"/>
      <c r="Q68" s="213"/>
      <c r="R68" s="213"/>
      <c r="S68" s="213"/>
      <c r="T68" s="213"/>
      <c r="U68" s="213"/>
      <c r="V68" s="213"/>
      <c r="W68" s="213">
        <v>100</v>
      </c>
      <c r="X68" s="213">
        <v>100</v>
      </c>
      <c r="Y68" s="213">
        <v>100</v>
      </c>
      <c r="Z68" s="213">
        <v>100</v>
      </c>
      <c r="AA68" s="213">
        <v>80</v>
      </c>
      <c r="AB68" s="213"/>
      <c r="AC68" s="213"/>
      <c r="AD68" s="213"/>
      <c r="AE68" s="213"/>
      <c r="AF68" s="213"/>
      <c r="AG68" s="213"/>
      <c r="AH68" s="213"/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  <c r="BC68" s="213"/>
      <c r="BD68" s="213"/>
      <c r="BE68" s="213"/>
      <c r="BF68" s="213"/>
      <c r="BG68" s="213"/>
      <c r="BH68" s="213"/>
      <c r="BI68" s="213"/>
      <c r="BJ68" s="213"/>
      <c r="BK68" s="213"/>
      <c r="BL68" s="213"/>
      <c r="BM68" s="213"/>
      <c r="BN68" s="213"/>
      <c r="BO68" s="213"/>
      <c r="BP68" s="213"/>
      <c r="BQ68" s="213"/>
      <c r="BR68" s="213"/>
      <c r="BS68" s="213"/>
      <c r="BT68" s="213"/>
      <c r="BU68" s="213"/>
      <c r="BV68" s="213"/>
      <c r="BW68" s="213"/>
      <c r="BX68" s="213"/>
      <c r="BY68" s="213"/>
      <c r="BZ68" s="213"/>
      <c r="CA68" s="213"/>
      <c r="CB68" s="213"/>
      <c r="CC68" s="213"/>
      <c r="CD68" s="213"/>
      <c r="CE68" s="213"/>
      <c r="CF68" s="213"/>
      <c r="CG68" s="213"/>
      <c r="CH68" s="213"/>
      <c r="CI68" s="213"/>
      <c r="CJ68" s="213"/>
      <c r="CK68" s="213"/>
      <c r="CL68" s="213"/>
      <c r="CM68" s="213"/>
      <c r="CN68" s="213"/>
      <c r="CO68" s="213"/>
      <c r="CP68" s="213"/>
      <c r="CQ68" s="213"/>
      <c r="CR68" s="213"/>
      <c r="CS68" s="213"/>
      <c r="CT68" s="213"/>
      <c r="CU68" s="213"/>
      <c r="CV68" s="213"/>
      <c r="CW68" s="213"/>
      <c r="CX68" s="213"/>
      <c r="CY68" s="213"/>
      <c r="CZ68" s="213"/>
      <c r="DA68" s="213"/>
      <c r="DB68" s="213"/>
      <c r="DC68" s="213"/>
      <c r="DD68" s="213"/>
      <c r="DE68" s="213"/>
      <c r="DF68" s="213"/>
      <c r="DG68" s="213"/>
      <c r="DH68" s="213"/>
      <c r="DI68" s="213"/>
      <c r="DJ68" s="213"/>
      <c r="DK68" s="213"/>
      <c r="DL68" s="213"/>
      <c r="DM68" s="213"/>
      <c r="DN68" s="213"/>
      <c r="DO68" s="213"/>
      <c r="DP68" s="213"/>
      <c r="DQ68" s="213"/>
      <c r="DR68" s="213"/>
      <c r="DS68" s="213"/>
      <c r="DT68" s="213"/>
      <c r="DU68" s="213"/>
      <c r="DV68" s="210">
        <f>SUMPRODUCT((($I68+COLUMN($N$3:$DU$3)-COLUMN($N$3))&gt;='KALENDER MINGGU'!$B$6)*(($I68+COLUMN($N$3:$DU$3)-COLUMN($N$3))&lt;='KALENDER MINGGU'!$C$6)*(N68:DU68))/F68*H68</f>
        <v>0</v>
      </c>
      <c r="DW68" s="210">
        <f>SUMPRODUCT((($I68+COLUMN($N$3:$DU$3)-COLUMN($N$3))&gt;='KALENDER MINGGU'!$B$7)*(($I68+COLUMN($N$3:$DU$3)-COLUMN($N$3))&lt;='KALENDER MINGGU'!$C$7)*(N68:DU68))/F68*H68</f>
        <v>0.14736237866727314</v>
      </c>
      <c r="DX68" s="210">
        <f>SUMPRODUCT((($I68+COLUMN($N$3:$DU$3)-COLUMN($N$3))&gt;='KALENDER MINGGU'!$B$8)*(($I68+COLUMN($N$3:$DU$3)-COLUMN($N$3))&lt;='KALENDER MINGGU'!$C$8)*(N68:DU68))/F68*H68</f>
        <v>0</v>
      </c>
      <c r="DY68" s="210">
        <f>SUMPRODUCT((($I68+COLUMN($N$3:$DU$3)-COLUMN($N$3))&gt;='KALENDER MINGGU'!$B$9)*(($I68+COLUMN($N$3:$DU$3)-COLUMN($N$3))&lt;='KALENDER MINGGU'!$C$9)*(N68:DU68))/F68*H68</f>
        <v>0</v>
      </c>
      <c r="DZ68" s="210">
        <f>SUMPRODUCT((($I68+COLUMN($N$3:$DU$3)-COLUMN($N$3))&gt;='KALENDER MINGGU'!$B$10)*(($I68+COLUMN($N$3:$DU$3)-COLUMN($N$3))&lt;='KALENDER MINGGU'!$C$10)*(N68:DU68))/F68*H68</f>
        <v>0</v>
      </c>
      <c r="EA68" s="210">
        <f>SUMPRODUCT((($I68+COLUMN($N$3:$DU$3)-COLUMN($N$3))&gt;='KALENDER MINGGU'!$B$11)*(($I68+COLUMN($N$3:$DU$3)-COLUMN($N$3))&lt;='KALENDER MINGGU'!$C$11)*(N68:DU68))/F68*H68</f>
        <v>0</v>
      </c>
      <c r="EB68" s="210">
        <f>SUMPRODUCT((($I68+COLUMN($N$3:$DU$3)-COLUMN($N$3))&gt;='KALENDER MINGGU'!$B$12)*(($I68+COLUMN($N$3:$DU$3)-COLUMN($N$3))&lt;='KALENDER MINGGU'!$C$12)*(N68:DU68))/F68*H68</f>
        <v>0</v>
      </c>
      <c r="EC68" s="210">
        <f>SUMPRODUCT((($I68+COLUMN($N$3:$DU$3)-COLUMN($N$3))&gt;='KALENDER MINGGU'!$B$13)*(($I68+COLUMN($N$3:$DU$3)-COLUMN($N$3))&lt;='KALENDER MINGGU'!$C$13)*(N68:DU68))/F68*H68</f>
        <v>0</v>
      </c>
      <c r="ED68" s="210">
        <f>SUMPRODUCT((($I68+COLUMN($N$3:$DU$3)-COLUMN($N$3))&gt;='KALENDER MINGGU'!$B$14)*(($I68+COLUMN($N$3:$DU$3)-COLUMN($N$3))&lt;='KALENDER MINGGU'!$C$14)*(N68:DU68))/F68*H68</f>
        <v>0</v>
      </c>
      <c r="EE68" s="210">
        <f>SUMPRODUCT((($I68+COLUMN($N$3:$DU$3)-COLUMN($N$3))&gt;='KALENDER MINGGU'!$B$15)*(($I68+COLUMN($N$3:$DU$3)-COLUMN($N$3))&lt;='KALENDER MINGGU'!$C$15)*(N68:DU68))/F68*H68</f>
        <v>0</v>
      </c>
      <c r="EF68" s="210">
        <f>SUMPRODUCT((($I68+COLUMN($N$3:$DU$3)-COLUMN($N$3))&gt;='KALENDER MINGGU'!$B$16)*(($I68+COLUMN($N$3:$DU$3)-COLUMN($N$3))&lt;='KALENDER MINGGU'!$C$16)*(N68:DU68))/F68*H68</f>
        <v>0</v>
      </c>
      <c r="EG68" s="210">
        <f>SUMPRODUCT((($I68+COLUMN($N$3:$DU$3)-COLUMN($N$3))&gt;='KALENDER MINGGU'!$B$17)*(($I68+COLUMN($N$3:$DU$3)-COLUMN($N$3))&lt;='KALENDER MINGGU'!$C$17)*(N68:DU68))/F68*H68</f>
        <v>0</v>
      </c>
      <c r="EH68" s="210">
        <f>SUMPRODUCT((($I68+COLUMN($N$3:$DU$3)-COLUMN($N$3))&gt;='KALENDER MINGGU'!$B$18)*(($I68+COLUMN($N$3:$DU$3)-COLUMN($N$3))&lt;='KALENDER MINGGU'!$C$18)*(N68:DU68))/F68*H68</f>
        <v>0</v>
      </c>
      <c r="EI68" s="210">
        <f>SUMPRODUCT((($I68+COLUMN($N$3:$DU$3)-COLUMN($N$3))&gt;='KALENDER MINGGU'!$B$19)*(($I68+COLUMN($N$3:$DU$3)-COLUMN($N$3))&lt;='KALENDER MINGGU'!$C$19)*(N68:DU68))/F68*H68</f>
        <v>0</v>
      </c>
      <c r="EJ68" s="210">
        <f>SUMPRODUCT((($I68+COLUMN($N$3:$DU$3)-COLUMN($N$3))&gt;='KALENDER MINGGU'!$B$20)*(($I68+COLUMN($N$3:$DU$3)-COLUMN($N$3))&lt;='KALENDER MINGGU'!$C$20)*(N68:DU68))/F68*H68</f>
        <v>0</v>
      </c>
      <c r="EK68" s="210">
        <f>SUMPRODUCT((($I68+COLUMN($N$3:$DU$3)-COLUMN($N$3))&gt;='KALENDER MINGGU'!$B$21)*(($I68+COLUMN($N$3:$DU$3)-COLUMN($N$3))&lt;='KALENDER MINGGU'!$C$21)*(N68:DU68))/F68*H68</f>
        <v>0</v>
      </c>
    </row>
    <row r="69" spans="1:141" ht="15" customHeight="1" x14ac:dyDescent="0.2">
      <c r="A69" s="208">
        <v>66</v>
      </c>
      <c r="B69" s="208">
        <v>101</v>
      </c>
      <c r="C69" s="208" t="str">
        <f>IF(B69&lt;160,'BOBOT PEK'!$B$4,IF(B69&lt;207,'BOBOT PEK'!$B$160,'BOBOT PEK'!$B$207))</f>
        <v>Pekerjaan Gudang Umum</v>
      </c>
      <c r="D69" s="208" t="s">
        <v>163</v>
      </c>
      <c r="E69" s="208" t="str">
        <f>'BOBOT PEK'!C101</f>
        <v xml:space="preserve">Finishing paving </v>
      </c>
      <c r="F69" s="209">
        <f>IF(OR('BOBOT PEK'!E101="",'BOBOT PEK'!E101=0),1,'BOBOT PEK'!E101)</f>
        <v>480</v>
      </c>
      <c r="G69" s="208" t="str">
        <f>IF('BOBOT PEK'!F101="","ls",'BOBOT PEK'!F101)</f>
        <v>m2</v>
      </c>
      <c r="H69" s="210">
        <f>'BOBOT PEK'!J101</f>
        <v>2.7016436089000075</v>
      </c>
      <c r="I69" s="211">
        <f>'KALENDER MINGGU'!$B$3</f>
        <v>46226</v>
      </c>
      <c r="J69" s="209">
        <f t="shared" si="8"/>
        <v>465</v>
      </c>
      <c r="K69" s="209">
        <f t="shared" si="9"/>
        <v>15</v>
      </c>
      <c r="L69" s="212">
        <f t="shared" si="10"/>
        <v>0.96875</v>
      </c>
      <c r="M69" s="208" t="str">
        <f t="shared" si="11"/>
        <v>OK</v>
      </c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3"/>
      <c r="AB69" s="213"/>
      <c r="AC69" s="213"/>
      <c r="AD69" s="213"/>
      <c r="AE69" s="213"/>
      <c r="AF69" s="213"/>
      <c r="AG69" s="213"/>
      <c r="AH69" s="213"/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>
        <f>50%*F69</f>
        <v>240</v>
      </c>
      <c r="AW69" s="213"/>
      <c r="AX69" s="213"/>
      <c r="AY69" s="213"/>
      <c r="AZ69" s="213"/>
      <c r="BA69" s="213">
        <v>20</v>
      </c>
      <c r="BB69" s="213">
        <v>30</v>
      </c>
      <c r="BC69" s="213">
        <v>40</v>
      </c>
      <c r="BD69" s="213">
        <v>40</v>
      </c>
      <c r="BE69" s="213">
        <v>40</v>
      </c>
      <c r="BF69" s="213">
        <v>40</v>
      </c>
      <c r="BG69" s="213">
        <v>15</v>
      </c>
      <c r="BH69" s="213"/>
      <c r="BI69" s="213"/>
      <c r="BJ69" s="213"/>
      <c r="BK69" s="213"/>
      <c r="BL69" s="213"/>
      <c r="BM69" s="213"/>
      <c r="BN69" s="213"/>
      <c r="BO69" s="213"/>
      <c r="BP69" s="213"/>
      <c r="BQ69" s="213"/>
      <c r="BR69" s="213"/>
      <c r="BS69" s="213"/>
      <c r="BT69" s="213"/>
      <c r="BU69" s="213"/>
      <c r="BV69" s="213"/>
      <c r="BW69" s="213"/>
      <c r="BX69" s="213"/>
      <c r="BY69" s="213"/>
      <c r="BZ69" s="213"/>
      <c r="CA69" s="213"/>
      <c r="CB69" s="213"/>
      <c r="CC69" s="213"/>
      <c r="CD69" s="213"/>
      <c r="CE69" s="213"/>
      <c r="CF69" s="213"/>
      <c r="CG69" s="213"/>
      <c r="CH69" s="213"/>
      <c r="CI69" s="213"/>
      <c r="CJ69" s="213"/>
      <c r="CK69" s="213"/>
      <c r="CL69" s="213"/>
      <c r="CM69" s="213"/>
      <c r="CN69" s="213"/>
      <c r="CO69" s="213"/>
      <c r="CP69" s="213"/>
      <c r="CQ69" s="213"/>
      <c r="CR69" s="213"/>
      <c r="CS69" s="213"/>
      <c r="CT69" s="213"/>
      <c r="CU69" s="213"/>
      <c r="CV69" s="213"/>
      <c r="CW69" s="213"/>
      <c r="CX69" s="213"/>
      <c r="CY69" s="213"/>
      <c r="CZ69" s="213"/>
      <c r="DA69" s="213"/>
      <c r="DB69" s="213"/>
      <c r="DC69" s="213"/>
      <c r="DD69" s="213"/>
      <c r="DE69" s="213"/>
      <c r="DF69" s="213"/>
      <c r="DG69" s="213"/>
      <c r="DH69" s="213"/>
      <c r="DI69" s="213"/>
      <c r="DJ69" s="213"/>
      <c r="DK69" s="213"/>
      <c r="DL69" s="213"/>
      <c r="DM69" s="213"/>
      <c r="DN69" s="213"/>
      <c r="DO69" s="213"/>
      <c r="DP69" s="213"/>
      <c r="DQ69" s="213"/>
      <c r="DR69" s="213"/>
      <c r="DS69" s="213"/>
      <c r="DT69" s="213"/>
      <c r="DU69" s="213"/>
      <c r="DV69" s="210">
        <f>SUMPRODUCT((($I69+COLUMN($N$3:$DU$3)-COLUMN($N$3))&gt;='KALENDER MINGGU'!$B$6)*(($I69+COLUMN($N$3:$DU$3)-COLUMN($N$3))&lt;='KALENDER MINGGU'!$C$6)*(N69:DU69))/F69*H69</f>
        <v>0</v>
      </c>
      <c r="DW69" s="210">
        <f>SUMPRODUCT((($I69+COLUMN($N$3:$DU$3)-COLUMN($N$3))&gt;='KALENDER MINGGU'!$B$7)*(($I69+COLUMN($N$3:$DU$3)-COLUMN($N$3))&lt;='KALENDER MINGGU'!$C$7)*(N69:DU69))/F69*H69</f>
        <v>0</v>
      </c>
      <c r="DX69" s="210">
        <f>SUMPRODUCT((($I69+COLUMN($N$3:$DU$3)-COLUMN($N$3))&gt;='KALENDER MINGGU'!$B$8)*(($I69+COLUMN($N$3:$DU$3)-COLUMN($N$3))&lt;='KALENDER MINGGU'!$C$8)*(N69:DU69))/F69*H69</f>
        <v>0</v>
      </c>
      <c r="DY69" s="210">
        <f>SUMPRODUCT((($I69+COLUMN($N$3:$DU$3)-COLUMN($N$3))&gt;='KALENDER MINGGU'!$B$9)*(($I69+COLUMN($N$3:$DU$3)-COLUMN($N$3))&lt;='KALENDER MINGGU'!$C$9)*(N69:DU69))/F69*H69</f>
        <v>0</v>
      </c>
      <c r="DZ69" s="210">
        <f>SUMPRODUCT((($I69+COLUMN($N$3:$DU$3)-COLUMN($N$3))&gt;='KALENDER MINGGU'!$B$10)*(($I69+COLUMN($N$3:$DU$3)-COLUMN($N$3))&lt;='KALENDER MINGGU'!$C$10)*(N69:DU69))/F69*H69</f>
        <v>1.3508218044500038</v>
      </c>
      <c r="EA69" s="210">
        <f>SUMPRODUCT((($I69+COLUMN($N$3:$DU$3)-COLUMN($N$3))&gt;='KALENDER MINGGU'!$B$11)*(($I69+COLUMN($N$3:$DU$3)-COLUMN($N$3))&lt;='KALENDER MINGGU'!$C$11)*(N69:DU69))/F69*H69</f>
        <v>0.50655817666875147</v>
      </c>
      <c r="EB69" s="210">
        <f>SUMPRODUCT((($I69+COLUMN($N$3:$DU$3)-COLUMN($N$3))&gt;='KALENDER MINGGU'!$B$12)*(($I69+COLUMN($N$3:$DU$3)-COLUMN($N$3))&lt;='KALENDER MINGGU'!$C$12)*(N69:DU69))/F69*H69</f>
        <v>0.75983726500312709</v>
      </c>
      <c r="EC69" s="210">
        <f>SUMPRODUCT((($I69+COLUMN($N$3:$DU$3)-COLUMN($N$3))&gt;='KALENDER MINGGU'!$B$13)*(($I69+COLUMN($N$3:$DU$3)-COLUMN($N$3))&lt;='KALENDER MINGGU'!$C$13)*(N69:DU69))/F69*H69</f>
        <v>0</v>
      </c>
      <c r="ED69" s="210">
        <f>SUMPRODUCT((($I69+COLUMN($N$3:$DU$3)-COLUMN($N$3))&gt;='KALENDER MINGGU'!$B$14)*(($I69+COLUMN($N$3:$DU$3)-COLUMN($N$3))&lt;='KALENDER MINGGU'!$C$14)*(N69:DU69))/F69*H69</f>
        <v>0</v>
      </c>
      <c r="EE69" s="210">
        <f>SUMPRODUCT((($I69+COLUMN($N$3:$DU$3)-COLUMN($N$3))&gt;='KALENDER MINGGU'!$B$15)*(($I69+COLUMN($N$3:$DU$3)-COLUMN($N$3))&lt;='KALENDER MINGGU'!$C$15)*(N69:DU69))/F69*H69</f>
        <v>0</v>
      </c>
      <c r="EF69" s="210">
        <f>SUMPRODUCT((($I69+COLUMN($N$3:$DU$3)-COLUMN($N$3))&gt;='KALENDER MINGGU'!$B$16)*(($I69+COLUMN($N$3:$DU$3)-COLUMN($N$3))&lt;='KALENDER MINGGU'!$C$16)*(N69:DU69))/F69*H69</f>
        <v>0</v>
      </c>
      <c r="EG69" s="210">
        <f>SUMPRODUCT((($I69+COLUMN($N$3:$DU$3)-COLUMN($N$3))&gt;='KALENDER MINGGU'!$B$17)*(($I69+COLUMN($N$3:$DU$3)-COLUMN($N$3))&lt;='KALENDER MINGGU'!$C$17)*(N69:DU69))/F69*H69</f>
        <v>0</v>
      </c>
      <c r="EH69" s="210">
        <f>SUMPRODUCT((($I69+COLUMN($N$3:$DU$3)-COLUMN($N$3))&gt;='KALENDER MINGGU'!$B$18)*(($I69+COLUMN($N$3:$DU$3)-COLUMN($N$3))&lt;='KALENDER MINGGU'!$C$18)*(N69:DU69))/F69*H69</f>
        <v>0</v>
      </c>
      <c r="EI69" s="210">
        <f>SUMPRODUCT((($I69+COLUMN($N$3:$DU$3)-COLUMN($N$3))&gt;='KALENDER MINGGU'!$B$19)*(($I69+COLUMN($N$3:$DU$3)-COLUMN($N$3))&lt;='KALENDER MINGGU'!$C$19)*(N69:DU69))/F69*H69</f>
        <v>0</v>
      </c>
      <c r="EJ69" s="210">
        <f>SUMPRODUCT((($I69+COLUMN($N$3:$DU$3)-COLUMN($N$3))&gt;='KALENDER MINGGU'!$B$20)*(($I69+COLUMN($N$3:$DU$3)-COLUMN($N$3))&lt;='KALENDER MINGGU'!$C$20)*(N69:DU69))/F69*H69</f>
        <v>0</v>
      </c>
      <c r="EK69" s="210">
        <f>SUMPRODUCT((($I69+COLUMN($N$3:$DU$3)-COLUMN($N$3))&gt;='KALENDER MINGGU'!$B$21)*(($I69+COLUMN($N$3:$DU$3)-COLUMN($N$3))&lt;='KALENDER MINGGU'!$C$21)*(N69:DU69))/F69*H69</f>
        <v>0</v>
      </c>
    </row>
    <row r="70" spans="1:141" ht="15" customHeight="1" x14ac:dyDescent="0.2">
      <c r="A70" s="208">
        <v>67</v>
      </c>
      <c r="B70" s="208">
        <v>102</v>
      </c>
      <c r="C70" s="208" t="str">
        <f>IF(B70&lt;160,'BOBOT PEK'!$B$4,IF(B70&lt;207,'BOBOT PEK'!$B$160,'BOBOT PEK'!$B$207))</f>
        <v>Pekerjaan Gudang Umum</v>
      </c>
      <c r="D70" s="208" t="s">
        <v>163</v>
      </c>
      <c r="E70" s="208" t="str">
        <f>'BOBOT PEK'!C102</f>
        <v>Terminasi cor keliling</v>
      </c>
      <c r="F70" s="209">
        <f>IF(OR('BOBOT PEK'!E102="",'BOBOT PEK'!E102=0),1,'BOBOT PEK'!E102)</f>
        <v>88</v>
      </c>
      <c r="G70" s="208" t="str">
        <f>IF('BOBOT PEK'!F102="","ls",'BOBOT PEK'!F102)</f>
        <v>m</v>
      </c>
      <c r="H70" s="210">
        <f>'BOBOT PEK'!J102</f>
        <v>0.33770545111250094</v>
      </c>
      <c r="I70" s="211">
        <f>'KALENDER MINGGU'!$B$3</f>
        <v>46226</v>
      </c>
      <c r="J70" s="209">
        <f t="shared" si="8"/>
        <v>0</v>
      </c>
      <c r="K70" s="209">
        <f t="shared" si="9"/>
        <v>88</v>
      </c>
      <c r="L70" s="212">
        <f t="shared" si="10"/>
        <v>0</v>
      </c>
      <c r="M70" s="208" t="str">
        <f t="shared" si="11"/>
        <v>OK</v>
      </c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  <c r="AH70" s="213"/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  <c r="BC70" s="213"/>
      <c r="BD70" s="213"/>
      <c r="BE70" s="213"/>
      <c r="BF70" s="213"/>
      <c r="BG70" s="213"/>
      <c r="BH70" s="213"/>
      <c r="BI70" s="213"/>
      <c r="BJ70" s="213"/>
      <c r="BK70" s="213"/>
      <c r="BL70" s="213"/>
      <c r="BM70" s="213"/>
      <c r="BN70" s="213"/>
      <c r="BO70" s="213"/>
      <c r="BP70" s="213"/>
      <c r="BQ70" s="213"/>
      <c r="BR70" s="213"/>
      <c r="BS70" s="213"/>
      <c r="BT70" s="213"/>
      <c r="BU70" s="213"/>
      <c r="BV70" s="213"/>
      <c r="BW70" s="213"/>
      <c r="BX70" s="213"/>
      <c r="BY70" s="213"/>
      <c r="BZ70" s="213"/>
      <c r="CA70" s="213"/>
      <c r="CB70" s="213"/>
      <c r="CC70" s="213"/>
      <c r="CD70" s="213"/>
      <c r="CE70" s="213"/>
      <c r="CF70" s="213"/>
      <c r="CG70" s="213"/>
      <c r="CH70" s="213"/>
      <c r="CI70" s="213"/>
      <c r="CJ70" s="213"/>
      <c r="CK70" s="213"/>
      <c r="CL70" s="213"/>
      <c r="CM70" s="213"/>
      <c r="CN70" s="213"/>
      <c r="CO70" s="213"/>
      <c r="CP70" s="213"/>
      <c r="CQ70" s="213"/>
      <c r="CR70" s="213"/>
      <c r="CS70" s="213"/>
      <c r="CT70" s="213"/>
      <c r="CU70" s="213"/>
      <c r="CV70" s="213"/>
      <c r="CW70" s="213"/>
      <c r="CX70" s="213"/>
      <c r="CY70" s="213"/>
      <c r="CZ70" s="213"/>
      <c r="DA70" s="213"/>
      <c r="DB70" s="213"/>
      <c r="DC70" s="213"/>
      <c r="DD70" s="213"/>
      <c r="DE70" s="213"/>
      <c r="DF70" s="213"/>
      <c r="DG70" s="213"/>
      <c r="DH70" s="213"/>
      <c r="DI70" s="213"/>
      <c r="DJ70" s="213"/>
      <c r="DK70" s="213"/>
      <c r="DL70" s="213"/>
      <c r="DM70" s="213"/>
      <c r="DN70" s="213"/>
      <c r="DO70" s="213"/>
      <c r="DP70" s="213"/>
      <c r="DQ70" s="213"/>
      <c r="DR70" s="213"/>
      <c r="DS70" s="213"/>
      <c r="DT70" s="213"/>
      <c r="DU70" s="213"/>
      <c r="DV70" s="210">
        <f>SUMPRODUCT((($I70+COLUMN($N$3:$DU$3)-COLUMN($N$3))&gt;='KALENDER MINGGU'!$B$6)*(($I70+COLUMN($N$3:$DU$3)-COLUMN($N$3))&lt;='KALENDER MINGGU'!$C$6)*(N70:DU70))/F70*H70</f>
        <v>0</v>
      </c>
      <c r="DW70" s="210">
        <f>SUMPRODUCT((($I70+COLUMN($N$3:$DU$3)-COLUMN($N$3))&gt;='KALENDER MINGGU'!$B$7)*(($I70+COLUMN($N$3:$DU$3)-COLUMN($N$3))&lt;='KALENDER MINGGU'!$C$7)*(N70:DU70))/F70*H70</f>
        <v>0</v>
      </c>
      <c r="DX70" s="210">
        <f>SUMPRODUCT((($I70+COLUMN($N$3:$DU$3)-COLUMN($N$3))&gt;='KALENDER MINGGU'!$B$8)*(($I70+COLUMN($N$3:$DU$3)-COLUMN($N$3))&lt;='KALENDER MINGGU'!$C$8)*(N70:DU70))/F70*H70</f>
        <v>0</v>
      </c>
      <c r="DY70" s="210">
        <f>SUMPRODUCT((($I70+COLUMN($N$3:$DU$3)-COLUMN($N$3))&gt;='KALENDER MINGGU'!$B$9)*(($I70+COLUMN($N$3:$DU$3)-COLUMN($N$3))&lt;='KALENDER MINGGU'!$C$9)*(N70:DU70))/F70*H70</f>
        <v>0</v>
      </c>
      <c r="DZ70" s="210">
        <f>SUMPRODUCT((($I70+COLUMN($N$3:$DU$3)-COLUMN($N$3))&gt;='KALENDER MINGGU'!$B$10)*(($I70+COLUMN($N$3:$DU$3)-COLUMN($N$3))&lt;='KALENDER MINGGU'!$C$10)*(N70:DU70))/F70*H70</f>
        <v>0</v>
      </c>
      <c r="EA70" s="210">
        <f>SUMPRODUCT((($I70+COLUMN($N$3:$DU$3)-COLUMN($N$3))&gt;='KALENDER MINGGU'!$B$11)*(($I70+COLUMN($N$3:$DU$3)-COLUMN($N$3))&lt;='KALENDER MINGGU'!$C$11)*(N70:DU70))/F70*H70</f>
        <v>0</v>
      </c>
      <c r="EB70" s="210">
        <f>SUMPRODUCT((($I70+COLUMN($N$3:$DU$3)-COLUMN($N$3))&gt;='KALENDER MINGGU'!$B$12)*(($I70+COLUMN($N$3:$DU$3)-COLUMN($N$3))&lt;='KALENDER MINGGU'!$C$12)*(N70:DU70))/F70*H70</f>
        <v>0</v>
      </c>
      <c r="EC70" s="210">
        <f>SUMPRODUCT((($I70+COLUMN($N$3:$DU$3)-COLUMN($N$3))&gt;='KALENDER MINGGU'!$B$13)*(($I70+COLUMN($N$3:$DU$3)-COLUMN($N$3))&lt;='KALENDER MINGGU'!$C$13)*(N70:DU70))/F70*H70</f>
        <v>0</v>
      </c>
      <c r="ED70" s="210">
        <f>SUMPRODUCT((($I70+COLUMN($N$3:$DU$3)-COLUMN($N$3))&gt;='KALENDER MINGGU'!$B$14)*(($I70+COLUMN($N$3:$DU$3)-COLUMN($N$3))&lt;='KALENDER MINGGU'!$C$14)*(N70:DU70))/F70*H70</f>
        <v>0</v>
      </c>
      <c r="EE70" s="210">
        <f>SUMPRODUCT((($I70+COLUMN($N$3:$DU$3)-COLUMN($N$3))&gt;='KALENDER MINGGU'!$B$15)*(($I70+COLUMN($N$3:$DU$3)-COLUMN($N$3))&lt;='KALENDER MINGGU'!$C$15)*(N70:DU70))/F70*H70</f>
        <v>0</v>
      </c>
      <c r="EF70" s="210">
        <f>SUMPRODUCT((($I70+COLUMN($N$3:$DU$3)-COLUMN($N$3))&gt;='KALENDER MINGGU'!$B$16)*(($I70+COLUMN($N$3:$DU$3)-COLUMN($N$3))&lt;='KALENDER MINGGU'!$C$16)*(N70:DU70))/F70*H70</f>
        <v>0</v>
      </c>
      <c r="EG70" s="210">
        <f>SUMPRODUCT((($I70+COLUMN($N$3:$DU$3)-COLUMN($N$3))&gt;='KALENDER MINGGU'!$B$17)*(($I70+COLUMN($N$3:$DU$3)-COLUMN($N$3))&lt;='KALENDER MINGGU'!$C$17)*(N70:DU70))/F70*H70</f>
        <v>0</v>
      </c>
      <c r="EH70" s="210">
        <f>SUMPRODUCT((($I70+COLUMN($N$3:$DU$3)-COLUMN($N$3))&gt;='KALENDER MINGGU'!$B$18)*(($I70+COLUMN($N$3:$DU$3)-COLUMN($N$3))&lt;='KALENDER MINGGU'!$C$18)*(N70:DU70))/F70*H70</f>
        <v>0</v>
      </c>
      <c r="EI70" s="210">
        <f>SUMPRODUCT((($I70+COLUMN($N$3:$DU$3)-COLUMN($N$3))&gt;='KALENDER MINGGU'!$B$19)*(($I70+COLUMN($N$3:$DU$3)-COLUMN($N$3))&lt;='KALENDER MINGGU'!$C$19)*(N70:DU70))/F70*H70</f>
        <v>0</v>
      </c>
      <c r="EJ70" s="210">
        <f>SUMPRODUCT((($I70+COLUMN($N$3:$DU$3)-COLUMN($N$3))&gt;='KALENDER MINGGU'!$B$20)*(($I70+COLUMN($N$3:$DU$3)-COLUMN($N$3))&lt;='KALENDER MINGGU'!$C$20)*(N70:DU70))/F70*H70</f>
        <v>0</v>
      </c>
      <c r="EK70" s="210">
        <f>SUMPRODUCT((($I70+COLUMN($N$3:$DU$3)-COLUMN($N$3))&gt;='KALENDER MINGGU'!$B$21)*(($I70+COLUMN($N$3:$DU$3)-COLUMN($N$3))&lt;='KALENDER MINGGU'!$C$21)*(N70:DU70))/F70*H70</f>
        <v>0</v>
      </c>
    </row>
    <row r="71" spans="1:141" ht="15" customHeight="1" x14ac:dyDescent="0.2">
      <c r="A71" s="208">
        <v>68</v>
      </c>
      <c r="B71" s="208">
        <v>103</v>
      </c>
      <c r="C71" s="208" t="str">
        <f>IF(B71&lt;160,'BOBOT PEK'!$B$4,IF(B71&lt;207,'BOBOT PEK'!$B$160,'BOBOT PEK'!$B$207))</f>
        <v>Pekerjaan Gudang Umum</v>
      </c>
      <c r="D71" s="208" t="s">
        <v>163</v>
      </c>
      <c r="E71" s="208" t="str">
        <f>'BOBOT PEK'!C103</f>
        <v>Pondasi Struktur bengkel</v>
      </c>
      <c r="F71" s="209">
        <f>IF(OR('BOBOT PEK'!E103="",'BOBOT PEK'!E103=0),1,'BOBOT PEK'!E103)</f>
        <v>6</v>
      </c>
      <c r="G71" s="208" t="str">
        <f>IF('BOBOT PEK'!F103="","ls",'BOBOT PEK'!F103)</f>
        <v>ls</v>
      </c>
      <c r="H71" s="210">
        <f>'BOBOT PEK'!J103</f>
        <v>0.19955322111193238</v>
      </c>
      <c r="I71" s="211">
        <f>'KALENDER MINGGU'!$B$3</f>
        <v>46226</v>
      </c>
      <c r="J71" s="209">
        <f t="shared" si="8"/>
        <v>6</v>
      </c>
      <c r="K71" s="209">
        <f t="shared" si="9"/>
        <v>0</v>
      </c>
      <c r="L71" s="212">
        <f t="shared" si="10"/>
        <v>1</v>
      </c>
      <c r="M71" s="208" t="str">
        <f t="shared" si="11"/>
        <v>OK</v>
      </c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  <c r="AE71" s="213"/>
      <c r="AF71" s="213"/>
      <c r="AG71" s="213"/>
      <c r="AH71" s="213"/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  <c r="BC71" s="213"/>
      <c r="BD71" s="213"/>
      <c r="BE71" s="213"/>
      <c r="BF71" s="213"/>
      <c r="BG71" s="213"/>
      <c r="BH71" s="213"/>
      <c r="BI71" s="213"/>
      <c r="BJ71" s="213"/>
      <c r="BK71" s="213"/>
      <c r="BL71" s="213"/>
      <c r="BM71" s="213"/>
      <c r="BN71" s="213"/>
      <c r="BO71" s="213"/>
      <c r="BP71" s="213"/>
      <c r="BQ71" s="213"/>
      <c r="BR71" s="213"/>
      <c r="BS71" s="213"/>
      <c r="BT71" s="213"/>
      <c r="BU71" s="213"/>
      <c r="BV71" s="213"/>
      <c r="BW71" s="213"/>
      <c r="BX71" s="213"/>
      <c r="BY71" s="213"/>
      <c r="BZ71" s="213"/>
      <c r="CA71" s="213">
        <v>2</v>
      </c>
      <c r="CB71" s="213">
        <v>2</v>
      </c>
      <c r="CC71" s="213">
        <v>2</v>
      </c>
      <c r="CD71" s="213"/>
      <c r="CE71" s="213"/>
      <c r="CF71" s="213"/>
      <c r="CG71" s="213"/>
      <c r="CH71" s="213"/>
      <c r="CI71" s="213"/>
      <c r="CJ71" s="213"/>
      <c r="CK71" s="213"/>
      <c r="CL71" s="213"/>
      <c r="CM71" s="213"/>
      <c r="CN71" s="213"/>
      <c r="CO71" s="213"/>
      <c r="CP71" s="213"/>
      <c r="CQ71" s="213"/>
      <c r="CR71" s="213"/>
      <c r="CS71" s="213"/>
      <c r="CT71" s="213"/>
      <c r="CU71" s="213"/>
      <c r="CV71" s="213"/>
      <c r="CW71" s="213"/>
      <c r="CX71" s="213"/>
      <c r="CY71" s="213"/>
      <c r="CZ71" s="213"/>
      <c r="DA71" s="213"/>
      <c r="DB71" s="213"/>
      <c r="DC71" s="213"/>
      <c r="DD71" s="213"/>
      <c r="DE71" s="213"/>
      <c r="DF71" s="213"/>
      <c r="DG71" s="213"/>
      <c r="DH71" s="213"/>
      <c r="DI71" s="213"/>
      <c r="DJ71" s="213"/>
      <c r="DK71" s="213"/>
      <c r="DL71" s="213"/>
      <c r="DM71" s="213"/>
      <c r="DN71" s="213"/>
      <c r="DO71" s="213"/>
      <c r="DP71" s="213"/>
      <c r="DQ71" s="213"/>
      <c r="DR71" s="213"/>
      <c r="DS71" s="213"/>
      <c r="DT71" s="213"/>
      <c r="DU71" s="213"/>
      <c r="DV71" s="210">
        <f>SUMPRODUCT((($I71+COLUMN($N$3:$DU$3)-COLUMN($N$3))&gt;='KALENDER MINGGU'!$B$6)*(($I71+COLUMN($N$3:$DU$3)-COLUMN($N$3))&lt;='KALENDER MINGGU'!$C$6)*(N71:DU71))/F71*H71</f>
        <v>0</v>
      </c>
      <c r="DW71" s="210">
        <f>SUMPRODUCT((($I71+COLUMN($N$3:$DU$3)-COLUMN($N$3))&gt;='KALENDER MINGGU'!$B$7)*(($I71+COLUMN($N$3:$DU$3)-COLUMN($N$3))&lt;='KALENDER MINGGU'!$C$7)*(N71:DU71))/F71*H71</f>
        <v>0</v>
      </c>
      <c r="DX71" s="210">
        <f>SUMPRODUCT((($I71+COLUMN($N$3:$DU$3)-COLUMN($N$3))&gt;='KALENDER MINGGU'!$B$8)*(($I71+COLUMN($N$3:$DU$3)-COLUMN($N$3))&lt;='KALENDER MINGGU'!$C$8)*(N71:DU71))/F71*H71</f>
        <v>0</v>
      </c>
      <c r="DY71" s="210">
        <f>SUMPRODUCT((($I71+COLUMN($N$3:$DU$3)-COLUMN($N$3))&gt;='KALENDER MINGGU'!$B$9)*(($I71+COLUMN($N$3:$DU$3)-COLUMN($N$3))&lt;='KALENDER MINGGU'!$C$9)*(N71:DU71))/F71*H71</f>
        <v>0</v>
      </c>
      <c r="DZ71" s="210">
        <f>SUMPRODUCT((($I71+COLUMN($N$3:$DU$3)-COLUMN($N$3))&gt;='KALENDER MINGGU'!$B$10)*(($I71+COLUMN($N$3:$DU$3)-COLUMN($N$3))&lt;='KALENDER MINGGU'!$C$10)*(N71:DU71))/F71*H71</f>
        <v>0</v>
      </c>
      <c r="EA71" s="210">
        <f>SUMPRODUCT((($I71+COLUMN($N$3:$DU$3)-COLUMN($N$3))&gt;='KALENDER MINGGU'!$B$11)*(($I71+COLUMN($N$3:$DU$3)-COLUMN($N$3))&lt;='KALENDER MINGGU'!$C$11)*(N71:DU71))/F71*H71</f>
        <v>0</v>
      </c>
      <c r="EB71" s="210">
        <f>SUMPRODUCT((($I71+COLUMN($N$3:$DU$3)-COLUMN($N$3))&gt;='KALENDER MINGGU'!$B$12)*(($I71+COLUMN($N$3:$DU$3)-COLUMN($N$3))&lt;='KALENDER MINGGU'!$C$12)*(N71:DU71))/F71*H71</f>
        <v>0</v>
      </c>
      <c r="EC71" s="210">
        <f>SUMPRODUCT((($I71+COLUMN($N$3:$DU$3)-COLUMN($N$3))&gt;='KALENDER MINGGU'!$B$13)*(($I71+COLUMN($N$3:$DU$3)-COLUMN($N$3))&lt;='KALENDER MINGGU'!$C$13)*(N71:DU71))/F71*H71</f>
        <v>0</v>
      </c>
      <c r="ED71" s="210">
        <f>SUMPRODUCT((($I71+COLUMN($N$3:$DU$3)-COLUMN($N$3))&gt;='KALENDER MINGGU'!$B$14)*(($I71+COLUMN($N$3:$DU$3)-COLUMN($N$3))&lt;='KALENDER MINGGU'!$C$14)*(N71:DU71))/F71*H71</f>
        <v>0</v>
      </c>
      <c r="EE71" s="210">
        <f>SUMPRODUCT((($I71+COLUMN($N$3:$DU$3)-COLUMN($N$3))&gt;='KALENDER MINGGU'!$B$15)*(($I71+COLUMN($N$3:$DU$3)-COLUMN($N$3))&lt;='KALENDER MINGGU'!$C$15)*(N71:DU71))/F71*H71</f>
        <v>0.19955322111193238</v>
      </c>
      <c r="EF71" s="210">
        <f>SUMPRODUCT((($I71+COLUMN($N$3:$DU$3)-COLUMN($N$3))&gt;='KALENDER MINGGU'!$B$16)*(($I71+COLUMN($N$3:$DU$3)-COLUMN($N$3))&lt;='KALENDER MINGGU'!$C$16)*(N71:DU71))/F71*H71</f>
        <v>0</v>
      </c>
      <c r="EG71" s="210">
        <f>SUMPRODUCT((($I71+COLUMN($N$3:$DU$3)-COLUMN($N$3))&gt;='KALENDER MINGGU'!$B$17)*(($I71+COLUMN($N$3:$DU$3)-COLUMN($N$3))&lt;='KALENDER MINGGU'!$C$17)*(N71:DU71))/F71*H71</f>
        <v>0</v>
      </c>
      <c r="EH71" s="210">
        <f>SUMPRODUCT((($I71+COLUMN($N$3:$DU$3)-COLUMN($N$3))&gt;='KALENDER MINGGU'!$B$18)*(($I71+COLUMN($N$3:$DU$3)-COLUMN($N$3))&lt;='KALENDER MINGGU'!$C$18)*(N71:DU71))/F71*H71</f>
        <v>0</v>
      </c>
      <c r="EI71" s="210">
        <f>SUMPRODUCT((($I71+COLUMN($N$3:$DU$3)-COLUMN($N$3))&gt;='KALENDER MINGGU'!$B$19)*(($I71+COLUMN($N$3:$DU$3)-COLUMN($N$3))&lt;='KALENDER MINGGU'!$C$19)*(N71:DU71))/F71*H71</f>
        <v>0</v>
      </c>
      <c r="EJ71" s="210">
        <f>SUMPRODUCT((($I71+COLUMN($N$3:$DU$3)-COLUMN($N$3))&gt;='KALENDER MINGGU'!$B$20)*(($I71+COLUMN($N$3:$DU$3)-COLUMN($N$3))&lt;='KALENDER MINGGU'!$C$20)*(N71:DU71))/F71*H71</f>
        <v>0</v>
      </c>
      <c r="EK71" s="210">
        <f>SUMPRODUCT((($I71+COLUMN($N$3:$DU$3)-COLUMN($N$3))&gt;='KALENDER MINGGU'!$B$21)*(($I71+COLUMN($N$3:$DU$3)-COLUMN($N$3))&lt;='KALENDER MINGGU'!$C$21)*(N71:DU71))/F71*H71</f>
        <v>0</v>
      </c>
    </row>
    <row r="72" spans="1:141" ht="15" customHeight="1" x14ac:dyDescent="0.2">
      <c r="A72" s="208">
        <v>69</v>
      </c>
      <c r="B72" s="208">
        <v>104</v>
      </c>
      <c r="C72" s="208" t="str">
        <f>IF(B72&lt;160,'BOBOT PEK'!$B$4,IF(B72&lt;207,'BOBOT PEK'!$B$160,'BOBOT PEK'!$B$207))</f>
        <v>Pekerjaan Gudang Umum</v>
      </c>
      <c r="D72" s="208" t="s">
        <v>163</v>
      </c>
      <c r="E72" s="208" t="str">
        <f>'BOBOT PEK'!C104</f>
        <v>Atap bengkel dan cucian mobil</v>
      </c>
      <c r="F72" s="209">
        <f>IF(OR('BOBOT PEK'!E104="",'BOBOT PEK'!E104=0),1,'BOBOT PEK'!E104)</f>
        <v>88.2</v>
      </c>
      <c r="G72" s="208" t="str">
        <f>IF('BOBOT PEK'!F104="","ls",'BOBOT PEK'!F104)</f>
        <v>m2</v>
      </c>
      <c r="H72" s="210">
        <f>'BOBOT PEK'!J104</f>
        <v>1.4215864467058505</v>
      </c>
      <c r="I72" s="211">
        <f>'KALENDER MINGGU'!$B$3</f>
        <v>46226</v>
      </c>
      <c r="J72" s="209">
        <f t="shared" si="8"/>
        <v>0</v>
      </c>
      <c r="K72" s="209">
        <f t="shared" si="9"/>
        <v>88.2</v>
      </c>
      <c r="L72" s="212">
        <f t="shared" si="10"/>
        <v>0</v>
      </c>
      <c r="M72" s="208" t="str">
        <f t="shared" si="11"/>
        <v>OK</v>
      </c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  <c r="AH72" s="213"/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  <c r="BC72" s="213"/>
      <c r="BD72" s="213"/>
      <c r="BE72" s="213"/>
      <c r="BF72" s="213"/>
      <c r="BG72" s="213"/>
      <c r="BH72" s="213"/>
      <c r="BI72" s="213"/>
      <c r="BJ72" s="213"/>
      <c r="BK72" s="213"/>
      <c r="BL72" s="213"/>
      <c r="BM72" s="213"/>
      <c r="BN72" s="213"/>
      <c r="BO72" s="213"/>
      <c r="BP72" s="213"/>
      <c r="BQ72" s="213"/>
      <c r="BR72" s="213"/>
      <c r="BS72" s="213"/>
      <c r="BT72" s="213"/>
      <c r="BU72" s="213"/>
      <c r="BV72" s="213"/>
      <c r="BW72" s="213"/>
      <c r="BX72" s="213"/>
      <c r="BY72" s="213"/>
      <c r="BZ72" s="213"/>
      <c r="CA72" s="213"/>
      <c r="CB72" s="213"/>
      <c r="CC72" s="213"/>
      <c r="CD72" s="213"/>
      <c r="CE72" s="213"/>
      <c r="CF72" s="213"/>
      <c r="CG72" s="213"/>
      <c r="CH72" s="213"/>
      <c r="CI72" s="213"/>
      <c r="CJ72" s="213"/>
      <c r="CK72" s="213"/>
      <c r="CL72" s="213"/>
      <c r="CM72" s="213"/>
      <c r="CN72" s="213"/>
      <c r="CO72" s="213"/>
      <c r="CP72" s="213"/>
      <c r="CQ72" s="213"/>
      <c r="CR72" s="213"/>
      <c r="CS72" s="213"/>
      <c r="CT72" s="213"/>
      <c r="CU72" s="213"/>
      <c r="CV72" s="213"/>
      <c r="CW72" s="213"/>
      <c r="CX72" s="213"/>
      <c r="CY72" s="213"/>
      <c r="CZ72" s="213"/>
      <c r="DA72" s="213"/>
      <c r="DB72" s="213"/>
      <c r="DC72" s="213"/>
      <c r="DD72" s="213"/>
      <c r="DE72" s="213"/>
      <c r="DF72" s="213"/>
      <c r="DG72" s="213"/>
      <c r="DH72" s="213"/>
      <c r="DI72" s="213"/>
      <c r="DJ72" s="213"/>
      <c r="DK72" s="213"/>
      <c r="DL72" s="213"/>
      <c r="DM72" s="213"/>
      <c r="DN72" s="213"/>
      <c r="DO72" s="213"/>
      <c r="DP72" s="213"/>
      <c r="DQ72" s="213"/>
      <c r="DR72" s="213"/>
      <c r="DS72" s="213"/>
      <c r="DT72" s="213"/>
      <c r="DU72" s="213"/>
      <c r="DV72" s="210">
        <f>SUMPRODUCT((($I72+COLUMN($N$3:$DU$3)-COLUMN($N$3))&gt;='KALENDER MINGGU'!$B$6)*(($I72+COLUMN($N$3:$DU$3)-COLUMN($N$3))&lt;='KALENDER MINGGU'!$C$6)*(N72:DU72))/F72*H72</f>
        <v>0</v>
      </c>
      <c r="DW72" s="210">
        <f>SUMPRODUCT((($I72+COLUMN($N$3:$DU$3)-COLUMN($N$3))&gt;='KALENDER MINGGU'!$B$7)*(($I72+COLUMN($N$3:$DU$3)-COLUMN($N$3))&lt;='KALENDER MINGGU'!$C$7)*(N72:DU72))/F72*H72</f>
        <v>0</v>
      </c>
      <c r="DX72" s="210">
        <f>SUMPRODUCT((($I72+COLUMN($N$3:$DU$3)-COLUMN($N$3))&gt;='KALENDER MINGGU'!$B$8)*(($I72+COLUMN($N$3:$DU$3)-COLUMN($N$3))&lt;='KALENDER MINGGU'!$C$8)*(N72:DU72))/F72*H72</f>
        <v>0</v>
      </c>
      <c r="DY72" s="210">
        <f>SUMPRODUCT((($I72+COLUMN($N$3:$DU$3)-COLUMN($N$3))&gt;='KALENDER MINGGU'!$B$9)*(($I72+COLUMN($N$3:$DU$3)-COLUMN($N$3))&lt;='KALENDER MINGGU'!$C$9)*(N72:DU72))/F72*H72</f>
        <v>0</v>
      </c>
      <c r="DZ72" s="210">
        <f>SUMPRODUCT((($I72+COLUMN($N$3:$DU$3)-COLUMN($N$3))&gt;='KALENDER MINGGU'!$B$10)*(($I72+COLUMN($N$3:$DU$3)-COLUMN($N$3))&lt;='KALENDER MINGGU'!$C$10)*(N72:DU72))/F72*H72</f>
        <v>0</v>
      </c>
      <c r="EA72" s="210">
        <f>SUMPRODUCT((($I72+COLUMN($N$3:$DU$3)-COLUMN($N$3))&gt;='KALENDER MINGGU'!$B$11)*(($I72+COLUMN($N$3:$DU$3)-COLUMN($N$3))&lt;='KALENDER MINGGU'!$C$11)*(N72:DU72))/F72*H72</f>
        <v>0</v>
      </c>
      <c r="EB72" s="210">
        <f>SUMPRODUCT((($I72+COLUMN($N$3:$DU$3)-COLUMN($N$3))&gt;='KALENDER MINGGU'!$B$12)*(($I72+COLUMN($N$3:$DU$3)-COLUMN($N$3))&lt;='KALENDER MINGGU'!$C$12)*(N72:DU72))/F72*H72</f>
        <v>0</v>
      </c>
      <c r="EC72" s="210">
        <f>SUMPRODUCT((($I72+COLUMN($N$3:$DU$3)-COLUMN($N$3))&gt;='KALENDER MINGGU'!$B$13)*(($I72+COLUMN($N$3:$DU$3)-COLUMN($N$3))&lt;='KALENDER MINGGU'!$C$13)*(N72:DU72))/F72*H72</f>
        <v>0</v>
      </c>
      <c r="ED72" s="210">
        <f>SUMPRODUCT((($I72+COLUMN($N$3:$DU$3)-COLUMN($N$3))&gt;='KALENDER MINGGU'!$B$14)*(($I72+COLUMN($N$3:$DU$3)-COLUMN($N$3))&lt;='KALENDER MINGGU'!$C$14)*(N72:DU72))/F72*H72</f>
        <v>0</v>
      </c>
      <c r="EE72" s="210">
        <f>SUMPRODUCT((($I72+COLUMN($N$3:$DU$3)-COLUMN($N$3))&gt;='KALENDER MINGGU'!$B$15)*(($I72+COLUMN($N$3:$DU$3)-COLUMN($N$3))&lt;='KALENDER MINGGU'!$C$15)*(N72:DU72))/F72*H72</f>
        <v>0</v>
      </c>
      <c r="EF72" s="210">
        <f>SUMPRODUCT((($I72+COLUMN($N$3:$DU$3)-COLUMN($N$3))&gt;='KALENDER MINGGU'!$B$16)*(($I72+COLUMN($N$3:$DU$3)-COLUMN($N$3))&lt;='KALENDER MINGGU'!$C$16)*(N72:DU72))/F72*H72</f>
        <v>0</v>
      </c>
      <c r="EG72" s="210">
        <f>SUMPRODUCT((($I72+COLUMN($N$3:$DU$3)-COLUMN($N$3))&gt;='KALENDER MINGGU'!$B$17)*(($I72+COLUMN($N$3:$DU$3)-COLUMN($N$3))&lt;='KALENDER MINGGU'!$C$17)*(N72:DU72))/F72*H72</f>
        <v>0</v>
      </c>
      <c r="EH72" s="210">
        <f>SUMPRODUCT((($I72+COLUMN($N$3:$DU$3)-COLUMN($N$3))&gt;='KALENDER MINGGU'!$B$18)*(($I72+COLUMN($N$3:$DU$3)-COLUMN($N$3))&lt;='KALENDER MINGGU'!$C$18)*(N72:DU72))/F72*H72</f>
        <v>0</v>
      </c>
      <c r="EI72" s="210">
        <f>SUMPRODUCT((($I72+COLUMN($N$3:$DU$3)-COLUMN($N$3))&gt;='KALENDER MINGGU'!$B$19)*(($I72+COLUMN($N$3:$DU$3)-COLUMN($N$3))&lt;='KALENDER MINGGU'!$C$19)*(N72:DU72))/F72*H72</f>
        <v>0</v>
      </c>
      <c r="EJ72" s="210">
        <f>SUMPRODUCT((($I72+COLUMN($N$3:$DU$3)-COLUMN($N$3))&gt;='KALENDER MINGGU'!$B$20)*(($I72+COLUMN($N$3:$DU$3)-COLUMN($N$3))&lt;='KALENDER MINGGU'!$C$20)*(N72:DU72))/F72*H72</f>
        <v>0</v>
      </c>
      <c r="EK72" s="210">
        <f>SUMPRODUCT((($I72+COLUMN($N$3:$DU$3)-COLUMN($N$3))&gt;='KALENDER MINGGU'!$B$21)*(($I72+COLUMN($N$3:$DU$3)-COLUMN($N$3))&lt;='KALENDER MINGGU'!$C$21)*(N72:DU72))/F72*H72</f>
        <v>0</v>
      </c>
    </row>
    <row r="73" spans="1:141" ht="15" customHeight="1" x14ac:dyDescent="0.2">
      <c r="A73" s="208">
        <v>70</v>
      </c>
      <c r="B73" s="208">
        <v>105</v>
      </c>
      <c r="C73" s="208" t="str">
        <f>IF(B73&lt;160,'BOBOT PEK'!$B$4,IF(B73&lt;207,'BOBOT PEK'!$B$160,'BOBOT PEK'!$B$207))</f>
        <v>Pekerjaan Gudang Umum</v>
      </c>
      <c r="D73" s="208" t="s">
        <v>163</v>
      </c>
      <c r="E73" s="208" t="str">
        <f>'BOBOT PEK'!C105</f>
        <v>Instalasi air bersih ke arah bengkel</v>
      </c>
      <c r="F73" s="209">
        <f>IF(OR('BOBOT PEK'!E105="",'BOBOT PEK'!E105=0),1,'BOBOT PEK'!E105)</f>
        <v>71</v>
      </c>
      <c r="G73" s="208" t="str">
        <f>IF('BOBOT PEK'!F105="","ls",'BOBOT PEK'!F105)</f>
        <v>m</v>
      </c>
      <c r="H73" s="210">
        <f>'BOBOT PEK'!J105</f>
        <v>0.14531567896356101</v>
      </c>
      <c r="I73" s="211">
        <f>'KALENDER MINGGU'!$B$3</f>
        <v>46226</v>
      </c>
      <c r="J73" s="209">
        <f t="shared" si="8"/>
        <v>48</v>
      </c>
      <c r="K73" s="209">
        <f t="shared" si="9"/>
        <v>23</v>
      </c>
      <c r="L73" s="212">
        <f t="shared" si="10"/>
        <v>0.676056338028169</v>
      </c>
      <c r="M73" s="208" t="str">
        <f t="shared" si="11"/>
        <v>OK</v>
      </c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  <c r="AH73" s="213"/>
      <c r="AI73" s="213"/>
      <c r="AJ73" s="213"/>
      <c r="AK73" s="213"/>
      <c r="AL73" s="213"/>
      <c r="AM73" s="213"/>
      <c r="AN73" s="213"/>
      <c r="AO73" s="213">
        <v>3</v>
      </c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  <c r="BC73" s="213"/>
      <c r="BD73" s="213"/>
      <c r="BE73" s="213"/>
      <c r="BF73" s="213"/>
      <c r="BG73" s="213"/>
      <c r="BH73" s="213"/>
      <c r="BI73" s="213"/>
      <c r="BJ73" s="213"/>
      <c r="BK73" s="213"/>
      <c r="BL73" s="213"/>
      <c r="BM73" s="213"/>
      <c r="BN73" s="213"/>
      <c r="BO73" s="213"/>
      <c r="BP73" s="213"/>
      <c r="BQ73" s="213"/>
      <c r="BR73" s="213"/>
      <c r="BS73" s="213"/>
      <c r="BT73" s="213"/>
      <c r="BU73" s="213"/>
      <c r="BV73" s="213"/>
      <c r="BW73" s="213"/>
      <c r="BX73" s="213"/>
      <c r="BY73" s="213"/>
      <c r="BZ73" s="213">
        <v>10</v>
      </c>
      <c r="CA73" s="213">
        <v>10</v>
      </c>
      <c r="CB73" s="213">
        <v>15</v>
      </c>
      <c r="CC73" s="213">
        <v>10</v>
      </c>
      <c r="CD73" s="213"/>
      <c r="CE73" s="213"/>
      <c r="CF73" s="213"/>
      <c r="CG73" s="213"/>
      <c r="CH73" s="213"/>
      <c r="CI73" s="213"/>
      <c r="CJ73" s="213"/>
      <c r="CK73" s="213"/>
      <c r="CL73" s="213"/>
      <c r="CM73" s="213"/>
      <c r="CN73" s="213"/>
      <c r="CO73" s="213"/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3"/>
      <c r="DA73" s="213"/>
      <c r="DB73" s="213"/>
      <c r="DC73" s="213"/>
      <c r="DD73" s="213"/>
      <c r="DE73" s="213"/>
      <c r="DF73" s="213"/>
      <c r="DG73" s="213"/>
      <c r="DH73" s="213"/>
      <c r="DI73" s="213"/>
      <c r="DJ73" s="213"/>
      <c r="DK73" s="213"/>
      <c r="DL73" s="213"/>
      <c r="DM73" s="213"/>
      <c r="DN73" s="213"/>
      <c r="DO73" s="213"/>
      <c r="DP73" s="213"/>
      <c r="DQ73" s="213"/>
      <c r="DR73" s="213"/>
      <c r="DS73" s="213"/>
      <c r="DT73" s="213"/>
      <c r="DU73" s="213"/>
      <c r="DV73" s="210">
        <f>SUMPRODUCT((($I73+COLUMN($N$3:$DU$3)-COLUMN($N$3))&gt;='KALENDER MINGGU'!$B$6)*(($I73+COLUMN($N$3:$DU$3)-COLUMN($N$3))&lt;='KALENDER MINGGU'!$C$6)*(N73:DU73))/F73*H73</f>
        <v>0</v>
      </c>
      <c r="DW73" s="210">
        <f>SUMPRODUCT((($I73+COLUMN($N$3:$DU$3)-COLUMN($N$3))&gt;='KALENDER MINGGU'!$B$7)*(($I73+COLUMN($N$3:$DU$3)-COLUMN($N$3))&lt;='KALENDER MINGGU'!$C$7)*(N73:DU73))/F73*H73</f>
        <v>0</v>
      </c>
      <c r="DX73" s="210">
        <f>SUMPRODUCT((($I73+COLUMN($N$3:$DU$3)-COLUMN($N$3))&gt;='KALENDER MINGGU'!$B$8)*(($I73+COLUMN($N$3:$DU$3)-COLUMN($N$3))&lt;='KALENDER MINGGU'!$C$8)*(N73:DU73))/F73*H73</f>
        <v>0</v>
      </c>
      <c r="DY73" s="210">
        <f>SUMPRODUCT((($I73+COLUMN($N$3:$DU$3)-COLUMN($N$3))&gt;='KALENDER MINGGU'!$B$9)*(($I73+COLUMN($N$3:$DU$3)-COLUMN($N$3))&lt;='KALENDER MINGGU'!$C$9)*(N73:DU73))/F73*H73</f>
        <v>6.1400991111363809E-3</v>
      </c>
      <c r="DZ73" s="210">
        <f>SUMPRODUCT((($I73+COLUMN($N$3:$DU$3)-COLUMN($N$3))&gt;='KALENDER MINGGU'!$B$10)*(($I73+COLUMN($N$3:$DU$3)-COLUMN($N$3))&lt;='KALENDER MINGGU'!$C$10)*(N73:DU73))/F73*H73</f>
        <v>0</v>
      </c>
      <c r="EA73" s="210">
        <f>SUMPRODUCT((($I73+COLUMN($N$3:$DU$3)-COLUMN($N$3))&gt;='KALENDER MINGGU'!$B$11)*(($I73+COLUMN($N$3:$DU$3)-COLUMN($N$3))&lt;='KALENDER MINGGU'!$C$11)*(N73:DU73))/F73*H73</f>
        <v>0</v>
      </c>
      <c r="EB73" s="210">
        <f>SUMPRODUCT((($I73+COLUMN($N$3:$DU$3)-COLUMN($N$3))&gt;='KALENDER MINGGU'!$B$12)*(($I73+COLUMN($N$3:$DU$3)-COLUMN($N$3))&lt;='KALENDER MINGGU'!$C$12)*(N73:DU73))/F73*H73</f>
        <v>0</v>
      </c>
      <c r="EC73" s="210">
        <f>SUMPRODUCT((($I73+COLUMN($N$3:$DU$3)-COLUMN($N$3))&gt;='KALENDER MINGGU'!$B$13)*(($I73+COLUMN($N$3:$DU$3)-COLUMN($N$3))&lt;='KALENDER MINGGU'!$C$13)*(N73:DU73))/F73*H73</f>
        <v>0</v>
      </c>
      <c r="ED73" s="210">
        <f>SUMPRODUCT((($I73+COLUMN($N$3:$DU$3)-COLUMN($N$3))&gt;='KALENDER MINGGU'!$B$14)*(($I73+COLUMN($N$3:$DU$3)-COLUMN($N$3))&lt;='KALENDER MINGGU'!$C$14)*(N73:DU73))/F73*H73</f>
        <v>0</v>
      </c>
      <c r="EE73" s="210">
        <f>SUMPRODUCT((($I73+COLUMN($N$3:$DU$3)-COLUMN($N$3))&gt;='KALENDER MINGGU'!$B$15)*(($I73+COLUMN($N$3:$DU$3)-COLUMN($N$3))&lt;='KALENDER MINGGU'!$C$15)*(N73:DU73))/F73*H73</f>
        <v>9.2101486667045721E-2</v>
      </c>
      <c r="EF73" s="210">
        <f>SUMPRODUCT((($I73+COLUMN($N$3:$DU$3)-COLUMN($N$3))&gt;='KALENDER MINGGU'!$B$16)*(($I73+COLUMN($N$3:$DU$3)-COLUMN($N$3))&lt;='KALENDER MINGGU'!$C$16)*(N73:DU73))/F73*H73</f>
        <v>0</v>
      </c>
      <c r="EG73" s="210">
        <f>SUMPRODUCT((($I73+COLUMN($N$3:$DU$3)-COLUMN($N$3))&gt;='KALENDER MINGGU'!$B$17)*(($I73+COLUMN($N$3:$DU$3)-COLUMN($N$3))&lt;='KALENDER MINGGU'!$C$17)*(N73:DU73))/F73*H73</f>
        <v>0</v>
      </c>
      <c r="EH73" s="210">
        <f>SUMPRODUCT((($I73+COLUMN($N$3:$DU$3)-COLUMN($N$3))&gt;='KALENDER MINGGU'!$B$18)*(($I73+COLUMN($N$3:$DU$3)-COLUMN($N$3))&lt;='KALENDER MINGGU'!$C$18)*(N73:DU73))/F73*H73</f>
        <v>0</v>
      </c>
      <c r="EI73" s="210">
        <f>SUMPRODUCT((($I73+COLUMN($N$3:$DU$3)-COLUMN($N$3))&gt;='KALENDER MINGGU'!$B$19)*(($I73+COLUMN($N$3:$DU$3)-COLUMN($N$3))&lt;='KALENDER MINGGU'!$C$19)*(N73:DU73))/F73*H73</f>
        <v>0</v>
      </c>
      <c r="EJ73" s="210">
        <f>SUMPRODUCT((($I73+COLUMN($N$3:$DU$3)-COLUMN($N$3))&gt;='KALENDER MINGGU'!$B$20)*(($I73+COLUMN($N$3:$DU$3)-COLUMN($N$3))&lt;='KALENDER MINGGU'!$C$20)*(N73:DU73))/F73*H73</f>
        <v>0</v>
      </c>
      <c r="EK73" s="210">
        <f>SUMPRODUCT((($I73+COLUMN($N$3:$DU$3)-COLUMN($N$3))&gt;='KALENDER MINGGU'!$B$21)*(($I73+COLUMN($N$3:$DU$3)-COLUMN($N$3))&lt;='KALENDER MINGGU'!$C$21)*(N73:DU73))/F73*H73</f>
        <v>0</v>
      </c>
    </row>
    <row r="74" spans="1:141" ht="15" customHeight="1" x14ac:dyDescent="0.2">
      <c r="A74" s="208">
        <v>71</v>
      </c>
      <c r="B74" s="208">
        <v>110</v>
      </c>
      <c r="C74" s="208" t="str">
        <f>IF(B74&lt;160,'BOBOT PEK'!$B$4,IF(B74&lt;207,'BOBOT PEK'!$B$160,'BOBOT PEK'!$B$207))</f>
        <v>Pekerjaan Gudang Umum</v>
      </c>
      <c r="D74" s="208" t="s">
        <v>196</v>
      </c>
      <c r="E74" s="208" t="str">
        <f>'BOBOT PEK'!C110</f>
        <v>Pemadatan dan peninggian lantai ex. Taman samping</v>
      </c>
      <c r="F74" s="209">
        <f>IF(OR('BOBOT PEK'!E110="",'BOBOT PEK'!E110=0),1,'BOBOT PEK'!E110)</f>
        <v>200</v>
      </c>
      <c r="G74" s="208" t="str">
        <f>IF('BOBOT PEK'!F110="","ls",'BOBOT PEK'!F110)</f>
        <v>m²</v>
      </c>
      <c r="H74" s="210">
        <f>'BOBOT PEK'!J110</f>
        <v>0.51167492592803177</v>
      </c>
      <c r="I74" s="211">
        <f>'KALENDER MINGGU'!$B$3</f>
        <v>46226</v>
      </c>
      <c r="J74" s="209">
        <f t="shared" si="8"/>
        <v>180</v>
      </c>
      <c r="K74" s="209">
        <f t="shared" si="9"/>
        <v>20</v>
      </c>
      <c r="L74" s="212">
        <f t="shared" si="10"/>
        <v>0.9</v>
      </c>
      <c r="M74" s="208" t="str">
        <f t="shared" si="11"/>
        <v>OK</v>
      </c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  <c r="AA74" s="213"/>
      <c r="AB74" s="213"/>
      <c r="AC74" s="213"/>
      <c r="AD74" s="213"/>
      <c r="AE74" s="213"/>
      <c r="AF74" s="213"/>
      <c r="AG74" s="213"/>
      <c r="AH74" s="213"/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>
        <v>5</v>
      </c>
      <c r="AW74" s="213"/>
      <c r="AX74" s="213"/>
      <c r="AY74" s="213"/>
      <c r="AZ74" s="213"/>
      <c r="BA74" s="213"/>
      <c r="BB74" s="213"/>
      <c r="BC74" s="213"/>
      <c r="BD74" s="213"/>
      <c r="BE74" s="213"/>
      <c r="BF74" s="213"/>
      <c r="BG74" s="213"/>
      <c r="BH74" s="213">
        <v>20</v>
      </c>
      <c r="BI74" s="213">
        <v>20</v>
      </c>
      <c r="BJ74" s="213">
        <v>20</v>
      </c>
      <c r="BK74" s="213">
        <v>20</v>
      </c>
      <c r="BL74" s="213">
        <v>20</v>
      </c>
      <c r="BM74" s="213"/>
      <c r="BN74" s="213"/>
      <c r="BO74" s="213"/>
      <c r="BP74" s="213">
        <v>15</v>
      </c>
      <c r="BQ74" s="213">
        <v>15</v>
      </c>
      <c r="BR74" s="213">
        <v>15</v>
      </c>
      <c r="BS74" s="213">
        <v>15</v>
      </c>
      <c r="BT74" s="213">
        <v>15</v>
      </c>
      <c r="BU74" s="213"/>
      <c r="BV74" s="213"/>
      <c r="BW74" s="213"/>
      <c r="BX74" s="213"/>
      <c r="BY74" s="213"/>
      <c r="BZ74" s="213"/>
      <c r="CA74" s="213"/>
      <c r="CB74" s="213"/>
      <c r="CC74" s="213"/>
      <c r="CD74" s="213"/>
      <c r="CE74" s="213"/>
      <c r="CF74" s="213"/>
      <c r="CG74" s="213"/>
      <c r="CH74" s="213"/>
      <c r="CI74" s="213"/>
      <c r="CJ74" s="213"/>
      <c r="CK74" s="213"/>
      <c r="CL74" s="213"/>
      <c r="CM74" s="213"/>
      <c r="CN74" s="213"/>
      <c r="CO74" s="213"/>
      <c r="CP74" s="213"/>
      <c r="CQ74" s="213"/>
      <c r="CR74" s="213"/>
      <c r="CS74" s="213"/>
      <c r="CT74" s="213"/>
      <c r="CU74" s="213"/>
      <c r="CV74" s="213"/>
      <c r="CW74" s="213"/>
      <c r="CX74" s="213"/>
      <c r="CY74" s="213"/>
      <c r="CZ74" s="213"/>
      <c r="DA74" s="213"/>
      <c r="DB74" s="213"/>
      <c r="DC74" s="213"/>
      <c r="DD74" s="213"/>
      <c r="DE74" s="213"/>
      <c r="DF74" s="213"/>
      <c r="DG74" s="213"/>
      <c r="DH74" s="213"/>
      <c r="DI74" s="213"/>
      <c r="DJ74" s="213"/>
      <c r="DK74" s="213"/>
      <c r="DL74" s="213"/>
      <c r="DM74" s="213"/>
      <c r="DN74" s="213"/>
      <c r="DO74" s="213"/>
      <c r="DP74" s="213"/>
      <c r="DQ74" s="213"/>
      <c r="DR74" s="213"/>
      <c r="DS74" s="213"/>
      <c r="DT74" s="213"/>
      <c r="DU74" s="213"/>
      <c r="DV74" s="210">
        <f>SUMPRODUCT((($I74+COLUMN($N$3:$DU$3)-COLUMN($N$3))&gt;='KALENDER MINGGU'!$B$6)*(($I74+COLUMN($N$3:$DU$3)-COLUMN($N$3))&lt;='KALENDER MINGGU'!$C$6)*(N74:DU74))/F74*H74</f>
        <v>0</v>
      </c>
      <c r="DW74" s="210">
        <f>SUMPRODUCT((($I74+COLUMN($N$3:$DU$3)-COLUMN($N$3))&gt;='KALENDER MINGGU'!$B$7)*(($I74+COLUMN($N$3:$DU$3)-COLUMN($N$3))&lt;='KALENDER MINGGU'!$C$7)*(N74:DU74))/F74*H74</f>
        <v>0</v>
      </c>
      <c r="DX74" s="210">
        <f>SUMPRODUCT((($I74+COLUMN($N$3:$DU$3)-COLUMN($N$3))&gt;='KALENDER MINGGU'!$B$8)*(($I74+COLUMN($N$3:$DU$3)-COLUMN($N$3))&lt;='KALENDER MINGGU'!$C$8)*(N74:DU74))/F74*H74</f>
        <v>0</v>
      </c>
      <c r="DY74" s="210">
        <f>SUMPRODUCT((($I74+COLUMN($N$3:$DU$3)-COLUMN($N$3))&gt;='KALENDER MINGGU'!$B$9)*(($I74+COLUMN($N$3:$DU$3)-COLUMN($N$3))&lt;='KALENDER MINGGU'!$C$9)*(N74:DU74))/F74*H74</f>
        <v>0</v>
      </c>
      <c r="DZ74" s="210">
        <f>SUMPRODUCT((($I74+COLUMN($N$3:$DU$3)-COLUMN($N$3))&gt;='KALENDER MINGGU'!$B$10)*(($I74+COLUMN($N$3:$DU$3)-COLUMN($N$3))&lt;='KALENDER MINGGU'!$C$10)*(N74:DU74))/F74*H74</f>
        <v>1.2791873148200794E-2</v>
      </c>
      <c r="EA74" s="210">
        <f>SUMPRODUCT((($I74+COLUMN($N$3:$DU$3)-COLUMN($N$3))&gt;='KALENDER MINGGU'!$B$11)*(($I74+COLUMN($N$3:$DU$3)-COLUMN($N$3))&lt;='KALENDER MINGGU'!$C$11)*(N74:DU74))/F74*H74</f>
        <v>0</v>
      </c>
      <c r="EB74" s="210">
        <f>SUMPRODUCT((($I74+COLUMN($N$3:$DU$3)-COLUMN($N$3))&gt;='KALENDER MINGGU'!$B$12)*(($I74+COLUMN($N$3:$DU$3)-COLUMN($N$3))&lt;='KALENDER MINGGU'!$C$12)*(N74:DU74))/F74*H74</f>
        <v>0.15350247777840953</v>
      </c>
      <c r="EC74" s="210">
        <f>SUMPRODUCT((($I74+COLUMN($N$3:$DU$3)-COLUMN($N$3))&gt;='KALENDER MINGGU'!$B$13)*(($I74+COLUMN($N$3:$DU$3)-COLUMN($N$3))&lt;='KALENDER MINGGU'!$C$13)*(N74:DU74))/F74*H74</f>
        <v>0.17908622407481112</v>
      </c>
      <c r="ED74" s="210">
        <f>SUMPRODUCT((($I74+COLUMN($N$3:$DU$3)-COLUMN($N$3))&gt;='KALENDER MINGGU'!$B$14)*(($I74+COLUMN($N$3:$DU$3)-COLUMN($N$3))&lt;='KALENDER MINGGU'!$C$14)*(N74:DU74))/F74*H74</f>
        <v>0.11512685833380715</v>
      </c>
      <c r="EE74" s="210">
        <f>SUMPRODUCT((($I74+COLUMN($N$3:$DU$3)-COLUMN($N$3))&gt;='KALENDER MINGGU'!$B$15)*(($I74+COLUMN($N$3:$DU$3)-COLUMN($N$3))&lt;='KALENDER MINGGU'!$C$15)*(N74:DU74))/F74*H74</f>
        <v>0</v>
      </c>
      <c r="EF74" s="210">
        <f>SUMPRODUCT((($I74+COLUMN($N$3:$DU$3)-COLUMN($N$3))&gt;='KALENDER MINGGU'!$B$16)*(($I74+COLUMN($N$3:$DU$3)-COLUMN($N$3))&lt;='KALENDER MINGGU'!$C$16)*(N74:DU74))/F74*H74</f>
        <v>0</v>
      </c>
      <c r="EG74" s="210">
        <f>SUMPRODUCT((($I74+COLUMN($N$3:$DU$3)-COLUMN($N$3))&gt;='KALENDER MINGGU'!$B$17)*(($I74+COLUMN($N$3:$DU$3)-COLUMN($N$3))&lt;='KALENDER MINGGU'!$C$17)*(N74:DU74))/F74*H74</f>
        <v>0</v>
      </c>
      <c r="EH74" s="210">
        <f>SUMPRODUCT((($I74+COLUMN($N$3:$DU$3)-COLUMN($N$3))&gt;='KALENDER MINGGU'!$B$18)*(($I74+COLUMN($N$3:$DU$3)-COLUMN($N$3))&lt;='KALENDER MINGGU'!$C$18)*(N74:DU74))/F74*H74</f>
        <v>0</v>
      </c>
      <c r="EI74" s="210">
        <f>SUMPRODUCT((($I74+COLUMN($N$3:$DU$3)-COLUMN($N$3))&gt;='KALENDER MINGGU'!$B$19)*(($I74+COLUMN($N$3:$DU$3)-COLUMN($N$3))&lt;='KALENDER MINGGU'!$C$19)*(N74:DU74))/F74*H74</f>
        <v>0</v>
      </c>
      <c r="EJ74" s="210">
        <f>SUMPRODUCT((($I74+COLUMN($N$3:$DU$3)-COLUMN($N$3))&gt;='KALENDER MINGGU'!$B$20)*(($I74+COLUMN($N$3:$DU$3)-COLUMN($N$3))&lt;='KALENDER MINGGU'!$C$20)*(N74:DU74))/F74*H74</f>
        <v>0</v>
      </c>
      <c r="EK74" s="210">
        <f>SUMPRODUCT((($I74+COLUMN($N$3:$DU$3)-COLUMN($N$3))&gt;='KALENDER MINGGU'!$B$21)*(($I74+COLUMN($N$3:$DU$3)-COLUMN($N$3))&lt;='KALENDER MINGGU'!$C$21)*(N74:DU74))/F74*H74</f>
        <v>0</v>
      </c>
    </row>
    <row r="75" spans="1:141" ht="15" customHeight="1" x14ac:dyDescent="0.2">
      <c r="A75" s="208">
        <v>72</v>
      </c>
      <c r="B75" s="208">
        <v>111</v>
      </c>
      <c r="C75" s="208" t="str">
        <f>IF(B75&lt;160,'BOBOT PEK'!$B$4,IF(B75&lt;207,'BOBOT PEK'!$B$160,'BOBOT PEK'!$B$207))</f>
        <v>Pekerjaan Gudang Umum</v>
      </c>
      <c r="D75" s="208" t="s">
        <v>196</v>
      </c>
      <c r="E75" s="208" t="str">
        <f>'BOBOT PEK'!C111</f>
        <v>Pembuatan garis kuning lebar 10cm</v>
      </c>
      <c r="F75" s="209">
        <f>IF(OR('BOBOT PEK'!E111="",'BOBOT PEK'!E111=0),1,'BOBOT PEK'!E111)</f>
        <v>170</v>
      </c>
      <c r="G75" s="208" t="str">
        <f>IF('BOBOT PEK'!F111="","ls",'BOBOT PEK'!F111)</f>
        <v>m</v>
      </c>
      <c r="H75" s="210">
        <f>'BOBOT PEK'!J111</f>
        <v>0.15222329046358946</v>
      </c>
      <c r="I75" s="211">
        <f>'KALENDER MINGGU'!$B$3</f>
        <v>46226</v>
      </c>
      <c r="J75" s="209">
        <f t="shared" si="8"/>
        <v>0</v>
      </c>
      <c r="K75" s="209">
        <f t="shared" si="9"/>
        <v>170</v>
      </c>
      <c r="L75" s="212">
        <f t="shared" si="10"/>
        <v>0</v>
      </c>
      <c r="M75" s="208" t="str">
        <f t="shared" si="11"/>
        <v>OK</v>
      </c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  <c r="AA75" s="213"/>
      <c r="AB75" s="213"/>
      <c r="AC75" s="213"/>
      <c r="AD75" s="213"/>
      <c r="AE75" s="213"/>
      <c r="AF75" s="213"/>
      <c r="AG75" s="213"/>
      <c r="AH75" s="213"/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  <c r="BC75" s="213"/>
      <c r="BD75" s="213"/>
      <c r="BE75" s="213"/>
      <c r="BF75" s="213"/>
      <c r="BG75" s="213"/>
      <c r="BH75" s="213"/>
      <c r="BI75" s="213"/>
      <c r="BJ75" s="213"/>
      <c r="BK75" s="213"/>
      <c r="BL75" s="213"/>
      <c r="BM75" s="213"/>
      <c r="BN75" s="213"/>
      <c r="BO75" s="213"/>
      <c r="BP75" s="213"/>
      <c r="BQ75" s="213"/>
      <c r="BR75" s="213"/>
      <c r="BS75" s="213"/>
      <c r="BT75" s="213"/>
      <c r="BU75" s="213"/>
      <c r="BV75" s="213"/>
      <c r="BW75" s="213"/>
      <c r="BX75" s="213"/>
      <c r="BY75" s="213"/>
      <c r="BZ75" s="213"/>
      <c r="CA75" s="213"/>
      <c r="CB75" s="213"/>
      <c r="CC75" s="213"/>
      <c r="CD75" s="213"/>
      <c r="CE75" s="213"/>
      <c r="CF75" s="213"/>
      <c r="CG75" s="213"/>
      <c r="CH75" s="213"/>
      <c r="CI75" s="213"/>
      <c r="CJ75" s="213"/>
      <c r="CK75" s="213"/>
      <c r="CL75" s="213"/>
      <c r="CM75" s="213"/>
      <c r="CN75" s="213"/>
      <c r="CO75" s="213"/>
      <c r="CP75" s="213"/>
      <c r="CQ75" s="213"/>
      <c r="CR75" s="213"/>
      <c r="CS75" s="213"/>
      <c r="CT75" s="213"/>
      <c r="CU75" s="213"/>
      <c r="CV75" s="213"/>
      <c r="CW75" s="213"/>
      <c r="CX75" s="213"/>
      <c r="CY75" s="213"/>
      <c r="CZ75" s="213"/>
      <c r="DA75" s="213"/>
      <c r="DB75" s="213"/>
      <c r="DC75" s="213"/>
      <c r="DD75" s="213"/>
      <c r="DE75" s="213"/>
      <c r="DF75" s="213"/>
      <c r="DG75" s="213"/>
      <c r="DH75" s="213"/>
      <c r="DI75" s="213"/>
      <c r="DJ75" s="213"/>
      <c r="DK75" s="213"/>
      <c r="DL75" s="213"/>
      <c r="DM75" s="213"/>
      <c r="DN75" s="213"/>
      <c r="DO75" s="213"/>
      <c r="DP75" s="213"/>
      <c r="DQ75" s="213"/>
      <c r="DR75" s="213"/>
      <c r="DS75" s="213"/>
      <c r="DT75" s="213"/>
      <c r="DU75" s="213"/>
      <c r="DV75" s="210">
        <f>SUMPRODUCT((($I75+COLUMN($N$3:$DU$3)-COLUMN($N$3))&gt;='KALENDER MINGGU'!$B$6)*(($I75+COLUMN($N$3:$DU$3)-COLUMN($N$3))&lt;='KALENDER MINGGU'!$C$6)*(N75:DU75))/F75*H75</f>
        <v>0</v>
      </c>
      <c r="DW75" s="210">
        <f>SUMPRODUCT((($I75+COLUMN($N$3:$DU$3)-COLUMN($N$3))&gt;='KALENDER MINGGU'!$B$7)*(($I75+COLUMN($N$3:$DU$3)-COLUMN($N$3))&lt;='KALENDER MINGGU'!$C$7)*(N75:DU75))/F75*H75</f>
        <v>0</v>
      </c>
      <c r="DX75" s="210">
        <f>SUMPRODUCT((($I75+COLUMN($N$3:$DU$3)-COLUMN($N$3))&gt;='KALENDER MINGGU'!$B$8)*(($I75+COLUMN($N$3:$DU$3)-COLUMN($N$3))&lt;='KALENDER MINGGU'!$C$8)*(N75:DU75))/F75*H75</f>
        <v>0</v>
      </c>
      <c r="DY75" s="210">
        <f>SUMPRODUCT((($I75+COLUMN($N$3:$DU$3)-COLUMN($N$3))&gt;='KALENDER MINGGU'!$B$9)*(($I75+COLUMN($N$3:$DU$3)-COLUMN($N$3))&lt;='KALENDER MINGGU'!$C$9)*(N75:DU75))/F75*H75</f>
        <v>0</v>
      </c>
      <c r="DZ75" s="210">
        <f>SUMPRODUCT((($I75+COLUMN($N$3:$DU$3)-COLUMN($N$3))&gt;='KALENDER MINGGU'!$B$10)*(($I75+COLUMN($N$3:$DU$3)-COLUMN($N$3))&lt;='KALENDER MINGGU'!$C$10)*(N75:DU75))/F75*H75</f>
        <v>0</v>
      </c>
      <c r="EA75" s="210">
        <f>SUMPRODUCT((($I75+COLUMN($N$3:$DU$3)-COLUMN($N$3))&gt;='KALENDER MINGGU'!$B$11)*(($I75+COLUMN($N$3:$DU$3)-COLUMN($N$3))&lt;='KALENDER MINGGU'!$C$11)*(N75:DU75))/F75*H75</f>
        <v>0</v>
      </c>
      <c r="EB75" s="210">
        <f>SUMPRODUCT((($I75+COLUMN($N$3:$DU$3)-COLUMN($N$3))&gt;='KALENDER MINGGU'!$B$12)*(($I75+COLUMN($N$3:$DU$3)-COLUMN($N$3))&lt;='KALENDER MINGGU'!$C$12)*(N75:DU75))/F75*H75</f>
        <v>0</v>
      </c>
      <c r="EC75" s="210">
        <f>SUMPRODUCT((($I75+COLUMN($N$3:$DU$3)-COLUMN($N$3))&gt;='KALENDER MINGGU'!$B$13)*(($I75+COLUMN($N$3:$DU$3)-COLUMN($N$3))&lt;='KALENDER MINGGU'!$C$13)*(N75:DU75))/F75*H75</f>
        <v>0</v>
      </c>
      <c r="ED75" s="210">
        <f>SUMPRODUCT((($I75+COLUMN($N$3:$DU$3)-COLUMN($N$3))&gt;='KALENDER MINGGU'!$B$14)*(($I75+COLUMN($N$3:$DU$3)-COLUMN($N$3))&lt;='KALENDER MINGGU'!$C$14)*(N75:DU75))/F75*H75</f>
        <v>0</v>
      </c>
      <c r="EE75" s="210">
        <f>SUMPRODUCT((($I75+COLUMN($N$3:$DU$3)-COLUMN($N$3))&gt;='KALENDER MINGGU'!$B$15)*(($I75+COLUMN($N$3:$DU$3)-COLUMN($N$3))&lt;='KALENDER MINGGU'!$C$15)*(N75:DU75))/F75*H75</f>
        <v>0</v>
      </c>
      <c r="EF75" s="210">
        <f>SUMPRODUCT((($I75+COLUMN($N$3:$DU$3)-COLUMN($N$3))&gt;='KALENDER MINGGU'!$B$16)*(($I75+COLUMN($N$3:$DU$3)-COLUMN($N$3))&lt;='KALENDER MINGGU'!$C$16)*(N75:DU75))/F75*H75</f>
        <v>0</v>
      </c>
      <c r="EG75" s="210">
        <f>SUMPRODUCT((($I75+COLUMN($N$3:$DU$3)-COLUMN($N$3))&gt;='KALENDER MINGGU'!$B$17)*(($I75+COLUMN($N$3:$DU$3)-COLUMN($N$3))&lt;='KALENDER MINGGU'!$C$17)*(N75:DU75))/F75*H75</f>
        <v>0</v>
      </c>
      <c r="EH75" s="210">
        <f>SUMPRODUCT((($I75+COLUMN($N$3:$DU$3)-COLUMN($N$3))&gt;='KALENDER MINGGU'!$B$18)*(($I75+COLUMN($N$3:$DU$3)-COLUMN($N$3))&lt;='KALENDER MINGGU'!$C$18)*(N75:DU75))/F75*H75</f>
        <v>0</v>
      </c>
      <c r="EI75" s="210">
        <f>SUMPRODUCT((($I75+COLUMN($N$3:$DU$3)-COLUMN($N$3))&gt;='KALENDER MINGGU'!$B$19)*(($I75+COLUMN($N$3:$DU$3)-COLUMN($N$3))&lt;='KALENDER MINGGU'!$C$19)*(N75:DU75))/F75*H75</f>
        <v>0</v>
      </c>
      <c r="EJ75" s="210">
        <f>SUMPRODUCT((($I75+COLUMN($N$3:$DU$3)-COLUMN($N$3))&gt;='KALENDER MINGGU'!$B$20)*(($I75+COLUMN($N$3:$DU$3)-COLUMN($N$3))&lt;='KALENDER MINGGU'!$C$20)*(N75:DU75))/F75*H75</f>
        <v>0</v>
      </c>
      <c r="EK75" s="210">
        <f>SUMPRODUCT((($I75+COLUMN($N$3:$DU$3)-COLUMN($N$3))&gt;='KALENDER MINGGU'!$B$21)*(($I75+COLUMN($N$3:$DU$3)-COLUMN($N$3))&lt;='KALENDER MINGGU'!$C$21)*(N75:DU75))/F75*H75</f>
        <v>0</v>
      </c>
    </row>
    <row r="76" spans="1:141" ht="15" customHeight="1" x14ac:dyDescent="0.2">
      <c r="A76" s="208">
        <v>73</v>
      </c>
      <c r="B76" s="208">
        <v>112</v>
      </c>
      <c r="C76" s="208" t="str">
        <f>IF(B76&lt;160,'BOBOT PEK'!$B$4,IF(B76&lt;207,'BOBOT PEK'!$B$160,'BOBOT PEK'!$B$207))</f>
        <v>Pekerjaan Gudang Umum</v>
      </c>
      <c r="D76" s="208" t="s">
        <v>196</v>
      </c>
      <c r="E76" s="208" t="str">
        <f>'BOBOT PEK'!C112</f>
        <v>Pekerjaan got samping</v>
      </c>
      <c r="F76" s="209">
        <f>IF(OR('BOBOT PEK'!E112="",'BOBOT PEK'!E112=0),1,'BOBOT PEK'!E112)</f>
        <v>1</v>
      </c>
      <c r="G76" s="208" t="str">
        <f>IF('BOBOT PEK'!F112="","ls",'BOBOT PEK'!F112)</f>
        <v>ls</v>
      </c>
      <c r="H76" s="210">
        <f>'BOBOT PEK'!J112</f>
        <v>0</v>
      </c>
      <c r="I76" s="211">
        <f>'KALENDER MINGGU'!$B$3</f>
        <v>46226</v>
      </c>
      <c r="J76" s="209">
        <f t="shared" si="8"/>
        <v>0.99999999999999989</v>
      </c>
      <c r="K76" s="209">
        <f t="shared" si="9"/>
        <v>1.1102230246251565E-16</v>
      </c>
      <c r="L76" s="212">
        <f t="shared" si="10"/>
        <v>0.99999999999999989</v>
      </c>
      <c r="M76" s="208" t="str">
        <f t="shared" si="11"/>
        <v>OK</v>
      </c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  <c r="AA76" s="213"/>
      <c r="AB76" s="213"/>
      <c r="AC76" s="213"/>
      <c r="AD76" s="213"/>
      <c r="AE76" s="213"/>
      <c r="AF76" s="213"/>
      <c r="AG76" s="213"/>
      <c r="AH76" s="213"/>
      <c r="AI76" s="213"/>
      <c r="AJ76" s="213"/>
      <c r="AK76" s="213">
        <v>0.6</v>
      </c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  <c r="BC76" s="213"/>
      <c r="BD76" s="213"/>
      <c r="BE76" s="213">
        <v>0.1</v>
      </c>
      <c r="BF76" s="213">
        <v>0.1</v>
      </c>
      <c r="BG76" s="213"/>
      <c r="BH76" s="213"/>
      <c r="BI76" s="213"/>
      <c r="BJ76" s="213">
        <v>0.1</v>
      </c>
      <c r="BK76" s="213"/>
      <c r="BL76" s="213"/>
      <c r="BM76" s="213"/>
      <c r="BN76" s="213"/>
      <c r="BO76" s="213"/>
      <c r="BP76" s="213"/>
      <c r="BQ76" s="213"/>
      <c r="BR76" s="213">
        <v>0.1</v>
      </c>
      <c r="BS76" s="213"/>
      <c r="BT76" s="213"/>
      <c r="BU76" s="213"/>
      <c r="BV76" s="213"/>
      <c r="BW76" s="213"/>
      <c r="BX76" s="213"/>
      <c r="BY76" s="213"/>
      <c r="BZ76" s="213"/>
      <c r="CA76" s="213"/>
      <c r="CB76" s="213"/>
      <c r="CC76" s="213"/>
      <c r="CD76" s="213"/>
      <c r="CE76" s="213"/>
      <c r="CF76" s="213"/>
      <c r="CG76" s="213"/>
      <c r="CH76" s="213"/>
      <c r="CI76" s="213"/>
      <c r="CJ76" s="213"/>
      <c r="CK76" s="213"/>
      <c r="CL76" s="213"/>
      <c r="CM76" s="213"/>
      <c r="CN76" s="213"/>
      <c r="CO76" s="213"/>
      <c r="CP76" s="213"/>
      <c r="CQ76" s="213"/>
      <c r="CR76" s="213"/>
      <c r="CS76" s="213"/>
      <c r="CT76" s="213"/>
      <c r="CU76" s="213"/>
      <c r="CV76" s="213"/>
      <c r="CW76" s="213"/>
      <c r="CX76" s="213"/>
      <c r="CY76" s="213"/>
      <c r="CZ76" s="213"/>
      <c r="DA76" s="213"/>
      <c r="DB76" s="213"/>
      <c r="DC76" s="213"/>
      <c r="DD76" s="213"/>
      <c r="DE76" s="213"/>
      <c r="DF76" s="213"/>
      <c r="DG76" s="213"/>
      <c r="DH76" s="213"/>
      <c r="DI76" s="213"/>
      <c r="DJ76" s="213"/>
      <c r="DK76" s="213"/>
      <c r="DL76" s="213"/>
      <c r="DM76" s="213"/>
      <c r="DN76" s="213"/>
      <c r="DO76" s="213"/>
      <c r="DP76" s="213"/>
      <c r="DQ76" s="213"/>
      <c r="DR76" s="213"/>
      <c r="DS76" s="213"/>
      <c r="DT76" s="213"/>
      <c r="DU76" s="213"/>
      <c r="DV76" s="210">
        <f>SUMPRODUCT((($I76+COLUMN($N$3:$DU$3)-COLUMN($N$3))&gt;='KALENDER MINGGU'!$B$6)*(($I76+COLUMN($N$3:$DU$3)-COLUMN($N$3))&lt;='KALENDER MINGGU'!$C$6)*(N76:DU76))/F76*H76</f>
        <v>0</v>
      </c>
      <c r="DW76" s="210">
        <f>SUMPRODUCT((($I76+COLUMN($N$3:$DU$3)-COLUMN($N$3))&gt;='KALENDER MINGGU'!$B$7)*(($I76+COLUMN($N$3:$DU$3)-COLUMN($N$3))&lt;='KALENDER MINGGU'!$C$7)*(N76:DU76))/F76*H76</f>
        <v>0</v>
      </c>
      <c r="DX76" s="210">
        <f>SUMPRODUCT((($I76+COLUMN($N$3:$DU$3)-COLUMN($N$3))&gt;='KALENDER MINGGU'!$B$8)*(($I76+COLUMN($N$3:$DU$3)-COLUMN($N$3))&lt;='KALENDER MINGGU'!$C$8)*(N76:DU76))/F76*H76</f>
        <v>0</v>
      </c>
      <c r="DY76" s="210">
        <f>SUMPRODUCT((($I76+COLUMN($N$3:$DU$3)-COLUMN($N$3))&gt;='KALENDER MINGGU'!$B$9)*(($I76+COLUMN($N$3:$DU$3)-COLUMN($N$3))&lt;='KALENDER MINGGU'!$C$9)*(N76:DU76))/F76*H76</f>
        <v>0</v>
      </c>
      <c r="DZ76" s="210">
        <f>SUMPRODUCT((($I76+COLUMN($N$3:$DU$3)-COLUMN($N$3))&gt;='KALENDER MINGGU'!$B$10)*(($I76+COLUMN($N$3:$DU$3)-COLUMN($N$3))&lt;='KALENDER MINGGU'!$C$10)*(N76:DU76))/F76*H76</f>
        <v>0</v>
      </c>
      <c r="EA76" s="210">
        <f>SUMPRODUCT((($I76+COLUMN($N$3:$DU$3)-COLUMN($N$3))&gt;='KALENDER MINGGU'!$B$11)*(($I76+COLUMN($N$3:$DU$3)-COLUMN($N$3))&lt;='KALENDER MINGGU'!$C$11)*(N76:DU76))/F76*H76</f>
        <v>0</v>
      </c>
      <c r="EB76" s="210">
        <f>SUMPRODUCT((($I76+COLUMN($N$3:$DU$3)-COLUMN($N$3))&gt;='KALENDER MINGGU'!$B$12)*(($I76+COLUMN($N$3:$DU$3)-COLUMN($N$3))&lt;='KALENDER MINGGU'!$C$12)*(N76:DU76))/F76*H76</f>
        <v>0</v>
      </c>
      <c r="EC76" s="210">
        <f>SUMPRODUCT((($I76+COLUMN($N$3:$DU$3)-COLUMN($N$3))&gt;='KALENDER MINGGU'!$B$13)*(($I76+COLUMN($N$3:$DU$3)-COLUMN($N$3))&lt;='KALENDER MINGGU'!$C$13)*(N76:DU76))/F76*H76</f>
        <v>0</v>
      </c>
      <c r="ED76" s="210">
        <f>SUMPRODUCT((($I76+COLUMN($N$3:$DU$3)-COLUMN($N$3))&gt;='KALENDER MINGGU'!$B$14)*(($I76+COLUMN($N$3:$DU$3)-COLUMN($N$3))&lt;='KALENDER MINGGU'!$C$14)*(N76:DU76))/F76*H76</f>
        <v>0</v>
      </c>
      <c r="EE76" s="210">
        <f>SUMPRODUCT((($I76+COLUMN($N$3:$DU$3)-COLUMN($N$3))&gt;='KALENDER MINGGU'!$B$15)*(($I76+COLUMN($N$3:$DU$3)-COLUMN($N$3))&lt;='KALENDER MINGGU'!$C$15)*(N76:DU76))/F76*H76</f>
        <v>0</v>
      </c>
      <c r="EF76" s="210">
        <f>SUMPRODUCT((($I76+COLUMN($N$3:$DU$3)-COLUMN($N$3))&gt;='KALENDER MINGGU'!$B$16)*(($I76+COLUMN($N$3:$DU$3)-COLUMN($N$3))&lt;='KALENDER MINGGU'!$C$16)*(N76:DU76))/F76*H76</f>
        <v>0</v>
      </c>
      <c r="EG76" s="210">
        <f>SUMPRODUCT((($I76+COLUMN($N$3:$DU$3)-COLUMN($N$3))&gt;='KALENDER MINGGU'!$B$17)*(($I76+COLUMN($N$3:$DU$3)-COLUMN($N$3))&lt;='KALENDER MINGGU'!$C$17)*(N76:DU76))/F76*H76</f>
        <v>0</v>
      </c>
      <c r="EH76" s="210">
        <f>SUMPRODUCT((($I76+COLUMN($N$3:$DU$3)-COLUMN($N$3))&gt;='KALENDER MINGGU'!$B$18)*(($I76+COLUMN($N$3:$DU$3)-COLUMN($N$3))&lt;='KALENDER MINGGU'!$C$18)*(N76:DU76))/F76*H76</f>
        <v>0</v>
      </c>
      <c r="EI76" s="210">
        <f>SUMPRODUCT((($I76+COLUMN($N$3:$DU$3)-COLUMN($N$3))&gt;='KALENDER MINGGU'!$B$19)*(($I76+COLUMN($N$3:$DU$3)-COLUMN($N$3))&lt;='KALENDER MINGGU'!$C$19)*(N76:DU76))/F76*H76</f>
        <v>0</v>
      </c>
      <c r="EJ76" s="210">
        <f>SUMPRODUCT((($I76+COLUMN($N$3:$DU$3)-COLUMN($N$3))&gt;='KALENDER MINGGU'!$B$20)*(($I76+COLUMN($N$3:$DU$3)-COLUMN($N$3))&lt;='KALENDER MINGGU'!$C$20)*(N76:DU76))/F76*H76</f>
        <v>0</v>
      </c>
      <c r="EK76" s="210">
        <f>SUMPRODUCT((($I76+COLUMN($N$3:$DU$3)-COLUMN($N$3))&gt;='KALENDER MINGGU'!$B$21)*(($I76+COLUMN($N$3:$DU$3)-COLUMN($N$3))&lt;='KALENDER MINGGU'!$C$21)*(N76:DU76))/F76*H76</f>
        <v>0</v>
      </c>
    </row>
    <row r="77" spans="1:141" ht="15" customHeight="1" x14ac:dyDescent="0.2">
      <c r="A77" s="208">
        <v>74</v>
      </c>
      <c r="B77" s="208">
        <v>113</v>
      </c>
      <c r="C77" s="208" t="str">
        <f>IF(B77&lt;160,'BOBOT PEK'!$B$4,IF(B77&lt;207,'BOBOT PEK'!$B$160,'BOBOT PEK'!$B$207))</f>
        <v>Pekerjaan Gudang Umum</v>
      </c>
      <c r="D77" s="208" t="s">
        <v>196</v>
      </c>
      <c r="E77" s="208" t="str">
        <f>'BOBOT PEK'!C113</f>
        <v>Refinishing saluran</v>
      </c>
      <c r="F77" s="209">
        <f>IF(OR('BOBOT PEK'!E113="",'BOBOT PEK'!E113=0),1,'BOBOT PEK'!E113)</f>
        <v>185</v>
      </c>
      <c r="G77" s="208" t="str">
        <f>IF('BOBOT PEK'!F113="","ls",'BOBOT PEK'!F113)</f>
        <v>m</v>
      </c>
      <c r="H77" s="210">
        <f>'BOBOT PEK'!J113</f>
        <v>0.85193875167017286</v>
      </c>
      <c r="I77" s="211">
        <f>'KALENDER MINGGU'!$B$3</f>
        <v>46226</v>
      </c>
      <c r="J77" s="209">
        <f t="shared" si="8"/>
        <v>175</v>
      </c>
      <c r="K77" s="209">
        <f t="shared" si="9"/>
        <v>10</v>
      </c>
      <c r="L77" s="212">
        <f t="shared" si="10"/>
        <v>0.94594594594594594</v>
      </c>
      <c r="M77" s="208" t="str">
        <f t="shared" si="11"/>
        <v>OK</v>
      </c>
      <c r="N77" s="213"/>
      <c r="O77" s="213"/>
      <c r="P77" s="213"/>
      <c r="Q77" s="213">
        <v>6</v>
      </c>
      <c r="R77" s="213">
        <v>6</v>
      </c>
      <c r="S77" s="213">
        <v>6</v>
      </c>
      <c r="T77" s="213">
        <v>6</v>
      </c>
      <c r="U77" s="213">
        <v>6</v>
      </c>
      <c r="V77" s="213">
        <v>6</v>
      </c>
      <c r="W77" s="213">
        <v>6</v>
      </c>
      <c r="X77" s="213">
        <v>6</v>
      </c>
      <c r="Y77" s="213">
        <v>5</v>
      </c>
      <c r="Z77" s="213">
        <v>6</v>
      </c>
      <c r="AA77" s="213">
        <v>6</v>
      </c>
      <c r="AB77" s="213">
        <v>5</v>
      </c>
      <c r="AC77" s="213">
        <v>5</v>
      </c>
      <c r="AD77" s="213">
        <v>5</v>
      </c>
      <c r="AE77" s="213">
        <v>4</v>
      </c>
      <c r="AF77" s="213"/>
      <c r="AG77" s="213">
        <v>5</v>
      </c>
      <c r="AH77" s="213">
        <v>4</v>
      </c>
      <c r="AI77" s="213">
        <v>4</v>
      </c>
      <c r="AJ77" s="213">
        <v>4</v>
      </c>
      <c r="AK77" s="213"/>
      <c r="AL77" s="213"/>
      <c r="AM77" s="213"/>
      <c r="AN77" s="213"/>
      <c r="AO77" s="213"/>
      <c r="AP77" s="213"/>
      <c r="AQ77" s="213"/>
      <c r="AR77" s="213"/>
      <c r="AS77" s="213"/>
      <c r="AT77" s="213">
        <v>5</v>
      </c>
      <c r="AU77" s="213">
        <v>5</v>
      </c>
      <c r="AV77" s="213">
        <v>3</v>
      </c>
      <c r="AW77" s="213">
        <v>3</v>
      </c>
      <c r="AX77" s="213"/>
      <c r="AY77" s="213"/>
      <c r="AZ77" s="213"/>
      <c r="BA77" s="213">
        <v>5</v>
      </c>
      <c r="BB77" s="213">
        <v>25</v>
      </c>
      <c r="BC77" s="213">
        <v>3</v>
      </c>
      <c r="BD77" s="213">
        <v>5</v>
      </c>
      <c r="BE77" s="213">
        <v>5</v>
      </c>
      <c r="BF77" s="213">
        <v>5</v>
      </c>
      <c r="BG77" s="213">
        <v>5</v>
      </c>
      <c r="BH77" s="213">
        <v>5</v>
      </c>
      <c r="BI77" s="213"/>
      <c r="BJ77" s="213"/>
      <c r="BK77" s="213"/>
      <c r="BL77" s="213"/>
      <c r="BM77" s="213"/>
      <c r="BN77" s="213"/>
      <c r="BO77" s="213"/>
      <c r="BP77" s="213"/>
      <c r="BQ77" s="213"/>
      <c r="BR77" s="213"/>
      <c r="BS77" s="213"/>
      <c r="BT77" s="213"/>
      <c r="BU77" s="213"/>
      <c r="BV77" s="213"/>
      <c r="BW77" s="213"/>
      <c r="BX77" s="213"/>
      <c r="BY77" s="213"/>
      <c r="BZ77" s="213"/>
      <c r="CA77" s="213"/>
      <c r="CB77" s="213"/>
      <c r="CC77" s="213"/>
      <c r="CD77" s="213"/>
      <c r="CE77" s="213"/>
      <c r="CF77" s="213"/>
      <c r="CG77" s="213"/>
      <c r="CH77" s="213"/>
      <c r="CI77" s="213"/>
      <c r="CJ77" s="213"/>
      <c r="CK77" s="213"/>
      <c r="CL77" s="213"/>
      <c r="CM77" s="213"/>
      <c r="CN77" s="213"/>
      <c r="CO77" s="213"/>
      <c r="CP77" s="213"/>
      <c r="CQ77" s="213"/>
      <c r="CR77" s="213"/>
      <c r="CS77" s="213"/>
      <c r="CT77" s="213"/>
      <c r="CU77" s="213"/>
      <c r="CV77" s="213"/>
      <c r="CW77" s="213"/>
      <c r="CX77" s="213"/>
      <c r="CY77" s="213"/>
      <c r="CZ77" s="213"/>
      <c r="DA77" s="213"/>
      <c r="DB77" s="213"/>
      <c r="DC77" s="213"/>
      <c r="DD77" s="213"/>
      <c r="DE77" s="213"/>
      <c r="DF77" s="213"/>
      <c r="DG77" s="213"/>
      <c r="DH77" s="213"/>
      <c r="DI77" s="213"/>
      <c r="DJ77" s="213"/>
      <c r="DK77" s="213"/>
      <c r="DL77" s="213"/>
      <c r="DM77" s="213"/>
      <c r="DN77" s="213"/>
      <c r="DO77" s="213"/>
      <c r="DP77" s="213"/>
      <c r="DQ77" s="213"/>
      <c r="DR77" s="213"/>
      <c r="DS77" s="213"/>
      <c r="DT77" s="213"/>
      <c r="DU77" s="213"/>
      <c r="DV77" s="210">
        <f>SUMPRODUCT((($I77+COLUMN($N$3:$DU$3)-COLUMN($N$3))&gt;='KALENDER MINGGU'!$B$6)*(($I77+COLUMN($N$3:$DU$3)-COLUMN($N$3))&lt;='KALENDER MINGGU'!$C$6)*(N77:DU77))/F77*H77</f>
        <v>0.11052178400045486</v>
      </c>
      <c r="DW77" s="210">
        <f>SUMPRODUCT((($I77+COLUMN($N$3:$DU$3)-COLUMN($N$3))&gt;='KALENDER MINGGU'!$B$7)*(($I77+COLUMN($N$3:$DU$3)-COLUMN($N$3))&lt;='KALENDER MINGGU'!$C$7)*(N77:DU77))/F77*H77</f>
        <v>0.18880804766744372</v>
      </c>
      <c r="DX77" s="210">
        <f>SUMPRODUCT((($I77+COLUMN($N$3:$DU$3)-COLUMN($N$3))&gt;='KALENDER MINGGU'!$B$8)*(($I77+COLUMN($N$3:$DU$3)-COLUMN($N$3))&lt;='KALENDER MINGGU'!$C$8)*(N77:DU77))/F77*H77</f>
        <v>0.12894208133386401</v>
      </c>
      <c r="DY77" s="210">
        <f>SUMPRODUCT((($I77+COLUMN($N$3:$DU$3)-COLUMN($N$3))&gt;='KALENDER MINGGU'!$B$9)*(($I77+COLUMN($N$3:$DU$3)-COLUMN($N$3))&lt;='KALENDER MINGGU'!$C$9)*(N77:DU77))/F77*H77</f>
        <v>3.6840594666818285E-2</v>
      </c>
      <c r="DZ77" s="210">
        <f>SUMPRODUCT((($I77+COLUMN($N$3:$DU$3)-COLUMN($N$3))&gt;='KALENDER MINGGU'!$B$10)*(($I77+COLUMN($N$3:$DU$3)-COLUMN($N$3))&lt;='KALENDER MINGGU'!$C$10)*(N77:DU77))/F77*H77</f>
        <v>5.9865966333579719E-2</v>
      </c>
      <c r="EA77" s="210">
        <f>SUMPRODUCT((($I77+COLUMN($N$3:$DU$3)-COLUMN($N$3))&gt;='KALENDER MINGGU'!$B$11)*(($I77+COLUMN($N$3:$DU$3)-COLUMN($N$3))&lt;='KALENDER MINGGU'!$C$11)*(N77:DU77))/F77*H77</f>
        <v>0.16578267600068231</v>
      </c>
      <c r="EB77" s="210">
        <f>SUMPRODUCT((($I77+COLUMN($N$3:$DU$3)-COLUMN($N$3))&gt;='KALENDER MINGGU'!$B$12)*(($I77+COLUMN($N$3:$DU$3)-COLUMN($N$3))&lt;='KALENDER MINGGU'!$C$12)*(N77:DU77))/F77*H77</f>
        <v>0.11512685833380715</v>
      </c>
      <c r="EC77" s="210">
        <f>SUMPRODUCT((($I77+COLUMN($N$3:$DU$3)-COLUMN($N$3))&gt;='KALENDER MINGGU'!$B$13)*(($I77+COLUMN($N$3:$DU$3)-COLUMN($N$3))&lt;='KALENDER MINGGU'!$C$13)*(N77:DU77))/F77*H77</f>
        <v>0</v>
      </c>
      <c r="ED77" s="210">
        <f>SUMPRODUCT((($I77+COLUMN($N$3:$DU$3)-COLUMN($N$3))&gt;='KALENDER MINGGU'!$B$14)*(($I77+COLUMN($N$3:$DU$3)-COLUMN($N$3))&lt;='KALENDER MINGGU'!$C$14)*(N77:DU77))/F77*H77</f>
        <v>0</v>
      </c>
      <c r="EE77" s="210">
        <f>SUMPRODUCT((($I77+COLUMN($N$3:$DU$3)-COLUMN($N$3))&gt;='KALENDER MINGGU'!$B$15)*(($I77+COLUMN($N$3:$DU$3)-COLUMN($N$3))&lt;='KALENDER MINGGU'!$C$15)*(N77:DU77))/F77*H77</f>
        <v>0</v>
      </c>
      <c r="EF77" s="210">
        <f>SUMPRODUCT((($I77+COLUMN($N$3:$DU$3)-COLUMN($N$3))&gt;='KALENDER MINGGU'!$B$16)*(($I77+COLUMN($N$3:$DU$3)-COLUMN($N$3))&lt;='KALENDER MINGGU'!$C$16)*(N77:DU77))/F77*H77</f>
        <v>0</v>
      </c>
      <c r="EG77" s="210">
        <f>SUMPRODUCT((($I77+COLUMN($N$3:$DU$3)-COLUMN($N$3))&gt;='KALENDER MINGGU'!$B$17)*(($I77+COLUMN($N$3:$DU$3)-COLUMN($N$3))&lt;='KALENDER MINGGU'!$C$17)*(N77:DU77))/F77*H77</f>
        <v>0</v>
      </c>
      <c r="EH77" s="210">
        <f>SUMPRODUCT((($I77+COLUMN($N$3:$DU$3)-COLUMN($N$3))&gt;='KALENDER MINGGU'!$B$18)*(($I77+COLUMN($N$3:$DU$3)-COLUMN($N$3))&lt;='KALENDER MINGGU'!$C$18)*(N77:DU77))/F77*H77</f>
        <v>0</v>
      </c>
      <c r="EI77" s="210">
        <f>SUMPRODUCT((($I77+COLUMN($N$3:$DU$3)-COLUMN($N$3))&gt;='KALENDER MINGGU'!$B$19)*(($I77+COLUMN($N$3:$DU$3)-COLUMN($N$3))&lt;='KALENDER MINGGU'!$C$19)*(N77:DU77))/F77*H77</f>
        <v>0</v>
      </c>
      <c r="EJ77" s="210">
        <f>SUMPRODUCT((($I77+COLUMN($N$3:$DU$3)-COLUMN($N$3))&gt;='KALENDER MINGGU'!$B$20)*(($I77+COLUMN($N$3:$DU$3)-COLUMN($N$3))&lt;='KALENDER MINGGU'!$C$20)*(N77:DU77))/F77*H77</f>
        <v>0</v>
      </c>
      <c r="EK77" s="210">
        <f>SUMPRODUCT((($I77+COLUMN($N$3:$DU$3)-COLUMN($N$3))&gt;='KALENDER MINGGU'!$B$21)*(($I77+COLUMN($N$3:$DU$3)-COLUMN($N$3))&lt;='KALENDER MINGGU'!$C$21)*(N77:DU77))/F77*H77</f>
        <v>0</v>
      </c>
    </row>
    <row r="78" spans="1:141" ht="15" customHeight="1" x14ac:dyDescent="0.2">
      <c r="A78" s="208">
        <v>75</v>
      </c>
      <c r="B78" s="208">
        <v>114</v>
      </c>
      <c r="C78" s="208" t="str">
        <f>IF(B78&lt;160,'BOBOT PEK'!$B$4,IF(B78&lt;207,'BOBOT PEK'!$B$160,'BOBOT PEK'!$B$207))</f>
        <v>Pekerjaan Gudang Umum</v>
      </c>
      <c r="D78" s="208" t="s">
        <v>196</v>
      </c>
      <c r="E78" s="208" t="str">
        <f>'BOBOT PEK'!C114</f>
        <v>Pembuatan dinding batu kali</v>
      </c>
      <c r="F78" s="209">
        <f>IF(OR('BOBOT PEK'!E114="",'BOBOT PEK'!E114=0),1,'BOBOT PEK'!E114)</f>
        <v>30</v>
      </c>
      <c r="G78" s="208" t="str">
        <f>IF('BOBOT PEK'!F114="","ls",'BOBOT PEK'!F114)</f>
        <v>m</v>
      </c>
      <c r="H78" s="210">
        <f>'BOBOT PEK'!J114</f>
        <v>0.61400991111363812</v>
      </c>
      <c r="I78" s="211">
        <f>'KALENDER MINGGU'!$B$3</f>
        <v>46226</v>
      </c>
      <c r="J78" s="209">
        <f t="shared" si="8"/>
        <v>30</v>
      </c>
      <c r="K78" s="209">
        <f t="shared" si="9"/>
        <v>0</v>
      </c>
      <c r="L78" s="212">
        <f t="shared" si="10"/>
        <v>1</v>
      </c>
      <c r="M78" s="208" t="str">
        <f t="shared" si="11"/>
        <v>OK</v>
      </c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  <c r="AA78" s="213"/>
      <c r="AB78" s="213"/>
      <c r="AC78" s="213"/>
      <c r="AD78" s="213"/>
      <c r="AE78" s="213"/>
      <c r="AF78" s="213"/>
      <c r="AG78" s="213"/>
      <c r="AH78" s="213"/>
      <c r="AI78" s="213"/>
      <c r="AJ78" s="213">
        <v>8</v>
      </c>
      <c r="AK78" s="213">
        <v>2</v>
      </c>
      <c r="AL78" s="213"/>
      <c r="AM78" s="213"/>
      <c r="AN78" s="213"/>
      <c r="AO78" s="213"/>
      <c r="AP78" s="213"/>
      <c r="AQ78" s="213"/>
      <c r="AR78" s="213"/>
      <c r="AS78" s="213">
        <v>5</v>
      </c>
      <c r="AT78" s="213">
        <v>5</v>
      </c>
      <c r="AU78" s="213"/>
      <c r="AV78" s="213">
        <v>3</v>
      </c>
      <c r="AW78" s="213"/>
      <c r="AX78" s="213"/>
      <c r="AY78" s="213"/>
      <c r="AZ78" s="213"/>
      <c r="BA78" s="213">
        <v>3</v>
      </c>
      <c r="BB78" s="213"/>
      <c r="BC78" s="213"/>
      <c r="BD78" s="213"/>
      <c r="BE78" s="213"/>
      <c r="BF78" s="213"/>
      <c r="BG78" s="213">
        <v>3</v>
      </c>
      <c r="BH78" s="213"/>
      <c r="BI78" s="213"/>
      <c r="BJ78" s="213"/>
      <c r="BK78" s="213"/>
      <c r="BL78" s="213"/>
      <c r="BM78" s="213"/>
      <c r="BN78" s="213"/>
      <c r="BO78" s="213"/>
      <c r="BP78" s="213"/>
      <c r="BQ78" s="213"/>
      <c r="BR78" s="213"/>
      <c r="BS78" s="213"/>
      <c r="BT78" s="213"/>
      <c r="BU78" s="213"/>
      <c r="BV78" s="213"/>
      <c r="BW78" s="213"/>
      <c r="BX78" s="213"/>
      <c r="BY78" s="213"/>
      <c r="BZ78" s="213"/>
      <c r="CA78" s="213"/>
      <c r="CB78" s="213">
        <v>1</v>
      </c>
      <c r="CC78" s="213"/>
      <c r="CD78" s="213"/>
      <c r="CE78" s="213"/>
      <c r="CF78" s="213"/>
      <c r="CG78" s="213"/>
      <c r="CH78" s="213"/>
      <c r="CI78" s="213"/>
      <c r="CJ78" s="213"/>
      <c r="CK78" s="213"/>
      <c r="CL78" s="213"/>
      <c r="CM78" s="213"/>
      <c r="CN78" s="213"/>
      <c r="CO78" s="213"/>
      <c r="CP78" s="213"/>
      <c r="CQ78" s="213"/>
      <c r="CR78" s="213"/>
      <c r="CS78" s="213"/>
      <c r="CT78" s="213"/>
      <c r="CU78" s="213"/>
      <c r="CV78" s="213"/>
      <c r="CW78" s="213"/>
      <c r="CX78" s="213"/>
      <c r="CY78" s="213"/>
      <c r="CZ78" s="213"/>
      <c r="DA78" s="213"/>
      <c r="DB78" s="213"/>
      <c r="DC78" s="213"/>
      <c r="DD78" s="213"/>
      <c r="DE78" s="213"/>
      <c r="DF78" s="213"/>
      <c r="DG78" s="213"/>
      <c r="DH78" s="213"/>
      <c r="DI78" s="213"/>
      <c r="DJ78" s="213"/>
      <c r="DK78" s="213"/>
      <c r="DL78" s="213"/>
      <c r="DM78" s="213"/>
      <c r="DN78" s="213"/>
      <c r="DO78" s="213"/>
      <c r="DP78" s="213"/>
      <c r="DQ78" s="213"/>
      <c r="DR78" s="213"/>
      <c r="DS78" s="213"/>
      <c r="DT78" s="213"/>
      <c r="DU78" s="213"/>
      <c r="DV78" s="210">
        <f>SUMPRODUCT((($I78+COLUMN($N$3:$DU$3)-COLUMN($N$3))&gt;='KALENDER MINGGU'!$B$6)*(($I78+COLUMN($N$3:$DU$3)-COLUMN($N$3))&lt;='KALENDER MINGGU'!$C$6)*(N78:DU78))/F78*H78</f>
        <v>0</v>
      </c>
      <c r="DW78" s="210">
        <f>SUMPRODUCT((($I78+COLUMN($N$3:$DU$3)-COLUMN($N$3))&gt;='KALENDER MINGGU'!$B$7)*(($I78+COLUMN($N$3:$DU$3)-COLUMN($N$3))&lt;='KALENDER MINGGU'!$C$7)*(N78:DU78))/F78*H78</f>
        <v>0</v>
      </c>
      <c r="DX78" s="210">
        <f>SUMPRODUCT((($I78+COLUMN($N$3:$DU$3)-COLUMN($N$3))&gt;='KALENDER MINGGU'!$B$8)*(($I78+COLUMN($N$3:$DU$3)-COLUMN($N$3))&lt;='KALENDER MINGGU'!$C$8)*(N78:DU78))/F78*H78</f>
        <v>0</v>
      </c>
      <c r="DY78" s="210">
        <f>SUMPRODUCT((($I78+COLUMN($N$3:$DU$3)-COLUMN($N$3))&gt;='KALENDER MINGGU'!$B$9)*(($I78+COLUMN($N$3:$DU$3)-COLUMN($N$3))&lt;='KALENDER MINGGU'!$C$9)*(N78:DU78))/F78*H78</f>
        <v>0.20466997037121271</v>
      </c>
      <c r="DZ78" s="210">
        <f>SUMPRODUCT((($I78+COLUMN($N$3:$DU$3)-COLUMN($N$3))&gt;='KALENDER MINGGU'!$B$10)*(($I78+COLUMN($N$3:$DU$3)-COLUMN($N$3))&lt;='KALENDER MINGGU'!$C$10)*(N78:DU78))/F78*H78</f>
        <v>0.26607096148257653</v>
      </c>
      <c r="EA78" s="210">
        <f>SUMPRODUCT((($I78+COLUMN($N$3:$DU$3)-COLUMN($N$3))&gt;='KALENDER MINGGU'!$B$11)*(($I78+COLUMN($N$3:$DU$3)-COLUMN($N$3))&lt;='KALENDER MINGGU'!$C$11)*(N78:DU78))/F78*H78</f>
        <v>6.1400991111363816E-2</v>
      </c>
      <c r="EB78" s="210">
        <f>SUMPRODUCT((($I78+COLUMN($N$3:$DU$3)-COLUMN($N$3))&gt;='KALENDER MINGGU'!$B$12)*(($I78+COLUMN($N$3:$DU$3)-COLUMN($N$3))&lt;='KALENDER MINGGU'!$C$12)*(N78:DU78))/F78*H78</f>
        <v>6.1400991111363816E-2</v>
      </c>
      <c r="EC78" s="210">
        <f>SUMPRODUCT((($I78+COLUMN($N$3:$DU$3)-COLUMN($N$3))&gt;='KALENDER MINGGU'!$B$13)*(($I78+COLUMN($N$3:$DU$3)-COLUMN($N$3))&lt;='KALENDER MINGGU'!$C$13)*(N78:DU78))/F78*H78</f>
        <v>0</v>
      </c>
      <c r="ED78" s="210">
        <f>SUMPRODUCT((($I78+COLUMN($N$3:$DU$3)-COLUMN($N$3))&gt;='KALENDER MINGGU'!$B$14)*(($I78+COLUMN($N$3:$DU$3)-COLUMN($N$3))&lt;='KALENDER MINGGU'!$C$14)*(N78:DU78))/F78*H78</f>
        <v>0</v>
      </c>
      <c r="EE78" s="210">
        <f>SUMPRODUCT((($I78+COLUMN($N$3:$DU$3)-COLUMN($N$3))&gt;='KALENDER MINGGU'!$B$15)*(($I78+COLUMN($N$3:$DU$3)-COLUMN($N$3))&lt;='KALENDER MINGGU'!$C$15)*(N78:DU78))/F78*H78</f>
        <v>2.0466997037121272E-2</v>
      </c>
      <c r="EF78" s="210">
        <f>SUMPRODUCT((($I78+COLUMN($N$3:$DU$3)-COLUMN($N$3))&gt;='KALENDER MINGGU'!$B$16)*(($I78+COLUMN($N$3:$DU$3)-COLUMN($N$3))&lt;='KALENDER MINGGU'!$C$16)*(N78:DU78))/F78*H78</f>
        <v>0</v>
      </c>
      <c r="EG78" s="210">
        <f>SUMPRODUCT((($I78+COLUMN($N$3:$DU$3)-COLUMN($N$3))&gt;='KALENDER MINGGU'!$B$17)*(($I78+COLUMN($N$3:$DU$3)-COLUMN($N$3))&lt;='KALENDER MINGGU'!$C$17)*(N78:DU78))/F78*H78</f>
        <v>0</v>
      </c>
      <c r="EH78" s="210">
        <f>SUMPRODUCT((($I78+COLUMN($N$3:$DU$3)-COLUMN($N$3))&gt;='KALENDER MINGGU'!$B$18)*(($I78+COLUMN($N$3:$DU$3)-COLUMN($N$3))&lt;='KALENDER MINGGU'!$C$18)*(N78:DU78))/F78*H78</f>
        <v>0</v>
      </c>
      <c r="EI78" s="210">
        <f>SUMPRODUCT((($I78+COLUMN($N$3:$DU$3)-COLUMN($N$3))&gt;='KALENDER MINGGU'!$B$19)*(($I78+COLUMN($N$3:$DU$3)-COLUMN($N$3))&lt;='KALENDER MINGGU'!$C$19)*(N78:DU78))/F78*H78</f>
        <v>0</v>
      </c>
      <c r="EJ78" s="210">
        <f>SUMPRODUCT((($I78+COLUMN($N$3:$DU$3)-COLUMN($N$3))&gt;='KALENDER MINGGU'!$B$20)*(($I78+COLUMN($N$3:$DU$3)-COLUMN($N$3))&lt;='KALENDER MINGGU'!$C$20)*(N78:DU78))/F78*H78</f>
        <v>0</v>
      </c>
      <c r="EK78" s="210">
        <f>SUMPRODUCT((($I78+COLUMN($N$3:$DU$3)-COLUMN($N$3))&gt;='KALENDER MINGGU'!$B$21)*(($I78+COLUMN($N$3:$DU$3)-COLUMN($N$3))&lt;='KALENDER MINGGU'!$C$21)*(N78:DU78))/F78*H78</f>
        <v>0</v>
      </c>
    </row>
    <row r="79" spans="1:141" ht="15" customHeight="1" x14ac:dyDescent="0.2">
      <c r="A79" s="208">
        <v>76</v>
      </c>
      <c r="B79" s="208">
        <v>118</v>
      </c>
      <c r="C79" s="208" t="str">
        <f>IF(B79&lt;160,'BOBOT PEK'!$B$4,IF(B79&lt;207,'BOBOT PEK'!$B$160,'BOBOT PEK'!$B$207))</f>
        <v>Pekerjaan Gudang Umum</v>
      </c>
      <c r="D79" s="208" t="s">
        <v>206</v>
      </c>
      <c r="E79" s="208" t="str">
        <f>'BOBOT PEK'!C118</f>
        <v>Instalasi penerangan lampu PJU</v>
      </c>
      <c r="F79" s="209">
        <f>IF(OR('BOBOT PEK'!E118="",'BOBOT PEK'!E118=0),1,'BOBOT PEK'!E118)</f>
        <v>336</v>
      </c>
      <c r="G79" s="208" t="str">
        <f>IF('BOBOT PEK'!F118="","ls",'BOBOT PEK'!F118)</f>
        <v>m'</v>
      </c>
      <c r="H79" s="210">
        <f>'BOBOT PEK'!J118</f>
        <v>0.60172971289136523</v>
      </c>
      <c r="I79" s="211">
        <f>'KALENDER MINGGU'!$B$3</f>
        <v>46226</v>
      </c>
      <c r="J79" s="209">
        <f t="shared" si="8"/>
        <v>336</v>
      </c>
      <c r="K79" s="209">
        <f t="shared" si="9"/>
        <v>0</v>
      </c>
      <c r="L79" s="212">
        <f t="shared" si="10"/>
        <v>1</v>
      </c>
      <c r="M79" s="208" t="str">
        <f t="shared" si="11"/>
        <v>OK</v>
      </c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>
        <v>20</v>
      </c>
      <c r="BB79" s="213">
        <v>200</v>
      </c>
      <c r="BC79" s="213"/>
      <c r="BD79" s="213">
        <v>30</v>
      </c>
      <c r="BE79" s="213">
        <v>20</v>
      </c>
      <c r="BF79" s="213">
        <v>20</v>
      </c>
      <c r="BG79" s="213"/>
      <c r="BH79" s="213"/>
      <c r="BI79" s="213"/>
      <c r="BJ79" s="213"/>
      <c r="BK79" s="213"/>
      <c r="BL79" s="213"/>
      <c r="BM79" s="213"/>
      <c r="BN79" s="213"/>
      <c r="BO79" s="213"/>
      <c r="BP79" s="213">
        <v>10</v>
      </c>
      <c r="BQ79" s="213">
        <v>10</v>
      </c>
      <c r="BR79" s="213">
        <v>10</v>
      </c>
      <c r="BS79" s="213">
        <v>10</v>
      </c>
      <c r="BT79" s="213">
        <v>6</v>
      </c>
      <c r="BU79" s="213"/>
      <c r="BV79" s="213"/>
      <c r="BW79" s="213"/>
      <c r="BX79" s="213"/>
      <c r="BY79" s="213"/>
      <c r="BZ79" s="213"/>
      <c r="CA79" s="213"/>
      <c r="CB79" s="213"/>
      <c r="CC79" s="213"/>
      <c r="CD79" s="213"/>
      <c r="CE79" s="213"/>
      <c r="CF79" s="213"/>
      <c r="CG79" s="213"/>
      <c r="CH79" s="213"/>
      <c r="CI79" s="213"/>
      <c r="CJ79" s="213"/>
      <c r="CK79" s="213"/>
      <c r="CL79" s="213"/>
      <c r="CM79" s="213"/>
      <c r="CN79" s="213"/>
      <c r="CO79" s="213"/>
      <c r="CP79" s="213"/>
      <c r="CQ79" s="213"/>
      <c r="CR79" s="213"/>
      <c r="CS79" s="213"/>
      <c r="CT79" s="213"/>
      <c r="CU79" s="213"/>
      <c r="CV79" s="213"/>
      <c r="CW79" s="213"/>
      <c r="CX79" s="213"/>
      <c r="CY79" s="213"/>
      <c r="CZ79" s="213"/>
      <c r="DA79" s="213"/>
      <c r="DB79" s="213"/>
      <c r="DC79" s="213"/>
      <c r="DD79" s="213"/>
      <c r="DE79" s="213"/>
      <c r="DF79" s="213"/>
      <c r="DG79" s="213"/>
      <c r="DH79" s="213"/>
      <c r="DI79" s="213"/>
      <c r="DJ79" s="213"/>
      <c r="DK79" s="213"/>
      <c r="DL79" s="213"/>
      <c r="DM79" s="213"/>
      <c r="DN79" s="213"/>
      <c r="DO79" s="213"/>
      <c r="DP79" s="213"/>
      <c r="DQ79" s="213"/>
      <c r="DR79" s="213"/>
      <c r="DS79" s="213"/>
      <c r="DT79" s="213"/>
      <c r="DU79" s="213"/>
      <c r="DV79" s="210">
        <f>SUMPRODUCT((($I79+COLUMN($N$3:$DU$3)-COLUMN($N$3))&gt;='KALENDER MINGGU'!$B$6)*(($I79+COLUMN($N$3:$DU$3)-COLUMN($N$3))&lt;='KALENDER MINGGU'!$C$6)*(N79:DU79))/F79*H79</f>
        <v>0</v>
      </c>
      <c r="DW79" s="210">
        <f>SUMPRODUCT((($I79+COLUMN($N$3:$DU$3)-COLUMN($N$3))&gt;='KALENDER MINGGU'!$B$7)*(($I79+COLUMN($N$3:$DU$3)-COLUMN($N$3))&lt;='KALENDER MINGGU'!$C$7)*(N79:DU79))/F79*H79</f>
        <v>0</v>
      </c>
      <c r="DX79" s="210">
        <f>SUMPRODUCT((($I79+COLUMN($N$3:$DU$3)-COLUMN($N$3))&gt;='KALENDER MINGGU'!$B$8)*(($I79+COLUMN($N$3:$DU$3)-COLUMN($N$3))&lt;='KALENDER MINGGU'!$C$8)*(N79:DU79))/F79*H79</f>
        <v>0</v>
      </c>
      <c r="DY79" s="210">
        <f>SUMPRODUCT((($I79+COLUMN($N$3:$DU$3)-COLUMN($N$3))&gt;='KALENDER MINGGU'!$B$9)*(($I79+COLUMN($N$3:$DU$3)-COLUMN($N$3))&lt;='KALENDER MINGGU'!$C$9)*(N79:DU79))/F79*H79</f>
        <v>0</v>
      </c>
      <c r="DZ79" s="210">
        <f>SUMPRODUCT((($I79+COLUMN($N$3:$DU$3)-COLUMN($N$3))&gt;='KALENDER MINGGU'!$B$10)*(($I79+COLUMN($N$3:$DU$3)-COLUMN($N$3))&lt;='KALENDER MINGGU'!$C$10)*(N79:DU79))/F79*H79</f>
        <v>0</v>
      </c>
      <c r="EA79" s="210">
        <f>SUMPRODUCT((($I79+COLUMN($N$3:$DU$3)-COLUMN($N$3))&gt;='KALENDER MINGGU'!$B$11)*(($I79+COLUMN($N$3:$DU$3)-COLUMN($N$3))&lt;='KALENDER MINGGU'!$C$11)*(N79:DU79))/F79*H79</f>
        <v>0.39398969296458436</v>
      </c>
      <c r="EB79" s="210">
        <f>SUMPRODUCT((($I79+COLUMN($N$3:$DU$3)-COLUMN($N$3))&gt;='KALENDER MINGGU'!$B$12)*(($I79+COLUMN($N$3:$DU$3)-COLUMN($N$3))&lt;='KALENDER MINGGU'!$C$12)*(N79:DU79))/F79*H79</f>
        <v>0.12536035685236777</v>
      </c>
      <c r="EC79" s="210">
        <f>SUMPRODUCT((($I79+COLUMN($N$3:$DU$3)-COLUMN($N$3))&gt;='KALENDER MINGGU'!$B$13)*(($I79+COLUMN($N$3:$DU$3)-COLUMN($N$3))&lt;='KALENDER MINGGU'!$C$13)*(N79:DU79))/F79*H79</f>
        <v>3.5817244814962214E-2</v>
      </c>
      <c r="ED79" s="210">
        <f>SUMPRODUCT((($I79+COLUMN($N$3:$DU$3)-COLUMN($N$3))&gt;='KALENDER MINGGU'!$B$14)*(($I79+COLUMN($N$3:$DU$3)-COLUMN($N$3))&lt;='KALENDER MINGGU'!$C$14)*(N79:DU79))/F79*H79</f>
        <v>4.6562418259450886E-2</v>
      </c>
      <c r="EE79" s="210">
        <f>SUMPRODUCT((($I79+COLUMN($N$3:$DU$3)-COLUMN($N$3))&gt;='KALENDER MINGGU'!$B$15)*(($I79+COLUMN($N$3:$DU$3)-COLUMN($N$3))&lt;='KALENDER MINGGU'!$C$15)*(N79:DU79))/F79*H79</f>
        <v>0</v>
      </c>
      <c r="EF79" s="210">
        <f>SUMPRODUCT((($I79+COLUMN($N$3:$DU$3)-COLUMN($N$3))&gt;='KALENDER MINGGU'!$B$16)*(($I79+COLUMN($N$3:$DU$3)-COLUMN($N$3))&lt;='KALENDER MINGGU'!$C$16)*(N79:DU79))/F79*H79</f>
        <v>0</v>
      </c>
      <c r="EG79" s="210">
        <f>SUMPRODUCT((($I79+COLUMN($N$3:$DU$3)-COLUMN($N$3))&gt;='KALENDER MINGGU'!$B$17)*(($I79+COLUMN($N$3:$DU$3)-COLUMN($N$3))&lt;='KALENDER MINGGU'!$C$17)*(N79:DU79))/F79*H79</f>
        <v>0</v>
      </c>
      <c r="EH79" s="210">
        <f>SUMPRODUCT((($I79+COLUMN($N$3:$DU$3)-COLUMN($N$3))&gt;='KALENDER MINGGU'!$B$18)*(($I79+COLUMN($N$3:$DU$3)-COLUMN($N$3))&lt;='KALENDER MINGGU'!$C$18)*(N79:DU79))/F79*H79</f>
        <v>0</v>
      </c>
      <c r="EI79" s="210">
        <f>SUMPRODUCT((($I79+COLUMN($N$3:$DU$3)-COLUMN($N$3))&gt;='KALENDER MINGGU'!$B$19)*(($I79+COLUMN($N$3:$DU$3)-COLUMN($N$3))&lt;='KALENDER MINGGU'!$C$19)*(N79:DU79))/F79*H79</f>
        <v>0</v>
      </c>
      <c r="EJ79" s="210">
        <f>SUMPRODUCT((($I79+COLUMN($N$3:$DU$3)-COLUMN($N$3))&gt;='KALENDER MINGGU'!$B$20)*(($I79+COLUMN($N$3:$DU$3)-COLUMN($N$3))&lt;='KALENDER MINGGU'!$C$20)*(N79:DU79))/F79*H79</f>
        <v>0</v>
      </c>
      <c r="EK79" s="210">
        <f>SUMPRODUCT((($I79+COLUMN($N$3:$DU$3)-COLUMN($N$3))&gt;='KALENDER MINGGU'!$B$21)*(($I79+COLUMN($N$3:$DU$3)-COLUMN($N$3))&lt;='KALENDER MINGGU'!$C$21)*(N79:DU79))/F79*H79</f>
        <v>0</v>
      </c>
    </row>
    <row r="80" spans="1:141" ht="15" customHeight="1" x14ac:dyDescent="0.2">
      <c r="A80" s="208">
        <v>77</v>
      </c>
      <c r="B80" s="208">
        <v>119</v>
      </c>
      <c r="C80" s="208" t="str">
        <f>IF(B80&lt;160,'BOBOT PEK'!$B$4,IF(B80&lt;207,'BOBOT PEK'!$B$160,'BOBOT PEK'!$B$207))</f>
        <v>Pekerjaan Gudang Umum</v>
      </c>
      <c r="D80" s="208" t="s">
        <v>206</v>
      </c>
      <c r="E80" s="208" t="str">
        <f>'BOBOT PEK'!C119</f>
        <v>Pasang lampu PJU</v>
      </c>
      <c r="F80" s="209">
        <f>IF(OR('BOBOT PEK'!E119="",'BOBOT PEK'!E119=0),1,'BOBOT PEK'!E119)</f>
        <v>14</v>
      </c>
      <c r="G80" s="208" t="str">
        <f>IF('BOBOT PEK'!F119="","ls",'BOBOT PEK'!F119)</f>
        <v>unit</v>
      </c>
      <c r="H80" s="210">
        <f>'BOBOT PEK'!J119</f>
        <v>0.51935004981695221</v>
      </c>
      <c r="I80" s="211">
        <f>'KALENDER MINGGU'!$B$3</f>
        <v>46226</v>
      </c>
      <c r="J80" s="209">
        <f t="shared" si="8"/>
        <v>13.99642857142857</v>
      </c>
      <c r="K80" s="209">
        <f t="shared" si="9"/>
        <v>3.571428571429891E-3</v>
      </c>
      <c r="L80" s="212">
        <f t="shared" si="10"/>
        <v>0.99974489795918353</v>
      </c>
      <c r="M80" s="208" t="str">
        <f t="shared" si="11"/>
        <v>OK</v>
      </c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  <c r="AA80" s="213"/>
      <c r="AB80" s="213"/>
      <c r="AC80" s="213"/>
      <c r="AD80" s="213"/>
      <c r="AE80" s="213"/>
      <c r="AF80" s="213"/>
      <c r="AG80" s="213"/>
      <c r="AH80" s="213"/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>
        <f>0.3*F80</f>
        <v>4.2</v>
      </c>
      <c r="AY80" s="213"/>
      <c r="AZ80" s="213"/>
      <c r="BA80" s="213">
        <f>1/14*0.7</f>
        <v>4.9999999999999996E-2</v>
      </c>
      <c r="BB80" s="213">
        <f>1/14*0.7</f>
        <v>4.9999999999999996E-2</v>
      </c>
      <c r="BC80" s="213">
        <f>1/$F$80</f>
        <v>7.1428571428571425E-2</v>
      </c>
      <c r="BD80" s="213">
        <v>1</v>
      </c>
      <c r="BE80" s="213">
        <v>1</v>
      </c>
      <c r="BF80" s="213">
        <v>1</v>
      </c>
      <c r="BG80" s="213">
        <v>1</v>
      </c>
      <c r="BH80" s="213">
        <v>1</v>
      </c>
      <c r="BI80" s="213">
        <v>1</v>
      </c>
      <c r="BJ80" s="213"/>
      <c r="BK80" s="213"/>
      <c r="BL80" s="213"/>
      <c r="BM80" s="213"/>
      <c r="BN80" s="213"/>
      <c r="BO80" s="213"/>
      <c r="BP80" s="213"/>
      <c r="BQ80" s="213">
        <v>1</v>
      </c>
      <c r="BR80" s="213">
        <v>1</v>
      </c>
      <c r="BS80" s="213">
        <v>1</v>
      </c>
      <c r="BT80" s="213">
        <v>0.62</v>
      </c>
      <c r="BU80" s="213"/>
      <c r="BV80" s="213"/>
      <c r="BW80" s="213"/>
      <c r="BX80" s="213"/>
      <c r="BY80" s="213"/>
      <c r="BZ80" s="213"/>
      <c r="CA80" s="213"/>
      <c r="CB80" s="213">
        <v>5.0000000000000001E-3</v>
      </c>
      <c r="CC80" s="213"/>
      <c r="CD80" s="213"/>
      <c r="CE80" s="213"/>
      <c r="CF80" s="213"/>
      <c r="CG80" s="213"/>
      <c r="CH80" s="213"/>
      <c r="CI80" s="213"/>
      <c r="CJ80" s="213"/>
      <c r="CK80" s="213"/>
      <c r="CL80" s="213"/>
      <c r="CM80" s="213"/>
      <c r="CN80" s="213"/>
      <c r="CO80" s="213"/>
      <c r="CP80" s="213"/>
      <c r="CQ80" s="213"/>
      <c r="CR80" s="213"/>
      <c r="CS80" s="213"/>
      <c r="CT80" s="213"/>
      <c r="CU80" s="213"/>
      <c r="CV80" s="213"/>
      <c r="CW80" s="213"/>
      <c r="CX80" s="213"/>
      <c r="CY80" s="213"/>
      <c r="CZ80" s="213"/>
      <c r="DA80" s="213"/>
      <c r="DB80" s="213"/>
      <c r="DC80" s="213"/>
      <c r="DD80" s="213"/>
      <c r="DE80" s="213"/>
      <c r="DF80" s="213"/>
      <c r="DG80" s="213"/>
      <c r="DH80" s="213"/>
      <c r="DI80" s="213"/>
      <c r="DJ80" s="213"/>
      <c r="DK80" s="213"/>
      <c r="DL80" s="213"/>
      <c r="DM80" s="213"/>
      <c r="DN80" s="213"/>
      <c r="DO80" s="213"/>
      <c r="DP80" s="213"/>
      <c r="DQ80" s="213"/>
      <c r="DR80" s="213"/>
      <c r="DS80" s="213"/>
      <c r="DT80" s="213"/>
      <c r="DU80" s="213"/>
      <c r="DV80" s="210">
        <f>SUMPRODUCT((($I80+COLUMN($N$3:$DU$3)-COLUMN($N$3))&gt;='KALENDER MINGGU'!$B$6)*(($I80+COLUMN($N$3:$DU$3)-COLUMN($N$3))&lt;='KALENDER MINGGU'!$C$6)*(N80:DU80))/F80*H80</f>
        <v>0</v>
      </c>
      <c r="DW80" s="210">
        <f>SUMPRODUCT((($I80+COLUMN($N$3:$DU$3)-COLUMN($N$3))&gt;='KALENDER MINGGU'!$B$7)*(($I80+COLUMN($N$3:$DU$3)-COLUMN($N$3))&lt;='KALENDER MINGGU'!$C$7)*(N80:DU80))/F80*H80</f>
        <v>0</v>
      </c>
      <c r="DX80" s="210">
        <f>SUMPRODUCT((($I80+COLUMN($N$3:$DU$3)-COLUMN($N$3))&gt;='KALENDER MINGGU'!$B$8)*(($I80+COLUMN($N$3:$DU$3)-COLUMN($N$3))&lt;='KALENDER MINGGU'!$C$8)*(N80:DU80))/F80*H80</f>
        <v>0</v>
      </c>
      <c r="DY80" s="210">
        <f>SUMPRODUCT((($I80+COLUMN($N$3:$DU$3)-COLUMN($N$3))&gt;='KALENDER MINGGU'!$B$9)*(($I80+COLUMN($N$3:$DU$3)-COLUMN($N$3))&lt;='KALENDER MINGGU'!$C$9)*(N80:DU80))/F80*H80</f>
        <v>0</v>
      </c>
      <c r="DZ80" s="210">
        <f>SUMPRODUCT((($I80+COLUMN($N$3:$DU$3)-COLUMN($N$3))&gt;='KALENDER MINGGU'!$B$10)*(($I80+COLUMN($N$3:$DU$3)-COLUMN($N$3))&lt;='KALENDER MINGGU'!$C$10)*(N80:DU80))/F80*H80</f>
        <v>0</v>
      </c>
      <c r="EA80" s="210">
        <f>SUMPRODUCT((($I80+COLUMN($N$3:$DU$3)-COLUMN($N$3))&gt;='KALENDER MINGGU'!$B$11)*(($I80+COLUMN($N$3:$DU$3)-COLUMN($N$3))&lt;='KALENDER MINGGU'!$C$11)*(N80:DU80))/F80*H80</f>
        <v>0.16216440331019119</v>
      </c>
      <c r="EB80" s="210">
        <f>SUMPRODUCT((($I80+COLUMN($N$3:$DU$3)-COLUMN($N$3))&gt;='KALENDER MINGGU'!$B$12)*(($I80+COLUMN($N$3:$DU$3)-COLUMN($N$3))&lt;='KALENDER MINGGU'!$C$12)*(N80:DU80))/F80*H80</f>
        <v>0.2225785927786938</v>
      </c>
      <c r="EC80" s="210">
        <f>SUMPRODUCT((($I80+COLUMN($N$3:$DU$3)-COLUMN($N$3))&gt;='KALENDER MINGGU'!$B$13)*(($I80+COLUMN($N$3:$DU$3)-COLUMN($N$3))&lt;='KALENDER MINGGU'!$C$13)*(N80:DU80))/F80*H80</f>
        <v>3.7096432129782302E-2</v>
      </c>
      <c r="ED80" s="210">
        <f>SUMPRODUCT((($I80+COLUMN($N$3:$DU$3)-COLUMN($N$3))&gt;='KALENDER MINGGU'!$B$14)*(($I80+COLUMN($N$3:$DU$3)-COLUMN($N$3))&lt;='KALENDER MINGGU'!$C$14)*(N80:DU80))/F80*H80</f>
        <v>9.7192652180029621E-2</v>
      </c>
      <c r="EE80" s="210">
        <f>SUMPRODUCT((($I80+COLUMN($N$3:$DU$3)-COLUMN($N$3))&gt;='KALENDER MINGGU'!$B$15)*(($I80+COLUMN($N$3:$DU$3)-COLUMN($N$3))&lt;='KALENDER MINGGU'!$C$15)*(N80:DU80))/F80*H80</f>
        <v>1.8548216064891152E-4</v>
      </c>
      <c r="EF80" s="210">
        <f>SUMPRODUCT((($I80+COLUMN($N$3:$DU$3)-COLUMN($N$3))&gt;='KALENDER MINGGU'!$B$16)*(($I80+COLUMN($N$3:$DU$3)-COLUMN($N$3))&lt;='KALENDER MINGGU'!$C$16)*(N80:DU80))/F80*H80</f>
        <v>0</v>
      </c>
      <c r="EG80" s="210">
        <f>SUMPRODUCT((($I80+COLUMN($N$3:$DU$3)-COLUMN($N$3))&gt;='KALENDER MINGGU'!$B$17)*(($I80+COLUMN($N$3:$DU$3)-COLUMN($N$3))&lt;='KALENDER MINGGU'!$C$17)*(N80:DU80))/F80*H80</f>
        <v>0</v>
      </c>
      <c r="EH80" s="210">
        <f>SUMPRODUCT((($I80+COLUMN($N$3:$DU$3)-COLUMN($N$3))&gt;='KALENDER MINGGU'!$B$18)*(($I80+COLUMN($N$3:$DU$3)-COLUMN($N$3))&lt;='KALENDER MINGGU'!$C$18)*(N80:DU80))/F80*H80</f>
        <v>0</v>
      </c>
      <c r="EI80" s="210">
        <f>SUMPRODUCT((($I80+COLUMN($N$3:$DU$3)-COLUMN($N$3))&gt;='KALENDER MINGGU'!$B$19)*(($I80+COLUMN($N$3:$DU$3)-COLUMN($N$3))&lt;='KALENDER MINGGU'!$C$19)*(N80:DU80))/F80*H80</f>
        <v>0</v>
      </c>
      <c r="EJ80" s="210">
        <f>SUMPRODUCT((($I80+COLUMN($N$3:$DU$3)-COLUMN($N$3))&gt;='KALENDER MINGGU'!$B$20)*(($I80+COLUMN($N$3:$DU$3)-COLUMN($N$3))&lt;='KALENDER MINGGU'!$C$20)*(N80:DU80))/F80*H80</f>
        <v>0</v>
      </c>
      <c r="EK80" s="210">
        <f>SUMPRODUCT((($I80+COLUMN($N$3:$DU$3)-COLUMN($N$3))&gt;='KALENDER MINGGU'!$B$21)*(($I80+COLUMN($N$3:$DU$3)-COLUMN($N$3))&lt;='KALENDER MINGGU'!$C$21)*(N80:DU80))/F80*H80</f>
        <v>0</v>
      </c>
    </row>
    <row r="81" spans="1:141" ht="15" customHeight="1" x14ac:dyDescent="0.2">
      <c r="A81" s="208">
        <v>78</v>
      </c>
      <c r="B81" s="208">
        <v>120</v>
      </c>
      <c r="C81" s="208" t="str">
        <f>IF(B81&lt;160,'BOBOT PEK'!$B$4,IF(B81&lt;207,'BOBOT PEK'!$B$160,'BOBOT PEK'!$B$207))</f>
        <v>Pekerjaan Gudang Umum</v>
      </c>
      <c r="D81" s="208" t="s">
        <v>206</v>
      </c>
      <c r="E81" s="208" t="str">
        <f>'BOBOT PEK'!C120</f>
        <v>Terminasi kabel ke panel dan test merger</v>
      </c>
      <c r="F81" s="209">
        <f>IF(OR('BOBOT PEK'!E120="",'BOBOT PEK'!E120=0),1,'BOBOT PEK'!E120)</f>
        <v>1</v>
      </c>
      <c r="G81" s="208" t="str">
        <f>IF('BOBOT PEK'!F120="","ls",'BOBOT PEK'!F120)</f>
        <v>Is</v>
      </c>
      <c r="H81" s="210">
        <f>'BOBOT PEK'!J120</f>
        <v>3.8375619444602382E-2</v>
      </c>
      <c r="I81" s="211">
        <f>'KALENDER MINGGU'!$B$3</f>
        <v>46226</v>
      </c>
      <c r="J81" s="209">
        <f t="shared" si="8"/>
        <v>0.5</v>
      </c>
      <c r="K81" s="209">
        <f t="shared" si="9"/>
        <v>0.5</v>
      </c>
      <c r="L81" s="212">
        <f t="shared" si="10"/>
        <v>0.5</v>
      </c>
      <c r="M81" s="208" t="str">
        <f t="shared" si="11"/>
        <v>OK</v>
      </c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  <c r="AA81" s="213"/>
      <c r="AB81" s="213"/>
      <c r="AC81" s="213"/>
      <c r="AD81" s="213"/>
      <c r="AE81" s="213"/>
      <c r="AF81" s="213"/>
      <c r="AG81" s="213"/>
      <c r="AH81" s="213"/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  <c r="BC81" s="213"/>
      <c r="BD81" s="213"/>
      <c r="BE81" s="213"/>
      <c r="BF81" s="213"/>
      <c r="BG81" s="213">
        <v>0.1</v>
      </c>
      <c r="BH81" s="213">
        <v>0.1</v>
      </c>
      <c r="BI81" s="213">
        <v>0.1</v>
      </c>
      <c r="BJ81" s="213">
        <v>0.1</v>
      </c>
      <c r="BK81" s="213">
        <v>0.1</v>
      </c>
      <c r="BL81" s="213"/>
      <c r="BM81" s="213"/>
      <c r="BN81" s="213"/>
      <c r="BO81" s="213"/>
      <c r="BP81" s="213"/>
      <c r="BQ81" s="213"/>
      <c r="BR81" s="213"/>
      <c r="BS81" s="213"/>
      <c r="BT81" s="213"/>
      <c r="BU81" s="213"/>
      <c r="BV81" s="213"/>
      <c r="BW81" s="213"/>
      <c r="BX81" s="213"/>
      <c r="BY81" s="213"/>
      <c r="BZ81" s="213"/>
      <c r="CA81" s="213"/>
      <c r="CB81" s="213"/>
      <c r="CC81" s="213"/>
      <c r="CD81" s="213"/>
      <c r="CE81" s="213"/>
      <c r="CF81" s="213"/>
      <c r="CG81" s="213"/>
      <c r="CH81" s="213"/>
      <c r="CI81" s="213"/>
      <c r="CJ81" s="213"/>
      <c r="CK81" s="213"/>
      <c r="CL81" s="213"/>
      <c r="CM81" s="213"/>
      <c r="CN81" s="213"/>
      <c r="CO81" s="213"/>
      <c r="CP81" s="213"/>
      <c r="CQ81" s="213"/>
      <c r="CR81" s="213"/>
      <c r="CS81" s="213"/>
      <c r="CT81" s="213"/>
      <c r="CU81" s="213"/>
      <c r="CV81" s="213"/>
      <c r="CW81" s="213"/>
      <c r="CX81" s="213"/>
      <c r="CY81" s="213"/>
      <c r="CZ81" s="213"/>
      <c r="DA81" s="213"/>
      <c r="DB81" s="213"/>
      <c r="DC81" s="213"/>
      <c r="DD81" s="213"/>
      <c r="DE81" s="213"/>
      <c r="DF81" s="213"/>
      <c r="DG81" s="213"/>
      <c r="DH81" s="213"/>
      <c r="DI81" s="213"/>
      <c r="DJ81" s="213"/>
      <c r="DK81" s="213"/>
      <c r="DL81" s="213"/>
      <c r="DM81" s="213"/>
      <c r="DN81" s="213"/>
      <c r="DO81" s="213"/>
      <c r="DP81" s="213"/>
      <c r="DQ81" s="213"/>
      <c r="DR81" s="213"/>
      <c r="DS81" s="213"/>
      <c r="DT81" s="213"/>
      <c r="DU81" s="213"/>
      <c r="DV81" s="210">
        <f>SUMPRODUCT((($I81+COLUMN($N$3:$DU$3)-COLUMN($N$3))&gt;='KALENDER MINGGU'!$B$6)*(($I81+COLUMN($N$3:$DU$3)-COLUMN($N$3))&lt;='KALENDER MINGGU'!$C$6)*(N81:DU81))/F81*H81</f>
        <v>0</v>
      </c>
      <c r="DW81" s="210">
        <f>SUMPRODUCT((($I81+COLUMN($N$3:$DU$3)-COLUMN($N$3))&gt;='KALENDER MINGGU'!$B$7)*(($I81+COLUMN($N$3:$DU$3)-COLUMN($N$3))&lt;='KALENDER MINGGU'!$C$7)*(N81:DU81))/F81*H81</f>
        <v>0</v>
      </c>
      <c r="DX81" s="210">
        <f>SUMPRODUCT((($I81+COLUMN($N$3:$DU$3)-COLUMN($N$3))&gt;='KALENDER MINGGU'!$B$8)*(($I81+COLUMN($N$3:$DU$3)-COLUMN($N$3))&lt;='KALENDER MINGGU'!$C$8)*(N81:DU81))/F81*H81</f>
        <v>0</v>
      </c>
      <c r="DY81" s="210">
        <f>SUMPRODUCT((($I81+COLUMN($N$3:$DU$3)-COLUMN($N$3))&gt;='KALENDER MINGGU'!$B$9)*(($I81+COLUMN($N$3:$DU$3)-COLUMN($N$3))&lt;='KALENDER MINGGU'!$C$9)*(N81:DU81))/F81*H81</f>
        <v>0</v>
      </c>
      <c r="DZ81" s="210">
        <f>SUMPRODUCT((($I81+COLUMN($N$3:$DU$3)-COLUMN($N$3))&gt;='KALENDER MINGGU'!$B$10)*(($I81+COLUMN($N$3:$DU$3)-COLUMN($N$3))&lt;='KALENDER MINGGU'!$C$10)*(N81:DU81))/F81*H81</f>
        <v>0</v>
      </c>
      <c r="EA81" s="210">
        <f>SUMPRODUCT((($I81+COLUMN($N$3:$DU$3)-COLUMN($N$3))&gt;='KALENDER MINGGU'!$B$11)*(($I81+COLUMN($N$3:$DU$3)-COLUMN($N$3))&lt;='KALENDER MINGGU'!$C$11)*(N81:DU81))/F81*H81</f>
        <v>0</v>
      </c>
      <c r="EB81" s="210">
        <f>SUMPRODUCT((($I81+COLUMN($N$3:$DU$3)-COLUMN($N$3))&gt;='KALENDER MINGGU'!$B$12)*(($I81+COLUMN($N$3:$DU$3)-COLUMN($N$3))&lt;='KALENDER MINGGU'!$C$12)*(N81:DU81))/F81*H81</f>
        <v>1.5350247777840954E-2</v>
      </c>
      <c r="EC81" s="210">
        <f>SUMPRODUCT((($I81+COLUMN($N$3:$DU$3)-COLUMN($N$3))&gt;='KALENDER MINGGU'!$B$13)*(($I81+COLUMN($N$3:$DU$3)-COLUMN($N$3))&lt;='KALENDER MINGGU'!$C$13)*(N81:DU81))/F81*H81</f>
        <v>3.8375619444602385E-3</v>
      </c>
      <c r="ED81" s="210">
        <f>SUMPRODUCT((($I81+COLUMN($N$3:$DU$3)-COLUMN($N$3))&gt;='KALENDER MINGGU'!$B$14)*(($I81+COLUMN($N$3:$DU$3)-COLUMN($N$3))&lt;='KALENDER MINGGU'!$C$14)*(N81:DU81))/F81*H81</f>
        <v>0</v>
      </c>
      <c r="EE81" s="210">
        <f>SUMPRODUCT((($I81+COLUMN($N$3:$DU$3)-COLUMN($N$3))&gt;='KALENDER MINGGU'!$B$15)*(($I81+COLUMN($N$3:$DU$3)-COLUMN($N$3))&lt;='KALENDER MINGGU'!$C$15)*(N81:DU81))/F81*H81</f>
        <v>0</v>
      </c>
      <c r="EF81" s="210">
        <f>SUMPRODUCT((($I81+COLUMN($N$3:$DU$3)-COLUMN($N$3))&gt;='KALENDER MINGGU'!$B$16)*(($I81+COLUMN($N$3:$DU$3)-COLUMN($N$3))&lt;='KALENDER MINGGU'!$C$16)*(N81:DU81))/F81*H81</f>
        <v>0</v>
      </c>
      <c r="EG81" s="210">
        <f>SUMPRODUCT((($I81+COLUMN($N$3:$DU$3)-COLUMN($N$3))&gt;='KALENDER MINGGU'!$B$17)*(($I81+COLUMN($N$3:$DU$3)-COLUMN($N$3))&lt;='KALENDER MINGGU'!$C$17)*(N81:DU81))/F81*H81</f>
        <v>0</v>
      </c>
      <c r="EH81" s="210">
        <f>SUMPRODUCT((($I81+COLUMN($N$3:$DU$3)-COLUMN($N$3))&gt;='KALENDER MINGGU'!$B$18)*(($I81+COLUMN($N$3:$DU$3)-COLUMN($N$3))&lt;='KALENDER MINGGU'!$C$18)*(N81:DU81))/F81*H81</f>
        <v>0</v>
      </c>
      <c r="EI81" s="210">
        <f>SUMPRODUCT((($I81+COLUMN($N$3:$DU$3)-COLUMN($N$3))&gt;='KALENDER MINGGU'!$B$19)*(($I81+COLUMN($N$3:$DU$3)-COLUMN($N$3))&lt;='KALENDER MINGGU'!$C$19)*(N81:DU81))/F81*H81</f>
        <v>0</v>
      </c>
      <c r="EJ81" s="210">
        <f>SUMPRODUCT((($I81+COLUMN($N$3:$DU$3)-COLUMN($N$3))&gt;='KALENDER MINGGU'!$B$20)*(($I81+COLUMN($N$3:$DU$3)-COLUMN($N$3))&lt;='KALENDER MINGGU'!$C$20)*(N81:DU81))/F81*H81</f>
        <v>0</v>
      </c>
      <c r="EK81" s="210">
        <f>SUMPRODUCT((($I81+COLUMN($N$3:$DU$3)-COLUMN($N$3))&gt;='KALENDER MINGGU'!$B$21)*(($I81+COLUMN($N$3:$DU$3)-COLUMN($N$3))&lt;='KALENDER MINGGU'!$C$21)*(N81:DU81))/F81*H81</f>
        <v>0</v>
      </c>
    </row>
    <row r="82" spans="1:141" ht="15" customHeight="1" x14ac:dyDescent="0.2">
      <c r="A82" s="208">
        <v>79</v>
      </c>
      <c r="B82" s="208">
        <v>124</v>
      </c>
      <c r="C82" s="208" t="str">
        <f>IF(B82&lt;160,'BOBOT PEK'!$B$4,IF(B82&lt;207,'BOBOT PEK'!$B$160,'BOBOT PEK'!$B$207))</f>
        <v>Pekerjaan Gudang Umum</v>
      </c>
      <c r="D82" s="208" t="s">
        <v>215</v>
      </c>
      <c r="E82" s="208" t="str">
        <f>'BOBOT PEK'!C124</f>
        <v>Perbaikan dan leveling dasar got</v>
      </c>
      <c r="F82" s="209">
        <f>IF(OR('BOBOT PEK'!E124="",'BOBOT PEK'!E124=0),1,'BOBOT PEK'!E124)</f>
        <v>160</v>
      </c>
      <c r="G82" s="208" t="str">
        <f>IF('BOBOT PEK'!F124="","ls",'BOBOT PEK'!F124)</f>
        <v>m'</v>
      </c>
      <c r="H82" s="210">
        <f>'BOBOT PEK'!J124</f>
        <v>0.49120792889091047</v>
      </c>
      <c r="I82" s="211">
        <f>'KALENDER MINGGU'!$B$3</f>
        <v>46226</v>
      </c>
      <c r="J82" s="209">
        <f t="shared" si="8"/>
        <v>0</v>
      </c>
      <c r="K82" s="209">
        <f t="shared" si="9"/>
        <v>160</v>
      </c>
      <c r="L82" s="212">
        <f t="shared" si="10"/>
        <v>0</v>
      </c>
      <c r="M82" s="208" t="str">
        <f t="shared" si="11"/>
        <v>OK</v>
      </c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  <c r="AA82" s="213"/>
      <c r="AB82" s="213"/>
      <c r="AC82" s="213"/>
      <c r="AD82" s="213"/>
      <c r="AE82" s="213"/>
      <c r="AF82" s="213"/>
      <c r="AG82" s="213"/>
      <c r="AH82" s="213"/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  <c r="BC82" s="213"/>
      <c r="BD82" s="213"/>
      <c r="BE82" s="213"/>
      <c r="BF82" s="213"/>
      <c r="BG82" s="213"/>
      <c r="BH82" s="213"/>
      <c r="BI82" s="213"/>
      <c r="BJ82" s="213"/>
      <c r="BK82" s="213"/>
      <c r="BL82" s="213"/>
      <c r="BM82" s="213"/>
      <c r="BN82" s="213"/>
      <c r="BO82" s="213"/>
      <c r="BP82" s="213"/>
      <c r="BQ82" s="213"/>
      <c r="BR82" s="213"/>
      <c r="BS82" s="213"/>
      <c r="BT82" s="213"/>
      <c r="BU82" s="213"/>
      <c r="BV82" s="213"/>
      <c r="BW82" s="213"/>
      <c r="BX82" s="213"/>
      <c r="BY82" s="213"/>
      <c r="BZ82" s="213"/>
      <c r="CA82" s="213"/>
      <c r="CB82" s="213"/>
      <c r="CC82" s="213"/>
      <c r="CD82" s="213"/>
      <c r="CE82" s="213"/>
      <c r="CF82" s="213"/>
      <c r="CG82" s="213"/>
      <c r="CH82" s="213"/>
      <c r="CI82" s="213"/>
      <c r="CJ82" s="213"/>
      <c r="CK82" s="213"/>
      <c r="CL82" s="213"/>
      <c r="CM82" s="213"/>
      <c r="CN82" s="213"/>
      <c r="CO82" s="213"/>
      <c r="CP82" s="213"/>
      <c r="CQ82" s="213"/>
      <c r="CR82" s="213"/>
      <c r="CS82" s="213"/>
      <c r="CT82" s="213"/>
      <c r="CU82" s="213"/>
      <c r="CV82" s="213"/>
      <c r="CW82" s="213"/>
      <c r="CX82" s="213"/>
      <c r="CY82" s="213"/>
      <c r="CZ82" s="213"/>
      <c r="DA82" s="213"/>
      <c r="DB82" s="213"/>
      <c r="DC82" s="213"/>
      <c r="DD82" s="213"/>
      <c r="DE82" s="213"/>
      <c r="DF82" s="213"/>
      <c r="DG82" s="213"/>
      <c r="DH82" s="213"/>
      <c r="DI82" s="213"/>
      <c r="DJ82" s="213"/>
      <c r="DK82" s="213"/>
      <c r="DL82" s="213"/>
      <c r="DM82" s="213"/>
      <c r="DN82" s="213"/>
      <c r="DO82" s="213"/>
      <c r="DP82" s="213"/>
      <c r="DQ82" s="213"/>
      <c r="DR82" s="213"/>
      <c r="DS82" s="213"/>
      <c r="DT82" s="213"/>
      <c r="DU82" s="213"/>
      <c r="DV82" s="210">
        <f>SUMPRODUCT((($I82+COLUMN($N$3:$DU$3)-COLUMN($N$3))&gt;='KALENDER MINGGU'!$B$6)*(($I82+COLUMN($N$3:$DU$3)-COLUMN($N$3))&lt;='KALENDER MINGGU'!$C$6)*(N82:DU82))/F82*H82</f>
        <v>0</v>
      </c>
      <c r="DW82" s="210">
        <f>SUMPRODUCT((($I82+COLUMN($N$3:$DU$3)-COLUMN($N$3))&gt;='KALENDER MINGGU'!$B$7)*(($I82+COLUMN($N$3:$DU$3)-COLUMN($N$3))&lt;='KALENDER MINGGU'!$C$7)*(N82:DU82))/F82*H82</f>
        <v>0</v>
      </c>
      <c r="DX82" s="210">
        <f>SUMPRODUCT((($I82+COLUMN($N$3:$DU$3)-COLUMN($N$3))&gt;='KALENDER MINGGU'!$B$8)*(($I82+COLUMN($N$3:$DU$3)-COLUMN($N$3))&lt;='KALENDER MINGGU'!$C$8)*(N82:DU82))/F82*H82</f>
        <v>0</v>
      </c>
      <c r="DY82" s="210">
        <f>SUMPRODUCT((($I82+COLUMN($N$3:$DU$3)-COLUMN($N$3))&gt;='KALENDER MINGGU'!$B$9)*(($I82+COLUMN($N$3:$DU$3)-COLUMN($N$3))&lt;='KALENDER MINGGU'!$C$9)*(N82:DU82))/F82*H82</f>
        <v>0</v>
      </c>
      <c r="DZ82" s="210">
        <f>SUMPRODUCT((($I82+COLUMN($N$3:$DU$3)-COLUMN($N$3))&gt;='KALENDER MINGGU'!$B$10)*(($I82+COLUMN($N$3:$DU$3)-COLUMN($N$3))&lt;='KALENDER MINGGU'!$C$10)*(N82:DU82))/F82*H82</f>
        <v>0</v>
      </c>
      <c r="EA82" s="210">
        <f>SUMPRODUCT((($I82+COLUMN($N$3:$DU$3)-COLUMN($N$3))&gt;='KALENDER MINGGU'!$B$11)*(($I82+COLUMN($N$3:$DU$3)-COLUMN($N$3))&lt;='KALENDER MINGGU'!$C$11)*(N82:DU82))/F82*H82</f>
        <v>0</v>
      </c>
      <c r="EB82" s="210">
        <f>SUMPRODUCT((($I82+COLUMN($N$3:$DU$3)-COLUMN($N$3))&gt;='KALENDER MINGGU'!$B$12)*(($I82+COLUMN($N$3:$DU$3)-COLUMN($N$3))&lt;='KALENDER MINGGU'!$C$12)*(N82:DU82))/F82*H82</f>
        <v>0</v>
      </c>
      <c r="EC82" s="210">
        <f>SUMPRODUCT((($I82+COLUMN($N$3:$DU$3)-COLUMN($N$3))&gt;='KALENDER MINGGU'!$B$13)*(($I82+COLUMN($N$3:$DU$3)-COLUMN($N$3))&lt;='KALENDER MINGGU'!$C$13)*(N82:DU82))/F82*H82</f>
        <v>0</v>
      </c>
      <c r="ED82" s="210">
        <f>SUMPRODUCT((($I82+COLUMN($N$3:$DU$3)-COLUMN($N$3))&gt;='KALENDER MINGGU'!$B$14)*(($I82+COLUMN($N$3:$DU$3)-COLUMN($N$3))&lt;='KALENDER MINGGU'!$C$14)*(N82:DU82))/F82*H82</f>
        <v>0</v>
      </c>
      <c r="EE82" s="210">
        <f>SUMPRODUCT((($I82+COLUMN($N$3:$DU$3)-COLUMN($N$3))&gt;='KALENDER MINGGU'!$B$15)*(($I82+COLUMN($N$3:$DU$3)-COLUMN($N$3))&lt;='KALENDER MINGGU'!$C$15)*(N82:DU82))/F82*H82</f>
        <v>0</v>
      </c>
      <c r="EF82" s="210">
        <f>SUMPRODUCT((($I82+COLUMN($N$3:$DU$3)-COLUMN($N$3))&gt;='KALENDER MINGGU'!$B$16)*(($I82+COLUMN($N$3:$DU$3)-COLUMN($N$3))&lt;='KALENDER MINGGU'!$C$16)*(N82:DU82))/F82*H82</f>
        <v>0</v>
      </c>
      <c r="EG82" s="210">
        <f>SUMPRODUCT((($I82+COLUMN($N$3:$DU$3)-COLUMN($N$3))&gt;='KALENDER MINGGU'!$B$17)*(($I82+COLUMN($N$3:$DU$3)-COLUMN($N$3))&lt;='KALENDER MINGGU'!$C$17)*(N82:DU82))/F82*H82</f>
        <v>0</v>
      </c>
      <c r="EH82" s="210">
        <f>SUMPRODUCT((($I82+COLUMN($N$3:$DU$3)-COLUMN($N$3))&gt;='KALENDER MINGGU'!$B$18)*(($I82+COLUMN($N$3:$DU$3)-COLUMN($N$3))&lt;='KALENDER MINGGU'!$C$18)*(N82:DU82))/F82*H82</f>
        <v>0</v>
      </c>
      <c r="EI82" s="210">
        <f>SUMPRODUCT((($I82+COLUMN($N$3:$DU$3)-COLUMN($N$3))&gt;='KALENDER MINGGU'!$B$19)*(($I82+COLUMN($N$3:$DU$3)-COLUMN($N$3))&lt;='KALENDER MINGGU'!$C$19)*(N82:DU82))/F82*H82</f>
        <v>0</v>
      </c>
      <c r="EJ82" s="210">
        <f>SUMPRODUCT((($I82+COLUMN($N$3:$DU$3)-COLUMN($N$3))&gt;='KALENDER MINGGU'!$B$20)*(($I82+COLUMN($N$3:$DU$3)-COLUMN($N$3))&lt;='KALENDER MINGGU'!$C$20)*(N82:DU82))/F82*H82</f>
        <v>0</v>
      </c>
      <c r="EK82" s="210">
        <f>SUMPRODUCT((($I82+COLUMN($N$3:$DU$3)-COLUMN($N$3))&gt;='KALENDER MINGGU'!$B$21)*(($I82+COLUMN($N$3:$DU$3)-COLUMN($N$3))&lt;='KALENDER MINGGU'!$C$21)*(N82:DU82))/F82*H82</f>
        <v>0</v>
      </c>
    </row>
    <row r="83" spans="1:141" ht="15" customHeight="1" x14ac:dyDescent="0.2">
      <c r="A83" s="208">
        <v>80</v>
      </c>
      <c r="B83" s="208">
        <v>125</v>
      </c>
      <c r="C83" s="208" t="str">
        <f>IF(B83&lt;160,'BOBOT PEK'!$B$4,IF(B83&lt;207,'BOBOT PEK'!$B$160,'BOBOT PEK'!$B$207))</f>
        <v>Pekerjaan Gudang Umum</v>
      </c>
      <c r="D83" s="208" t="s">
        <v>215</v>
      </c>
      <c r="E83" s="208" t="str">
        <f>'BOBOT PEK'!C125</f>
        <v>pembuatan sumur resapan (biopori)</v>
      </c>
      <c r="F83" s="209">
        <f>IF(OR('BOBOT PEK'!E125="",'BOBOT PEK'!E125=0),1,'BOBOT PEK'!E125)</f>
        <v>8</v>
      </c>
      <c r="G83" s="208" t="str">
        <f>IF('BOBOT PEK'!F125="","ls",'BOBOT PEK'!F125)</f>
        <v>titik</v>
      </c>
      <c r="H83" s="210">
        <f>'BOBOT PEK'!J125</f>
        <v>0.36840594666818283</v>
      </c>
      <c r="I83" s="211">
        <f>'KALENDER MINGGU'!$B$3</f>
        <v>46226</v>
      </c>
      <c r="J83" s="209">
        <f t="shared" si="8"/>
        <v>0.5</v>
      </c>
      <c r="K83" s="209">
        <f t="shared" si="9"/>
        <v>7.5</v>
      </c>
      <c r="L83" s="212">
        <f t="shared" si="10"/>
        <v>6.25E-2</v>
      </c>
      <c r="M83" s="208" t="str">
        <f t="shared" si="11"/>
        <v>OK</v>
      </c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  <c r="AA83" s="213"/>
      <c r="AB83" s="213"/>
      <c r="AC83" s="213"/>
      <c r="AD83" s="213"/>
      <c r="AE83" s="213"/>
      <c r="AF83" s="213"/>
      <c r="AG83" s="213"/>
      <c r="AH83" s="213"/>
      <c r="AI83" s="213"/>
      <c r="AJ83" s="213"/>
      <c r="AK83" s="213"/>
      <c r="AL83" s="213"/>
      <c r="AM83" s="213"/>
      <c r="AN83" s="213"/>
      <c r="AO83" s="213"/>
      <c r="AP83" s="213">
        <v>0.5</v>
      </c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  <c r="BC83" s="213"/>
      <c r="BD83" s="213"/>
      <c r="BE83" s="213"/>
      <c r="BF83" s="213"/>
      <c r="BG83" s="213"/>
      <c r="BH83" s="213"/>
      <c r="BI83" s="213"/>
      <c r="BJ83" s="213"/>
      <c r="BK83" s="213"/>
      <c r="BL83" s="213"/>
      <c r="BM83" s="213"/>
      <c r="BN83" s="213"/>
      <c r="BO83" s="213"/>
      <c r="BP83" s="213"/>
      <c r="BQ83" s="213"/>
      <c r="BR83" s="213"/>
      <c r="BS83" s="213"/>
      <c r="BT83" s="213"/>
      <c r="BU83" s="213"/>
      <c r="BV83" s="213"/>
      <c r="BW83" s="213"/>
      <c r="BX83" s="213"/>
      <c r="BY83" s="213"/>
      <c r="BZ83" s="213"/>
      <c r="CA83" s="213"/>
      <c r="CB83" s="213"/>
      <c r="CC83" s="213"/>
      <c r="CD83" s="213"/>
      <c r="CE83" s="213"/>
      <c r="CF83" s="213"/>
      <c r="CG83" s="213"/>
      <c r="CH83" s="213"/>
      <c r="CI83" s="213"/>
      <c r="CJ83" s="213"/>
      <c r="CK83" s="213"/>
      <c r="CL83" s="213"/>
      <c r="CM83" s="213"/>
      <c r="CN83" s="213"/>
      <c r="CO83" s="213"/>
      <c r="CP83" s="213"/>
      <c r="CQ83" s="213"/>
      <c r="CR83" s="213"/>
      <c r="CS83" s="213"/>
      <c r="CT83" s="213"/>
      <c r="CU83" s="213"/>
      <c r="CV83" s="213"/>
      <c r="CW83" s="213"/>
      <c r="CX83" s="213"/>
      <c r="CY83" s="213"/>
      <c r="CZ83" s="213"/>
      <c r="DA83" s="213"/>
      <c r="DB83" s="213"/>
      <c r="DC83" s="213"/>
      <c r="DD83" s="213"/>
      <c r="DE83" s="213"/>
      <c r="DF83" s="213"/>
      <c r="DG83" s="213"/>
      <c r="DH83" s="213"/>
      <c r="DI83" s="213"/>
      <c r="DJ83" s="213"/>
      <c r="DK83" s="213"/>
      <c r="DL83" s="213"/>
      <c r="DM83" s="213"/>
      <c r="DN83" s="213"/>
      <c r="DO83" s="213"/>
      <c r="DP83" s="213"/>
      <c r="DQ83" s="213"/>
      <c r="DR83" s="213"/>
      <c r="DS83" s="213"/>
      <c r="DT83" s="213"/>
      <c r="DU83" s="213"/>
      <c r="DV83" s="210">
        <f>SUMPRODUCT((($I83+COLUMN($N$3:$DU$3)-COLUMN($N$3))&gt;='KALENDER MINGGU'!$B$6)*(($I83+COLUMN($N$3:$DU$3)-COLUMN($N$3))&lt;='KALENDER MINGGU'!$C$6)*(N83:DU83))/F83*H83</f>
        <v>0</v>
      </c>
      <c r="DW83" s="210">
        <f>SUMPRODUCT((($I83+COLUMN($N$3:$DU$3)-COLUMN($N$3))&gt;='KALENDER MINGGU'!$B$7)*(($I83+COLUMN($N$3:$DU$3)-COLUMN($N$3))&lt;='KALENDER MINGGU'!$C$7)*(N83:DU83))/F83*H83</f>
        <v>0</v>
      </c>
      <c r="DX83" s="210">
        <f>SUMPRODUCT((($I83+COLUMN($N$3:$DU$3)-COLUMN($N$3))&gt;='KALENDER MINGGU'!$B$8)*(($I83+COLUMN($N$3:$DU$3)-COLUMN($N$3))&lt;='KALENDER MINGGU'!$C$8)*(N83:DU83))/F83*H83</f>
        <v>0</v>
      </c>
      <c r="DY83" s="210">
        <f>SUMPRODUCT((($I83+COLUMN($N$3:$DU$3)-COLUMN($N$3))&gt;='KALENDER MINGGU'!$B$9)*(($I83+COLUMN($N$3:$DU$3)-COLUMN($N$3))&lt;='KALENDER MINGGU'!$C$9)*(N83:DU83))/F83*H83</f>
        <v>0</v>
      </c>
      <c r="DZ83" s="210">
        <f>SUMPRODUCT((($I83+COLUMN($N$3:$DU$3)-COLUMN($N$3))&gt;='KALENDER MINGGU'!$B$10)*(($I83+COLUMN($N$3:$DU$3)-COLUMN($N$3))&lt;='KALENDER MINGGU'!$C$10)*(N83:DU83))/F83*H83</f>
        <v>2.3025371666761427E-2</v>
      </c>
      <c r="EA83" s="210">
        <f>SUMPRODUCT((($I83+COLUMN($N$3:$DU$3)-COLUMN($N$3))&gt;='KALENDER MINGGU'!$B$11)*(($I83+COLUMN($N$3:$DU$3)-COLUMN($N$3))&lt;='KALENDER MINGGU'!$C$11)*(N83:DU83))/F83*H83</f>
        <v>0</v>
      </c>
      <c r="EB83" s="210">
        <f>SUMPRODUCT((($I83+COLUMN($N$3:$DU$3)-COLUMN($N$3))&gt;='KALENDER MINGGU'!$B$12)*(($I83+COLUMN($N$3:$DU$3)-COLUMN($N$3))&lt;='KALENDER MINGGU'!$C$12)*(N83:DU83))/F83*H83</f>
        <v>0</v>
      </c>
      <c r="EC83" s="210">
        <f>SUMPRODUCT((($I83+COLUMN($N$3:$DU$3)-COLUMN($N$3))&gt;='KALENDER MINGGU'!$B$13)*(($I83+COLUMN($N$3:$DU$3)-COLUMN($N$3))&lt;='KALENDER MINGGU'!$C$13)*(N83:DU83))/F83*H83</f>
        <v>0</v>
      </c>
      <c r="ED83" s="210">
        <f>SUMPRODUCT((($I83+COLUMN($N$3:$DU$3)-COLUMN($N$3))&gt;='KALENDER MINGGU'!$B$14)*(($I83+COLUMN($N$3:$DU$3)-COLUMN($N$3))&lt;='KALENDER MINGGU'!$C$14)*(N83:DU83))/F83*H83</f>
        <v>0</v>
      </c>
      <c r="EE83" s="210">
        <f>SUMPRODUCT((($I83+COLUMN($N$3:$DU$3)-COLUMN($N$3))&gt;='KALENDER MINGGU'!$B$15)*(($I83+COLUMN($N$3:$DU$3)-COLUMN($N$3))&lt;='KALENDER MINGGU'!$C$15)*(N83:DU83))/F83*H83</f>
        <v>0</v>
      </c>
      <c r="EF83" s="210">
        <f>SUMPRODUCT((($I83+COLUMN($N$3:$DU$3)-COLUMN($N$3))&gt;='KALENDER MINGGU'!$B$16)*(($I83+COLUMN($N$3:$DU$3)-COLUMN($N$3))&lt;='KALENDER MINGGU'!$C$16)*(N83:DU83))/F83*H83</f>
        <v>0</v>
      </c>
      <c r="EG83" s="210">
        <f>SUMPRODUCT((($I83+COLUMN($N$3:$DU$3)-COLUMN($N$3))&gt;='KALENDER MINGGU'!$B$17)*(($I83+COLUMN($N$3:$DU$3)-COLUMN($N$3))&lt;='KALENDER MINGGU'!$C$17)*(N83:DU83))/F83*H83</f>
        <v>0</v>
      </c>
      <c r="EH83" s="210">
        <f>SUMPRODUCT((($I83+COLUMN($N$3:$DU$3)-COLUMN($N$3))&gt;='KALENDER MINGGU'!$B$18)*(($I83+COLUMN($N$3:$DU$3)-COLUMN($N$3))&lt;='KALENDER MINGGU'!$C$18)*(N83:DU83))/F83*H83</f>
        <v>0</v>
      </c>
      <c r="EI83" s="210">
        <f>SUMPRODUCT((($I83+COLUMN($N$3:$DU$3)-COLUMN($N$3))&gt;='KALENDER MINGGU'!$B$19)*(($I83+COLUMN($N$3:$DU$3)-COLUMN($N$3))&lt;='KALENDER MINGGU'!$C$19)*(N83:DU83))/F83*H83</f>
        <v>0</v>
      </c>
      <c r="EJ83" s="210">
        <f>SUMPRODUCT((($I83+COLUMN($N$3:$DU$3)-COLUMN($N$3))&gt;='KALENDER MINGGU'!$B$20)*(($I83+COLUMN($N$3:$DU$3)-COLUMN($N$3))&lt;='KALENDER MINGGU'!$C$20)*(N83:DU83))/F83*H83</f>
        <v>0</v>
      </c>
      <c r="EK83" s="210">
        <f>SUMPRODUCT((($I83+COLUMN($N$3:$DU$3)-COLUMN($N$3))&gt;='KALENDER MINGGU'!$B$21)*(($I83+COLUMN($N$3:$DU$3)-COLUMN($N$3))&lt;='KALENDER MINGGU'!$C$21)*(N83:DU83))/F83*H83</f>
        <v>0</v>
      </c>
    </row>
    <row r="84" spans="1:141" ht="15" customHeight="1" x14ac:dyDescent="0.2">
      <c r="A84" s="208">
        <v>81</v>
      </c>
      <c r="B84" s="208">
        <v>126</v>
      </c>
      <c r="C84" s="208" t="str">
        <f>IF(B84&lt;160,'BOBOT PEK'!$B$4,IF(B84&lt;207,'BOBOT PEK'!$B$160,'BOBOT PEK'!$B$207))</f>
        <v>Pekerjaan Gudang Umum</v>
      </c>
      <c r="D84" s="208" t="s">
        <v>215</v>
      </c>
      <c r="E84" s="208" t="str">
        <f>'BOBOT PEK'!C126</f>
        <v>Pembuatan selokan tepi teras sisi selatan office &amp; loading dock</v>
      </c>
      <c r="F84" s="209">
        <f>IF(OR('BOBOT PEK'!E126="",'BOBOT PEK'!E126=0),1,'BOBOT PEK'!E126)</f>
        <v>82</v>
      </c>
      <c r="G84" s="208" t="str">
        <f>IF('BOBOT PEK'!F126="","ls",'BOBOT PEK'!F126)</f>
        <v>m</v>
      </c>
      <c r="H84" s="210">
        <f>'BOBOT PEK'!J126</f>
        <v>0.629360158891479</v>
      </c>
      <c r="I84" s="211">
        <f>'KALENDER MINGGU'!$B$3</f>
        <v>46226</v>
      </c>
      <c r="J84" s="209">
        <f t="shared" si="8"/>
        <v>0</v>
      </c>
      <c r="K84" s="209">
        <f t="shared" si="9"/>
        <v>82</v>
      </c>
      <c r="L84" s="212">
        <f t="shared" si="10"/>
        <v>0</v>
      </c>
      <c r="M84" s="208" t="str">
        <f t="shared" si="11"/>
        <v>OK</v>
      </c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  <c r="AA84" s="213"/>
      <c r="AB84" s="213"/>
      <c r="AC84" s="213"/>
      <c r="AD84" s="213"/>
      <c r="AE84" s="213"/>
      <c r="AF84" s="213"/>
      <c r="AG84" s="213"/>
      <c r="AH84" s="213"/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  <c r="BC84" s="213"/>
      <c r="BD84" s="213"/>
      <c r="BE84" s="213"/>
      <c r="BF84" s="213"/>
      <c r="BG84" s="213"/>
      <c r="BH84" s="213"/>
      <c r="BI84" s="213"/>
      <c r="BJ84" s="213"/>
      <c r="BK84" s="213"/>
      <c r="BL84" s="213"/>
      <c r="BM84" s="213"/>
      <c r="BN84" s="213"/>
      <c r="BO84" s="213"/>
      <c r="BP84" s="213"/>
      <c r="BQ84" s="213"/>
      <c r="BR84" s="213"/>
      <c r="BS84" s="213"/>
      <c r="BT84" s="213"/>
      <c r="BU84" s="213"/>
      <c r="BV84" s="213"/>
      <c r="BW84" s="213"/>
      <c r="BX84" s="213"/>
      <c r="BY84" s="213"/>
      <c r="BZ84" s="213"/>
      <c r="CA84" s="213"/>
      <c r="CB84" s="213"/>
      <c r="CC84" s="213"/>
      <c r="CD84" s="213"/>
      <c r="CE84" s="213"/>
      <c r="CF84" s="213"/>
      <c r="CG84" s="213"/>
      <c r="CH84" s="213"/>
      <c r="CI84" s="213"/>
      <c r="CJ84" s="213"/>
      <c r="CK84" s="213"/>
      <c r="CL84" s="213"/>
      <c r="CM84" s="213"/>
      <c r="CN84" s="213"/>
      <c r="CO84" s="213"/>
      <c r="CP84" s="213"/>
      <c r="CQ84" s="213"/>
      <c r="CR84" s="213"/>
      <c r="CS84" s="213"/>
      <c r="CT84" s="213"/>
      <c r="CU84" s="213"/>
      <c r="CV84" s="213"/>
      <c r="CW84" s="213"/>
      <c r="CX84" s="213"/>
      <c r="CY84" s="213"/>
      <c r="CZ84" s="213"/>
      <c r="DA84" s="213"/>
      <c r="DB84" s="213"/>
      <c r="DC84" s="213"/>
      <c r="DD84" s="213"/>
      <c r="DE84" s="213"/>
      <c r="DF84" s="213"/>
      <c r="DG84" s="213"/>
      <c r="DH84" s="213"/>
      <c r="DI84" s="213"/>
      <c r="DJ84" s="213"/>
      <c r="DK84" s="213"/>
      <c r="DL84" s="213"/>
      <c r="DM84" s="213"/>
      <c r="DN84" s="213"/>
      <c r="DO84" s="213"/>
      <c r="DP84" s="213"/>
      <c r="DQ84" s="213"/>
      <c r="DR84" s="213"/>
      <c r="DS84" s="213"/>
      <c r="DT84" s="213"/>
      <c r="DU84" s="213"/>
      <c r="DV84" s="210">
        <f>SUMPRODUCT((($I84+COLUMN($N$3:$DU$3)-COLUMN($N$3))&gt;='KALENDER MINGGU'!$B$6)*(($I84+COLUMN($N$3:$DU$3)-COLUMN($N$3))&lt;='KALENDER MINGGU'!$C$6)*(N84:DU84))/F84*H84</f>
        <v>0</v>
      </c>
      <c r="DW84" s="210">
        <f>SUMPRODUCT((($I84+COLUMN($N$3:$DU$3)-COLUMN($N$3))&gt;='KALENDER MINGGU'!$B$7)*(($I84+COLUMN($N$3:$DU$3)-COLUMN($N$3))&lt;='KALENDER MINGGU'!$C$7)*(N84:DU84))/F84*H84</f>
        <v>0</v>
      </c>
      <c r="DX84" s="210">
        <f>SUMPRODUCT((($I84+COLUMN($N$3:$DU$3)-COLUMN($N$3))&gt;='KALENDER MINGGU'!$B$8)*(($I84+COLUMN($N$3:$DU$3)-COLUMN($N$3))&lt;='KALENDER MINGGU'!$C$8)*(N84:DU84))/F84*H84</f>
        <v>0</v>
      </c>
      <c r="DY84" s="210">
        <f>SUMPRODUCT((($I84+COLUMN($N$3:$DU$3)-COLUMN($N$3))&gt;='KALENDER MINGGU'!$B$9)*(($I84+COLUMN($N$3:$DU$3)-COLUMN($N$3))&lt;='KALENDER MINGGU'!$C$9)*(N84:DU84))/F84*H84</f>
        <v>0</v>
      </c>
      <c r="DZ84" s="210">
        <f>SUMPRODUCT((($I84+COLUMN($N$3:$DU$3)-COLUMN($N$3))&gt;='KALENDER MINGGU'!$B$10)*(($I84+COLUMN($N$3:$DU$3)-COLUMN($N$3))&lt;='KALENDER MINGGU'!$C$10)*(N84:DU84))/F84*H84</f>
        <v>0</v>
      </c>
      <c r="EA84" s="210">
        <f>SUMPRODUCT((($I84+COLUMN($N$3:$DU$3)-COLUMN($N$3))&gt;='KALENDER MINGGU'!$B$11)*(($I84+COLUMN($N$3:$DU$3)-COLUMN($N$3))&lt;='KALENDER MINGGU'!$C$11)*(N84:DU84))/F84*H84</f>
        <v>0</v>
      </c>
      <c r="EB84" s="210">
        <f>SUMPRODUCT((($I84+COLUMN($N$3:$DU$3)-COLUMN($N$3))&gt;='KALENDER MINGGU'!$B$12)*(($I84+COLUMN($N$3:$DU$3)-COLUMN($N$3))&lt;='KALENDER MINGGU'!$C$12)*(N84:DU84))/F84*H84</f>
        <v>0</v>
      </c>
      <c r="EC84" s="210">
        <f>SUMPRODUCT((($I84+COLUMN($N$3:$DU$3)-COLUMN($N$3))&gt;='KALENDER MINGGU'!$B$13)*(($I84+COLUMN($N$3:$DU$3)-COLUMN($N$3))&lt;='KALENDER MINGGU'!$C$13)*(N84:DU84))/F84*H84</f>
        <v>0</v>
      </c>
      <c r="ED84" s="210">
        <f>SUMPRODUCT((($I84+COLUMN($N$3:$DU$3)-COLUMN($N$3))&gt;='KALENDER MINGGU'!$B$14)*(($I84+COLUMN($N$3:$DU$3)-COLUMN($N$3))&lt;='KALENDER MINGGU'!$C$14)*(N84:DU84))/F84*H84</f>
        <v>0</v>
      </c>
      <c r="EE84" s="210">
        <f>SUMPRODUCT((($I84+COLUMN($N$3:$DU$3)-COLUMN($N$3))&gt;='KALENDER MINGGU'!$B$15)*(($I84+COLUMN($N$3:$DU$3)-COLUMN($N$3))&lt;='KALENDER MINGGU'!$C$15)*(N84:DU84))/F84*H84</f>
        <v>0</v>
      </c>
      <c r="EF84" s="210">
        <f>SUMPRODUCT((($I84+COLUMN($N$3:$DU$3)-COLUMN($N$3))&gt;='KALENDER MINGGU'!$B$16)*(($I84+COLUMN($N$3:$DU$3)-COLUMN($N$3))&lt;='KALENDER MINGGU'!$C$16)*(N84:DU84))/F84*H84</f>
        <v>0</v>
      </c>
      <c r="EG84" s="210">
        <f>SUMPRODUCT((($I84+COLUMN($N$3:$DU$3)-COLUMN($N$3))&gt;='KALENDER MINGGU'!$B$17)*(($I84+COLUMN($N$3:$DU$3)-COLUMN($N$3))&lt;='KALENDER MINGGU'!$C$17)*(N84:DU84))/F84*H84</f>
        <v>0</v>
      </c>
      <c r="EH84" s="210">
        <f>SUMPRODUCT((($I84+COLUMN($N$3:$DU$3)-COLUMN($N$3))&gt;='KALENDER MINGGU'!$B$18)*(($I84+COLUMN($N$3:$DU$3)-COLUMN($N$3))&lt;='KALENDER MINGGU'!$C$18)*(N84:DU84))/F84*H84</f>
        <v>0</v>
      </c>
      <c r="EI84" s="210">
        <f>SUMPRODUCT((($I84+COLUMN($N$3:$DU$3)-COLUMN($N$3))&gt;='KALENDER MINGGU'!$B$19)*(($I84+COLUMN($N$3:$DU$3)-COLUMN($N$3))&lt;='KALENDER MINGGU'!$C$19)*(N84:DU84))/F84*H84</f>
        <v>0</v>
      </c>
      <c r="EJ84" s="210">
        <f>SUMPRODUCT((($I84+COLUMN($N$3:$DU$3)-COLUMN($N$3))&gt;='KALENDER MINGGU'!$B$20)*(($I84+COLUMN($N$3:$DU$3)-COLUMN($N$3))&lt;='KALENDER MINGGU'!$C$20)*(N84:DU84))/F84*H84</f>
        <v>0</v>
      </c>
      <c r="EK84" s="210">
        <f>SUMPRODUCT((($I84+COLUMN($N$3:$DU$3)-COLUMN($N$3))&gt;='KALENDER MINGGU'!$B$21)*(($I84+COLUMN($N$3:$DU$3)-COLUMN($N$3))&lt;='KALENDER MINGGU'!$C$21)*(N84:DU84))/F84*H84</f>
        <v>0</v>
      </c>
    </row>
    <row r="85" spans="1:141" ht="15" customHeight="1" x14ac:dyDescent="0.2">
      <c r="A85" s="208">
        <v>82</v>
      </c>
      <c r="B85" s="208">
        <v>130</v>
      </c>
      <c r="C85" s="208" t="str">
        <f>IF(B85&lt;160,'BOBOT PEK'!$B$4,IF(B85&lt;207,'BOBOT PEK'!$B$160,'BOBOT PEK'!$B$207))</f>
        <v>Pekerjaan Gudang Umum</v>
      </c>
      <c r="D85" s="208" t="s">
        <v>232</v>
      </c>
      <c r="E85" s="208" t="str">
        <f>'BOBOT PEK'!C130</f>
        <v>Barrier parkir motor</v>
      </c>
      <c r="F85" s="209">
        <f>IF(OR('BOBOT PEK'!E130="",'BOBOT PEK'!E130=0),1,'BOBOT PEK'!E130)</f>
        <v>26</v>
      </c>
      <c r="G85" s="208" t="str">
        <f>IF('BOBOT PEK'!F130="","ls",'BOBOT PEK'!F130)</f>
        <v>m'</v>
      </c>
      <c r="H85" s="210">
        <f>'BOBOT PEK'!J130</f>
        <v>0.13303548074128826</v>
      </c>
      <c r="I85" s="211">
        <f>'KALENDER MINGGU'!$B$3</f>
        <v>46226</v>
      </c>
      <c r="J85" s="209">
        <f t="shared" si="8"/>
        <v>0.5</v>
      </c>
      <c r="K85" s="209">
        <f t="shared" si="9"/>
        <v>25.5</v>
      </c>
      <c r="L85" s="212">
        <f t="shared" si="10"/>
        <v>1.9230769230769232E-2</v>
      </c>
      <c r="M85" s="208" t="str">
        <f t="shared" si="11"/>
        <v>OK</v>
      </c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  <c r="AA85" s="213"/>
      <c r="AB85" s="213"/>
      <c r="AC85" s="213"/>
      <c r="AD85" s="213"/>
      <c r="AE85" s="213"/>
      <c r="AF85" s="213"/>
      <c r="AG85" s="213"/>
      <c r="AH85" s="213"/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  <c r="BC85" s="213"/>
      <c r="BD85" s="213"/>
      <c r="BE85" s="213"/>
      <c r="BF85" s="213"/>
      <c r="BG85" s="213"/>
      <c r="BH85" s="213"/>
      <c r="BI85" s="213"/>
      <c r="BJ85" s="213"/>
      <c r="BK85" s="213"/>
      <c r="BL85" s="213"/>
      <c r="BM85" s="213"/>
      <c r="BN85" s="213"/>
      <c r="BO85" s="213"/>
      <c r="BP85" s="213"/>
      <c r="BQ85" s="213"/>
      <c r="BR85" s="213"/>
      <c r="BS85" s="213"/>
      <c r="BT85" s="213">
        <v>0.5</v>
      </c>
      <c r="BU85" s="213"/>
      <c r="BV85" s="213"/>
      <c r="BW85" s="213"/>
      <c r="BX85" s="213"/>
      <c r="BY85" s="213"/>
      <c r="BZ85" s="213"/>
      <c r="CA85" s="213"/>
      <c r="CB85" s="213"/>
      <c r="CC85" s="213"/>
      <c r="CD85" s="213"/>
      <c r="CE85" s="213"/>
      <c r="CF85" s="213"/>
      <c r="CG85" s="213"/>
      <c r="CH85" s="213"/>
      <c r="CI85" s="213"/>
      <c r="CJ85" s="213"/>
      <c r="CK85" s="213"/>
      <c r="CL85" s="213"/>
      <c r="CM85" s="213"/>
      <c r="CN85" s="213"/>
      <c r="CO85" s="213"/>
      <c r="CP85" s="213"/>
      <c r="CQ85" s="213"/>
      <c r="CR85" s="213"/>
      <c r="CS85" s="213"/>
      <c r="CT85" s="213"/>
      <c r="CU85" s="213"/>
      <c r="CV85" s="213"/>
      <c r="CW85" s="213"/>
      <c r="CX85" s="213"/>
      <c r="CY85" s="213"/>
      <c r="CZ85" s="213"/>
      <c r="DA85" s="213"/>
      <c r="DB85" s="213"/>
      <c r="DC85" s="213"/>
      <c r="DD85" s="213"/>
      <c r="DE85" s="213"/>
      <c r="DF85" s="213"/>
      <c r="DG85" s="213"/>
      <c r="DH85" s="213"/>
      <c r="DI85" s="213"/>
      <c r="DJ85" s="213"/>
      <c r="DK85" s="213"/>
      <c r="DL85" s="213"/>
      <c r="DM85" s="213"/>
      <c r="DN85" s="213"/>
      <c r="DO85" s="213"/>
      <c r="DP85" s="213"/>
      <c r="DQ85" s="213"/>
      <c r="DR85" s="213"/>
      <c r="DS85" s="213"/>
      <c r="DT85" s="213"/>
      <c r="DU85" s="213"/>
      <c r="DV85" s="210">
        <f>SUMPRODUCT((($I85+COLUMN($N$3:$DU$3)-COLUMN($N$3))&gt;='KALENDER MINGGU'!$B$6)*(($I85+COLUMN($N$3:$DU$3)-COLUMN($N$3))&lt;='KALENDER MINGGU'!$C$6)*(N85:DU85))/F85*H85</f>
        <v>0</v>
      </c>
      <c r="DW85" s="210">
        <f>SUMPRODUCT((($I85+COLUMN($N$3:$DU$3)-COLUMN($N$3))&gt;='KALENDER MINGGU'!$B$7)*(($I85+COLUMN($N$3:$DU$3)-COLUMN($N$3))&lt;='KALENDER MINGGU'!$C$7)*(N85:DU85))/F85*H85</f>
        <v>0</v>
      </c>
      <c r="DX85" s="210">
        <f>SUMPRODUCT((($I85+COLUMN($N$3:$DU$3)-COLUMN($N$3))&gt;='KALENDER MINGGU'!$B$8)*(($I85+COLUMN($N$3:$DU$3)-COLUMN($N$3))&lt;='KALENDER MINGGU'!$C$8)*(N85:DU85))/F85*H85</f>
        <v>0</v>
      </c>
      <c r="DY85" s="210">
        <f>SUMPRODUCT((($I85+COLUMN($N$3:$DU$3)-COLUMN($N$3))&gt;='KALENDER MINGGU'!$B$9)*(($I85+COLUMN($N$3:$DU$3)-COLUMN($N$3))&lt;='KALENDER MINGGU'!$C$9)*(N85:DU85))/F85*H85</f>
        <v>0</v>
      </c>
      <c r="DZ85" s="210">
        <f>SUMPRODUCT((($I85+COLUMN($N$3:$DU$3)-COLUMN($N$3))&gt;='KALENDER MINGGU'!$B$10)*(($I85+COLUMN($N$3:$DU$3)-COLUMN($N$3))&lt;='KALENDER MINGGU'!$C$10)*(N85:DU85))/F85*H85</f>
        <v>0</v>
      </c>
      <c r="EA85" s="210">
        <f>SUMPRODUCT((($I85+COLUMN($N$3:$DU$3)-COLUMN($N$3))&gt;='KALENDER MINGGU'!$B$11)*(($I85+COLUMN($N$3:$DU$3)-COLUMN($N$3))&lt;='KALENDER MINGGU'!$C$11)*(N85:DU85))/F85*H85</f>
        <v>0</v>
      </c>
      <c r="EB85" s="210">
        <f>SUMPRODUCT((($I85+COLUMN($N$3:$DU$3)-COLUMN($N$3))&gt;='KALENDER MINGGU'!$B$12)*(($I85+COLUMN($N$3:$DU$3)-COLUMN($N$3))&lt;='KALENDER MINGGU'!$C$12)*(N85:DU85))/F85*H85</f>
        <v>0</v>
      </c>
      <c r="EC85" s="210">
        <f>SUMPRODUCT((($I85+COLUMN($N$3:$DU$3)-COLUMN($N$3))&gt;='KALENDER MINGGU'!$B$13)*(($I85+COLUMN($N$3:$DU$3)-COLUMN($N$3))&lt;='KALENDER MINGGU'!$C$13)*(N85:DU85))/F85*H85</f>
        <v>0</v>
      </c>
      <c r="ED85" s="210">
        <f>SUMPRODUCT((($I85+COLUMN($N$3:$DU$3)-COLUMN($N$3))&gt;='KALENDER MINGGU'!$B$14)*(($I85+COLUMN($N$3:$DU$3)-COLUMN($N$3))&lt;='KALENDER MINGGU'!$C$14)*(N85:DU85))/F85*H85</f>
        <v>2.558374629640159E-3</v>
      </c>
      <c r="EE85" s="210">
        <f>SUMPRODUCT((($I85+COLUMN($N$3:$DU$3)-COLUMN($N$3))&gt;='KALENDER MINGGU'!$B$15)*(($I85+COLUMN($N$3:$DU$3)-COLUMN($N$3))&lt;='KALENDER MINGGU'!$C$15)*(N85:DU85))/F85*H85</f>
        <v>0</v>
      </c>
      <c r="EF85" s="210">
        <f>SUMPRODUCT((($I85+COLUMN($N$3:$DU$3)-COLUMN($N$3))&gt;='KALENDER MINGGU'!$B$16)*(($I85+COLUMN($N$3:$DU$3)-COLUMN($N$3))&lt;='KALENDER MINGGU'!$C$16)*(N85:DU85))/F85*H85</f>
        <v>0</v>
      </c>
      <c r="EG85" s="210">
        <f>SUMPRODUCT((($I85+COLUMN($N$3:$DU$3)-COLUMN($N$3))&gt;='KALENDER MINGGU'!$B$17)*(($I85+COLUMN($N$3:$DU$3)-COLUMN($N$3))&lt;='KALENDER MINGGU'!$C$17)*(N85:DU85))/F85*H85</f>
        <v>0</v>
      </c>
      <c r="EH85" s="210">
        <f>SUMPRODUCT((($I85+COLUMN($N$3:$DU$3)-COLUMN($N$3))&gt;='KALENDER MINGGU'!$B$18)*(($I85+COLUMN($N$3:$DU$3)-COLUMN($N$3))&lt;='KALENDER MINGGU'!$C$18)*(N85:DU85))/F85*H85</f>
        <v>0</v>
      </c>
      <c r="EI85" s="210">
        <f>SUMPRODUCT((($I85+COLUMN($N$3:$DU$3)-COLUMN($N$3))&gt;='KALENDER MINGGU'!$B$19)*(($I85+COLUMN($N$3:$DU$3)-COLUMN($N$3))&lt;='KALENDER MINGGU'!$C$19)*(N85:DU85))/F85*H85</f>
        <v>0</v>
      </c>
      <c r="EJ85" s="210">
        <f>SUMPRODUCT((($I85+COLUMN($N$3:$DU$3)-COLUMN($N$3))&gt;='KALENDER MINGGU'!$B$20)*(($I85+COLUMN($N$3:$DU$3)-COLUMN($N$3))&lt;='KALENDER MINGGU'!$C$20)*(N85:DU85))/F85*H85</f>
        <v>0</v>
      </c>
      <c r="EK85" s="210">
        <f>SUMPRODUCT((($I85+COLUMN($N$3:$DU$3)-COLUMN($N$3))&gt;='KALENDER MINGGU'!$B$21)*(($I85+COLUMN($N$3:$DU$3)-COLUMN($N$3))&lt;='KALENDER MINGGU'!$C$21)*(N85:DU85))/F85*H85</f>
        <v>0</v>
      </c>
    </row>
    <row r="86" spans="1:141" ht="15" customHeight="1" x14ac:dyDescent="0.2">
      <c r="A86" s="208">
        <v>83</v>
      </c>
      <c r="B86" s="208">
        <v>131</v>
      </c>
      <c r="C86" s="208" t="str">
        <f>IF(B86&lt;160,'BOBOT PEK'!$B$4,IF(B86&lt;207,'BOBOT PEK'!$B$160,'BOBOT PEK'!$B$207))</f>
        <v>Pekerjaan Gudang Umum</v>
      </c>
      <c r="D86" s="208" t="s">
        <v>232</v>
      </c>
      <c r="E86" s="208" t="str">
        <f>'BOBOT PEK'!C131</f>
        <v>Pengecatan rangka atap sebelah pos satpam</v>
      </c>
      <c r="F86" s="209">
        <f>IF(OR('BOBOT PEK'!E131="",'BOBOT PEK'!E131=0),1,'BOBOT PEK'!E131)</f>
        <v>30</v>
      </c>
      <c r="G86" s="208" t="str">
        <f>IF('BOBOT PEK'!F131="","ls",'BOBOT PEK'!F131)</f>
        <v>m2</v>
      </c>
      <c r="H86" s="210">
        <f>'BOBOT PEK'!J131</f>
        <v>6.5238553055824045E-2</v>
      </c>
      <c r="I86" s="211">
        <f>'KALENDER MINGGU'!$B$3</f>
        <v>46226</v>
      </c>
      <c r="J86" s="209">
        <f t="shared" si="8"/>
        <v>0</v>
      </c>
      <c r="K86" s="209">
        <f t="shared" si="9"/>
        <v>30</v>
      </c>
      <c r="L86" s="212">
        <f t="shared" si="10"/>
        <v>0</v>
      </c>
      <c r="M86" s="208" t="str">
        <f t="shared" si="11"/>
        <v>OK</v>
      </c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  <c r="AA86" s="213"/>
      <c r="AB86" s="213"/>
      <c r="AC86" s="213"/>
      <c r="AD86" s="213"/>
      <c r="AE86" s="213"/>
      <c r="AF86" s="213"/>
      <c r="AG86" s="213"/>
      <c r="AH86" s="213"/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  <c r="BC86" s="213"/>
      <c r="BD86" s="213"/>
      <c r="BE86" s="213"/>
      <c r="BF86" s="213"/>
      <c r="BG86" s="213"/>
      <c r="BH86" s="213"/>
      <c r="BI86" s="213"/>
      <c r="BJ86" s="213"/>
      <c r="BK86" s="213"/>
      <c r="BL86" s="213"/>
      <c r="BM86" s="213"/>
      <c r="BN86" s="213"/>
      <c r="BO86" s="213"/>
      <c r="BP86" s="213"/>
      <c r="BQ86" s="213"/>
      <c r="BR86" s="213"/>
      <c r="BS86" s="213"/>
      <c r="BT86" s="213"/>
      <c r="BU86" s="213"/>
      <c r="BV86" s="213"/>
      <c r="BW86" s="213"/>
      <c r="BX86" s="213"/>
      <c r="BY86" s="213"/>
      <c r="BZ86" s="213"/>
      <c r="CA86" s="213"/>
      <c r="CB86" s="213"/>
      <c r="CC86" s="213"/>
      <c r="CD86" s="213"/>
      <c r="CE86" s="213"/>
      <c r="CF86" s="213"/>
      <c r="CG86" s="213"/>
      <c r="CH86" s="213"/>
      <c r="CI86" s="213"/>
      <c r="CJ86" s="213"/>
      <c r="CK86" s="213"/>
      <c r="CL86" s="213"/>
      <c r="CM86" s="213"/>
      <c r="CN86" s="213"/>
      <c r="CO86" s="213"/>
      <c r="CP86" s="213"/>
      <c r="CQ86" s="213"/>
      <c r="CR86" s="213"/>
      <c r="CS86" s="213"/>
      <c r="CT86" s="213"/>
      <c r="CU86" s="213"/>
      <c r="CV86" s="213"/>
      <c r="CW86" s="213"/>
      <c r="CX86" s="213"/>
      <c r="CY86" s="213"/>
      <c r="CZ86" s="213"/>
      <c r="DA86" s="213"/>
      <c r="DB86" s="213"/>
      <c r="DC86" s="213"/>
      <c r="DD86" s="213"/>
      <c r="DE86" s="213"/>
      <c r="DF86" s="213"/>
      <c r="DG86" s="213"/>
      <c r="DH86" s="213"/>
      <c r="DI86" s="213"/>
      <c r="DJ86" s="213"/>
      <c r="DK86" s="213"/>
      <c r="DL86" s="213"/>
      <c r="DM86" s="213"/>
      <c r="DN86" s="213"/>
      <c r="DO86" s="213"/>
      <c r="DP86" s="213"/>
      <c r="DQ86" s="213"/>
      <c r="DR86" s="213"/>
      <c r="DS86" s="213"/>
      <c r="DT86" s="213"/>
      <c r="DU86" s="213"/>
      <c r="DV86" s="210">
        <f>SUMPRODUCT((($I86+COLUMN($N$3:$DU$3)-COLUMN($N$3))&gt;='KALENDER MINGGU'!$B$6)*(($I86+COLUMN($N$3:$DU$3)-COLUMN($N$3))&lt;='KALENDER MINGGU'!$C$6)*(N86:DU86))/F86*H86</f>
        <v>0</v>
      </c>
      <c r="DW86" s="210">
        <f>SUMPRODUCT((($I86+COLUMN($N$3:$DU$3)-COLUMN($N$3))&gt;='KALENDER MINGGU'!$B$7)*(($I86+COLUMN($N$3:$DU$3)-COLUMN($N$3))&lt;='KALENDER MINGGU'!$C$7)*(N86:DU86))/F86*H86</f>
        <v>0</v>
      </c>
      <c r="DX86" s="210">
        <f>SUMPRODUCT((($I86+COLUMN($N$3:$DU$3)-COLUMN($N$3))&gt;='KALENDER MINGGU'!$B$8)*(($I86+COLUMN($N$3:$DU$3)-COLUMN($N$3))&lt;='KALENDER MINGGU'!$C$8)*(N86:DU86))/F86*H86</f>
        <v>0</v>
      </c>
      <c r="DY86" s="210">
        <f>SUMPRODUCT((($I86+COLUMN($N$3:$DU$3)-COLUMN($N$3))&gt;='KALENDER MINGGU'!$B$9)*(($I86+COLUMN($N$3:$DU$3)-COLUMN($N$3))&lt;='KALENDER MINGGU'!$C$9)*(N86:DU86))/F86*H86</f>
        <v>0</v>
      </c>
      <c r="DZ86" s="210">
        <f>SUMPRODUCT((($I86+COLUMN($N$3:$DU$3)-COLUMN($N$3))&gt;='KALENDER MINGGU'!$B$10)*(($I86+COLUMN($N$3:$DU$3)-COLUMN($N$3))&lt;='KALENDER MINGGU'!$C$10)*(N86:DU86))/F86*H86</f>
        <v>0</v>
      </c>
      <c r="EA86" s="210">
        <f>SUMPRODUCT((($I86+COLUMN($N$3:$DU$3)-COLUMN($N$3))&gt;='KALENDER MINGGU'!$B$11)*(($I86+COLUMN($N$3:$DU$3)-COLUMN($N$3))&lt;='KALENDER MINGGU'!$C$11)*(N86:DU86))/F86*H86</f>
        <v>0</v>
      </c>
      <c r="EB86" s="210">
        <f>SUMPRODUCT((($I86+COLUMN($N$3:$DU$3)-COLUMN($N$3))&gt;='KALENDER MINGGU'!$B$12)*(($I86+COLUMN($N$3:$DU$3)-COLUMN($N$3))&lt;='KALENDER MINGGU'!$C$12)*(N86:DU86))/F86*H86</f>
        <v>0</v>
      </c>
      <c r="EC86" s="210">
        <f>SUMPRODUCT((($I86+COLUMN($N$3:$DU$3)-COLUMN($N$3))&gt;='KALENDER MINGGU'!$B$13)*(($I86+COLUMN($N$3:$DU$3)-COLUMN($N$3))&lt;='KALENDER MINGGU'!$C$13)*(N86:DU86))/F86*H86</f>
        <v>0</v>
      </c>
      <c r="ED86" s="210">
        <f>SUMPRODUCT((($I86+COLUMN($N$3:$DU$3)-COLUMN($N$3))&gt;='KALENDER MINGGU'!$B$14)*(($I86+COLUMN($N$3:$DU$3)-COLUMN($N$3))&lt;='KALENDER MINGGU'!$C$14)*(N86:DU86))/F86*H86</f>
        <v>0</v>
      </c>
      <c r="EE86" s="210">
        <f>SUMPRODUCT((($I86+COLUMN($N$3:$DU$3)-COLUMN($N$3))&gt;='KALENDER MINGGU'!$B$15)*(($I86+COLUMN($N$3:$DU$3)-COLUMN($N$3))&lt;='KALENDER MINGGU'!$C$15)*(N86:DU86))/F86*H86</f>
        <v>0</v>
      </c>
      <c r="EF86" s="210">
        <f>SUMPRODUCT((($I86+COLUMN($N$3:$DU$3)-COLUMN($N$3))&gt;='KALENDER MINGGU'!$B$16)*(($I86+COLUMN($N$3:$DU$3)-COLUMN($N$3))&lt;='KALENDER MINGGU'!$C$16)*(N86:DU86))/F86*H86</f>
        <v>0</v>
      </c>
      <c r="EG86" s="210">
        <f>SUMPRODUCT((($I86+COLUMN($N$3:$DU$3)-COLUMN($N$3))&gt;='KALENDER MINGGU'!$B$17)*(($I86+COLUMN($N$3:$DU$3)-COLUMN($N$3))&lt;='KALENDER MINGGU'!$C$17)*(N86:DU86))/F86*H86</f>
        <v>0</v>
      </c>
      <c r="EH86" s="210">
        <f>SUMPRODUCT((($I86+COLUMN($N$3:$DU$3)-COLUMN($N$3))&gt;='KALENDER MINGGU'!$B$18)*(($I86+COLUMN($N$3:$DU$3)-COLUMN($N$3))&lt;='KALENDER MINGGU'!$C$18)*(N86:DU86))/F86*H86</f>
        <v>0</v>
      </c>
      <c r="EI86" s="210">
        <f>SUMPRODUCT((($I86+COLUMN($N$3:$DU$3)-COLUMN($N$3))&gt;='KALENDER MINGGU'!$B$19)*(($I86+COLUMN($N$3:$DU$3)-COLUMN($N$3))&lt;='KALENDER MINGGU'!$C$19)*(N86:DU86))/F86*H86</f>
        <v>0</v>
      </c>
      <c r="EJ86" s="210">
        <f>SUMPRODUCT((($I86+COLUMN($N$3:$DU$3)-COLUMN($N$3))&gt;='KALENDER MINGGU'!$B$20)*(($I86+COLUMN($N$3:$DU$3)-COLUMN($N$3))&lt;='KALENDER MINGGU'!$C$20)*(N86:DU86))/F86*H86</f>
        <v>0</v>
      </c>
      <c r="EK86" s="210">
        <f>SUMPRODUCT((($I86+COLUMN($N$3:$DU$3)-COLUMN($N$3))&gt;='KALENDER MINGGU'!$B$21)*(($I86+COLUMN($N$3:$DU$3)-COLUMN($N$3))&lt;='KALENDER MINGGU'!$C$21)*(N86:DU86))/F86*H86</f>
        <v>0</v>
      </c>
    </row>
    <row r="87" spans="1:141" ht="15" customHeight="1" x14ac:dyDescent="0.2">
      <c r="A87" s="208">
        <v>84</v>
      </c>
      <c r="B87" s="208">
        <v>132</v>
      </c>
      <c r="C87" s="208" t="str">
        <f>IF(B87&lt;160,'BOBOT PEK'!$B$4,IF(B87&lt;207,'BOBOT PEK'!$B$160,'BOBOT PEK'!$B$207))</f>
        <v>Pekerjaan Gudang Umum</v>
      </c>
      <c r="D87" s="208" t="s">
        <v>232</v>
      </c>
      <c r="E87" s="208" t="str">
        <f>'BOBOT PEK'!C132</f>
        <v>Sudetan pembuangan air ke arah utara dan perapian saluran belakang</v>
      </c>
      <c r="F87" s="209">
        <f>IF(OR('BOBOT PEK'!E132="",'BOBOT PEK'!E132=0),1,'BOBOT PEK'!E132)</f>
        <v>1</v>
      </c>
      <c r="G87" s="208" t="str">
        <f>IF('BOBOT PEK'!F132="","ls",'BOBOT PEK'!F132)</f>
        <v>ls</v>
      </c>
      <c r="H87" s="210">
        <f>'BOBOT PEK'!J132</f>
        <v>0.28142120926041747</v>
      </c>
      <c r="I87" s="211">
        <f>'KALENDER MINGGU'!$B$3</f>
        <v>46226</v>
      </c>
      <c r="J87" s="209">
        <f t="shared" si="8"/>
        <v>0</v>
      </c>
      <c r="K87" s="209">
        <f t="shared" si="9"/>
        <v>1</v>
      </c>
      <c r="L87" s="212">
        <f t="shared" si="10"/>
        <v>0</v>
      </c>
      <c r="M87" s="208" t="str">
        <f t="shared" si="11"/>
        <v>OK</v>
      </c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  <c r="AA87" s="213"/>
      <c r="AB87" s="213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  <c r="BC87" s="213"/>
      <c r="BD87" s="213"/>
      <c r="BE87" s="213"/>
      <c r="BF87" s="213"/>
      <c r="BG87" s="213"/>
      <c r="BH87" s="213"/>
      <c r="BI87" s="213"/>
      <c r="BJ87" s="213"/>
      <c r="BK87" s="213"/>
      <c r="BL87" s="213"/>
      <c r="BM87" s="213"/>
      <c r="BN87" s="213"/>
      <c r="BO87" s="213"/>
      <c r="BP87" s="213"/>
      <c r="BQ87" s="213"/>
      <c r="BR87" s="213"/>
      <c r="BS87" s="213"/>
      <c r="BT87" s="213"/>
      <c r="BU87" s="213"/>
      <c r="BV87" s="213"/>
      <c r="BW87" s="213"/>
      <c r="BX87" s="213"/>
      <c r="BY87" s="213"/>
      <c r="BZ87" s="213"/>
      <c r="CA87" s="213"/>
      <c r="CB87" s="213"/>
      <c r="CC87" s="213"/>
      <c r="CD87" s="213"/>
      <c r="CE87" s="213"/>
      <c r="CF87" s="213"/>
      <c r="CG87" s="213"/>
      <c r="CH87" s="213"/>
      <c r="CI87" s="213"/>
      <c r="CJ87" s="213"/>
      <c r="CK87" s="213"/>
      <c r="CL87" s="213"/>
      <c r="CM87" s="213"/>
      <c r="CN87" s="213"/>
      <c r="CO87" s="213"/>
      <c r="CP87" s="213"/>
      <c r="CQ87" s="213"/>
      <c r="CR87" s="213"/>
      <c r="CS87" s="213"/>
      <c r="CT87" s="213"/>
      <c r="CU87" s="213"/>
      <c r="CV87" s="213"/>
      <c r="CW87" s="213"/>
      <c r="CX87" s="213"/>
      <c r="CY87" s="213"/>
      <c r="CZ87" s="213"/>
      <c r="DA87" s="213"/>
      <c r="DB87" s="213"/>
      <c r="DC87" s="213"/>
      <c r="DD87" s="213"/>
      <c r="DE87" s="213"/>
      <c r="DF87" s="213"/>
      <c r="DG87" s="213"/>
      <c r="DH87" s="213"/>
      <c r="DI87" s="213"/>
      <c r="DJ87" s="213"/>
      <c r="DK87" s="213"/>
      <c r="DL87" s="213"/>
      <c r="DM87" s="213"/>
      <c r="DN87" s="213"/>
      <c r="DO87" s="213"/>
      <c r="DP87" s="213"/>
      <c r="DQ87" s="213"/>
      <c r="DR87" s="213"/>
      <c r="DS87" s="213"/>
      <c r="DT87" s="213"/>
      <c r="DU87" s="213"/>
      <c r="DV87" s="210">
        <f>SUMPRODUCT((($I87+COLUMN($N$3:$DU$3)-COLUMN($N$3))&gt;='KALENDER MINGGU'!$B$6)*(($I87+COLUMN($N$3:$DU$3)-COLUMN($N$3))&lt;='KALENDER MINGGU'!$C$6)*(N87:DU87))/F87*H87</f>
        <v>0</v>
      </c>
      <c r="DW87" s="210">
        <f>SUMPRODUCT((($I87+COLUMN($N$3:$DU$3)-COLUMN($N$3))&gt;='KALENDER MINGGU'!$B$7)*(($I87+COLUMN($N$3:$DU$3)-COLUMN($N$3))&lt;='KALENDER MINGGU'!$C$7)*(N87:DU87))/F87*H87</f>
        <v>0</v>
      </c>
      <c r="DX87" s="210">
        <f>SUMPRODUCT((($I87+COLUMN($N$3:$DU$3)-COLUMN($N$3))&gt;='KALENDER MINGGU'!$B$8)*(($I87+COLUMN($N$3:$DU$3)-COLUMN($N$3))&lt;='KALENDER MINGGU'!$C$8)*(N87:DU87))/F87*H87</f>
        <v>0</v>
      </c>
      <c r="DY87" s="210">
        <f>SUMPRODUCT((($I87+COLUMN($N$3:$DU$3)-COLUMN($N$3))&gt;='KALENDER MINGGU'!$B$9)*(($I87+COLUMN($N$3:$DU$3)-COLUMN($N$3))&lt;='KALENDER MINGGU'!$C$9)*(N87:DU87))/F87*H87</f>
        <v>0</v>
      </c>
      <c r="DZ87" s="210">
        <f>SUMPRODUCT((($I87+COLUMN($N$3:$DU$3)-COLUMN($N$3))&gt;='KALENDER MINGGU'!$B$10)*(($I87+COLUMN($N$3:$DU$3)-COLUMN($N$3))&lt;='KALENDER MINGGU'!$C$10)*(N87:DU87))/F87*H87</f>
        <v>0</v>
      </c>
      <c r="EA87" s="210">
        <f>SUMPRODUCT((($I87+COLUMN($N$3:$DU$3)-COLUMN($N$3))&gt;='KALENDER MINGGU'!$B$11)*(($I87+COLUMN($N$3:$DU$3)-COLUMN($N$3))&lt;='KALENDER MINGGU'!$C$11)*(N87:DU87))/F87*H87</f>
        <v>0</v>
      </c>
      <c r="EB87" s="210">
        <f>SUMPRODUCT((($I87+COLUMN($N$3:$DU$3)-COLUMN($N$3))&gt;='KALENDER MINGGU'!$B$12)*(($I87+COLUMN($N$3:$DU$3)-COLUMN($N$3))&lt;='KALENDER MINGGU'!$C$12)*(N87:DU87))/F87*H87</f>
        <v>0</v>
      </c>
      <c r="EC87" s="210">
        <f>SUMPRODUCT((($I87+COLUMN($N$3:$DU$3)-COLUMN($N$3))&gt;='KALENDER MINGGU'!$B$13)*(($I87+COLUMN($N$3:$DU$3)-COLUMN($N$3))&lt;='KALENDER MINGGU'!$C$13)*(N87:DU87))/F87*H87</f>
        <v>0</v>
      </c>
      <c r="ED87" s="210">
        <f>SUMPRODUCT((($I87+COLUMN($N$3:$DU$3)-COLUMN($N$3))&gt;='KALENDER MINGGU'!$B$14)*(($I87+COLUMN($N$3:$DU$3)-COLUMN($N$3))&lt;='KALENDER MINGGU'!$C$14)*(N87:DU87))/F87*H87</f>
        <v>0</v>
      </c>
      <c r="EE87" s="210">
        <f>SUMPRODUCT((($I87+COLUMN($N$3:$DU$3)-COLUMN($N$3))&gt;='KALENDER MINGGU'!$B$15)*(($I87+COLUMN($N$3:$DU$3)-COLUMN($N$3))&lt;='KALENDER MINGGU'!$C$15)*(N87:DU87))/F87*H87</f>
        <v>0</v>
      </c>
      <c r="EF87" s="210">
        <f>SUMPRODUCT((($I87+COLUMN($N$3:$DU$3)-COLUMN($N$3))&gt;='KALENDER MINGGU'!$B$16)*(($I87+COLUMN($N$3:$DU$3)-COLUMN($N$3))&lt;='KALENDER MINGGU'!$C$16)*(N87:DU87))/F87*H87</f>
        <v>0</v>
      </c>
      <c r="EG87" s="210">
        <f>SUMPRODUCT((($I87+COLUMN($N$3:$DU$3)-COLUMN($N$3))&gt;='KALENDER MINGGU'!$B$17)*(($I87+COLUMN($N$3:$DU$3)-COLUMN($N$3))&lt;='KALENDER MINGGU'!$C$17)*(N87:DU87))/F87*H87</f>
        <v>0</v>
      </c>
      <c r="EH87" s="210">
        <f>SUMPRODUCT((($I87+COLUMN($N$3:$DU$3)-COLUMN($N$3))&gt;='KALENDER MINGGU'!$B$18)*(($I87+COLUMN($N$3:$DU$3)-COLUMN($N$3))&lt;='KALENDER MINGGU'!$C$18)*(N87:DU87))/F87*H87</f>
        <v>0</v>
      </c>
      <c r="EI87" s="210">
        <f>SUMPRODUCT((($I87+COLUMN($N$3:$DU$3)-COLUMN($N$3))&gt;='KALENDER MINGGU'!$B$19)*(($I87+COLUMN($N$3:$DU$3)-COLUMN($N$3))&lt;='KALENDER MINGGU'!$C$19)*(N87:DU87))/F87*H87</f>
        <v>0</v>
      </c>
      <c r="EJ87" s="210">
        <f>SUMPRODUCT((($I87+COLUMN($N$3:$DU$3)-COLUMN($N$3))&gt;='KALENDER MINGGU'!$B$20)*(($I87+COLUMN($N$3:$DU$3)-COLUMN($N$3))&lt;='KALENDER MINGGU'!$C$20)*(N87:DU87))/F87*H87</f>
        <v>0</v>
      </c>
      <c r="EK87" s="210">
        <f>SUMPRODUCT((($I87+COLUMN($N$3:$DU$3)-COLUMN($N$3))&gt;='KALENDER MINGGU'!$B$21)*(($I87+COLUMN($N$3:$DU$3)-COLUMN($N$3))&lt;='KALENDER MINGGU'!$C$21)*(N87:DU87))/F87*H87</f>
        <v>0</v>
      </c>
    </row>
    <row r="88" spans="1:141" ht="15" customHeight="1" x14ac:dyDescent="0.2">
      <c r="A88" s="208">
        <v>85</v>
      </c>
      <c r="B88" s="208">
        <v>136</v>
      </c>
      <c r="C88" s="208" t="str">
        <f>IF(B88&lt;160,'BOBOT PEK'!$B$4,IF(B88&lt;207,'BOBOT PEK'!$B$160,'BOBOT PEK'!$B$207))</f>
        <v>Pekerjaan Gudang Umum</v>
      </c>
      <c r="D88" s="208" t="s">
        <v>244</v>
      </c>
      <c r="E88" s="208" t="str">
        <f>'BOBOT PEK'!C136</f>
        <v>Neon Box Artaboga Facade</v>
      </c>
      <c r="F88" s="209">
        <f>IF(OR('BOBOT PEK'!E136="",'BOBOT PEK'!E136=0),1,'BOBOT PEK'!E136)</f>
        <v>1</v>
      </c>
      <c r="G88" s="208" t="str">
        <f>IF('BOBOT PEK'!F136="","ls",'BOBOT PEK'!F136)</f>
        <v>set</v>
      </c>
      <c r="H88" s="210">
        <f>'BOBOT PEK'!J136</f>
        <v>0.47329930648342938</v>
      </c>
      <c r="I88" s="211">
        <f>'KALENDER MINGGU'!$B$3</f>
        <v>46226</v>
      </c>
      <c r="J88" s="209">
        <f t="shared" si="8"/>
        <v>0.4</v>
      </c>
      <c r="K88" s="209">
        <f t="shared" si="9"/>
        <v>0.6</v>
      </c>
      <c r="L88" s="212">
        <f t="shared" si="10"/>
        <v>0.4</v>
      </c>
      <c r="M88" s="208" t="str">
        <f t="shared" si="11"/>
        <v>OK</v>
      </c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  <c r="AA88" s="213"/>
      <c r="AB88" s="213"/>
      <c r="AC88" s="213"/>
      <c r="AD88" s="213"/>
      <c r="AE88" s="213"/>
      <c r="AF88" s="213"/>
      <c r="AG88" s="213"/>
      <c r="AH88" s="213"/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  <c r="BC88" s="213"/>
      <c r="BD88" s="213"/>
      <c r="BE88" s="213"/>
      <c r="BF88" s="213"/>
      <c r="BG88" s="213"/>
      <c r="BH88" s="213">
        <v>0.2</v>
      </c>
      <c r="BI88" s="213"/>
      <c r="BJ88" s="213"/>
      <c r="BK88" s="213"/>
      <c r="BL88" s="213"/>
      <c r="BM88" s="213"/>
      <c r="BN88" s="213"/>
      <c r="BO88" s="213"/>
      <c r="BP88" s="213"/>
      <c r="BQ88" s="213"/>
      <c r="BR88" s="213">
        <v>0.1</v>
      </c>
      <c r="BS88" s="213">
        <v>0.1</v>
      </c>
      <c r="BT88" s="213"/>
      <c r="BU88" s="213"/>
      <c r="BV88" s="213"/>
      <c r="BW88" s="213"/>
      <c r="BX88" s="213"/>
      <c r="BY88" s="213"/>
      <c r="BZ88" s="213"/>
      <c r="CA88" s="213"/>
      <c r="CB88" s="213"/>
      <c r="CC88" s="213"/>
      <c r="CD88" s="213"/>
      <c r="CE88" s="213"/>
      <c r="CF88" s="213"/>
      <c r="CG88" s="213"/>
      <c r="CH88" s="213"/>
      <c r="CI88" s="213"/>
      <c r="CJ88" s="213"/>
      <c r="CK88" s="213"/>
      <c r="CL88" s="213"/>
      <c r="CM88" s="213"/>
      <c r="CN88" s="213"/>
      <c r="CO88" s="213"/>
      <c r="CP88" s="213"/>
      <c r="CQ88" s="213"/>
      <c r="CR88" s="213"/>
      <c r="CS88" s="213"/>
      <c r="CT88" s="213"/>
      <c r="CU88" s="213"/>
      <c r="CV88" s="213"/>
      <c r="CW88" s="213"/>
      <c r="CX88" s="213"/>
      <c r="CY88" s="213"/>
      <c r="CZ88" s="213"/>
      <c r="DA88" s="213"/>
      <c r="DB88" s="213"/>
      <c r="DC88" s="213"/>
      <c r="DD88" s="213"/>
      <c r="DE88" s="213"/>
      <c r="DF88" s="213"/>
      <c r="DG88" s="213"/>
      <c r="DH88" s="213"/>
      <c r="DI88" s="213"/>
      <c r="DJ88" s="213"/>
      <c r="DK88" s="213"/>
      <c r="DL88" s="213"/>
      <c r="DM88" s="213"/>
      <c r="DN88" s="213"/>
      <c r="DO88" s="213"/>
      <c r="DP88" s="213"/>
      <c r="DQ88" s="213"/>
      <c r="DR88" s="213"/>
      <c r="DS88" s="213"/>
      <c r="DT88" s="213"/>
      <c r="DU88" s="213"/>
      <c r="DV88" s="210">
        <f>SUMPRODUCT((($I88+COLUMN($N$3:$DU$3)-COLUMN($N$3))&gt;='KALENDER MINGGU'!$B$6)*(($I88+COLUMN($N$3:$DU$3)-COLUMN($N$3))&lt;='KALENDER MINGGU'!$C$6)*(N88:DU88))/F88*H88</f>
        <v>0</v>
      </c>
      <c r="DW88" s="210">
        <f>SUMPRODUCT((($I88+COLUMN($N$3:$DU$3)-COLUMN($N$3))&gt;='KALENDER MINGGU'!$B$7)*(($I88+COLUMN($N$3:$DU$3)-COLUMN($N$3))&lt;='KALENDER MINGGU'!$C$7)*(N88:DU88))/F88*H88</f>
        <v>0</v>
      </c>
      <c r="DX88" s="210">
        <f>SUMPRODUCT((($I88+COLUMN($N$3:$DU$3)-COLUMN($N$3))&gt;='KALENDER MINGGU'!$B$8)*(($I88+COLUMN($N$3:$DU$3)-COLUMN($N$3))&lt;='KALENDER MINGGU'!$C$8)*(N88:DU88))/F88*H88</f>
        <v>0</v>
      </c>
      <c r="DY88" s="210">
        <f>SUMPRODUCT((($I88+COLUMN($N$3:$DU$3)-COLUMN($N$3))&gt;='KALENDER MINGGU'!$B$9)*(($I88+COLUMN($N$3:$DU$3)-COLUMN($N$3))&lt;='KALENDER MINGGU'!$C$9)*(N88:DU88))/F88*H88</f>
        <v>0</v>
      </c>
      <c r="DZ88" s="210">
        <f>SUMPRODUCT((($I88+COLUMN($N$3:$DU$3)-COLUMN($N$3))&gt;='KALENDER MINGGU'!$B$10)*(($I88+COLUMN($N$3:$DU$3)-COLUMN($N$3))&lt;='KALENDER MINGGU'!$C$10)*(N88:DU88))/F88*H88</f>
        <v>0</v>
      </c>
      <c r="EA88" s="210">
        <f>SUMPRODUCT((($I88+COLUMN($N$3:$DU$3)-COLUMN($N$3))&gt;='KALENDER MINGGU'!$B$11)*(($I88+COLUMN($N$3:$DU$3)-COLUMN($N$3))&lt;='KALENDER MINGGU'!$C$11)*(N88:DU88))/F88*H88</f>
        <v>0</v>
      </c>
      <c r="EB88" s="210">
        <f>SUMPRODUCT((($I88+COLUMN($N$3:$DU$3)-COLUMN($N$3))&gt;='KALENDER MINGGU'!$B$12)*(($I88+COLUMN($N$3:$DU$3)-COLUMN($N$3))&lt;='KALENDER MINGGU'!$C$12)*(N88:DU88))/F88*H88</f>
        <v>9.4659861296685882E-2</v>
      </c>
      <c r="EC88" s="210">
        <f>SUMPRODUCT((($I88+COLUMN($N$3:$DU$3)-COLUMN($N$3))&gt;='KALENDER MINGGU'!$B$13)*(($I88+COLUMN($N$3:$DU$3)-COLUMN($N$3))&lt;='KALENDER MINGGU'!$C$13)*(N88:DU88))/F88*H88</f>
        <v>0</v>
      </c>
      <c r="ED88" s="210">
        <f>SUMPRODUCT((($I88+COLUMN($N$3:$DU$3)-COLUMN($N$3))&gt;='KALENDER MINGGU'!$B$14)*(($I88+COLUMN($N$3:$DU$3)-COLUMN($N$3))&lt;='KALENDER MINGGU'!$C$14)*(N88:DU88))/F88*H88</f>
        <v>9.4659861296685882E-2</v>
      </c>
      <c r="EE88" s="210">
        <f>SUMPRODUCT((($I88+COLUMN($N$3:$DU$3)-COLUMN($N$3))&gt;='KALENDER MINGGU'!$B$15)*(($I88+COLUMN($N$3:$DU$3)-COLUMN($N$3))&lt;='KALENDER MINGGU'!$C$15)*(N88:DU88))/F88*H88</f>
        <v>0</v>
      </c>
      <c r="EF88" s="210">
        <f>SUMPRODUCT((($I88+COLUMN($N$3:$DU$3)-COLUMN($N$3))&gt;='KALENDER MINGGU'!$B$16)*(($I88+COLUMN($N$3:$DU$3)-COLUMN($N$3))&lt;='KALENDER MINGGU'!$C$16)*(N88:DU88))/F88*H88</f>
        <v>0</v>
      </c>
      <c r="EG88" s="210">
        <f>SUMPRODUCT((($I88+COLUMN($N$3:$DU$3)-COLUMN($N$3))&gt;='KALENDER MINGGU'!$B$17)*(($I88+COLUMN($N$3:$DU$3)-COLUMN($N$3))&lt;='KALENDER MINGGU'!$C$17)*(N88:DU88))/F88*H88</f>
        <v>0</v>
      </c>
      <c r="EH88" s="210">
        <f>SUMPRODUCT((($I88+COLUMN($N$3:$DU$3)-COLUMN($N$3))&gt;='KALENDER MINGGU'!$B$18)*(($I88+COLUMN($N$3:$DU$3)-COLUMN($N$3))&lt;='KALENDER MINGGU'!$C$18)*(N88:DU88))/F88*H88</f>
        <v>0</v>
      </c>
      <c r="EI88" s="210">
        <f>SUMPRODUCT((($I88+COLUMN($N$3:$DU$3)-COLUMN($N$3))&gt;='KALENDER MINGGU'!$B$19)*(($I88+COLUMN($N$3:$DU$3)-COLUMN($N$3))&lt;='KALENDER MINGGU'!$C$19)*(N88:DU88))/F88*H88</f>
        <v>0</v>
      </c>
      <c r="EJ88" s="210">
        <f>SUMPRODUCT((($I88+COLUMN($N$3:$DU$3)-COLUMN($N$3))&gt;='KALENDER MINGGU'!$B$20)*(($I88+COLUMN($N$3:$DU$3)-COLUMN($N$3))&lt;='KALENDER MINGGU'!$C$20)*(N88:DU88))/F88*H88</f>
        <v>0</v>
      </c>
      <c r="EK88" s="210">
        <f>SUMPRODUCT((($I88+COLUMN($N$3:$DU$3)-COLUMN($N$3))&gt;='KALENDER MINGGU'!$B$21)*(($I88+COLUMN($N$3:$DU$3)-COLUMN($N$3))&lt;='KALENDER MINGGU'!$C$21)*(N88:DU88))/F88*H88</f>
        <v>0</v>
      </c>
    </row>
    <row r="89" spans="1:141" ht="15" customHeight="1" x14ac:dyDescent="0.2">
      <c r="A89" s="208">
        <v>86</v>
      </c>
      <c r="B89" s="208">
        <v>137</v>
      </c>
      <c r="C89" s="208" t="str">
        <f>IF(B89&lt;160,'BOBOT PEK'!$B$4,IF(B89&lt;207,'BOBOT PEK'!$B$160,'BOBOT PEK'!$B$207))</f>
        <v>Pekerjaan Gudang Umum</v>
      </c>
      <c r="D89" s="208" t="s">
        <v>244</v>
      </c>
      <c r="E89" s="208" t="str">
        <f>'BOBOT PEK'!C137</f>
        <v>Huruf timbul dan logo backdrop 55 cm dan 27 cm "artaboga", akrilik warna, timbul 2 cm, dengan lampu</v>
      </c>
      <c r="F89" s="209">
        <f>IF(OR('BOBOT PEK'!E137="",'BOBOT PEK'!E137=0),1,'BOBOT PEK'!E137)</f>
        <v>1</v>
      </c>
      <c r="G89" s="208" t="str">
        <f>IF('BOBOT PEK'!F137="","ls",'BOBOT PEK'!F137)</f>
        <v>set</v>
      </c>
      <c r="H89" s="210">
        <f>'BOBOT PEK'!J137</f>
        <v>0.12536035685236779</v>
      </c>
      <c r="I89" s="211">
        <f>'KALENDER MINGGU'!$B$3</f>
        <v>46226</v>
      </c>
      <c r="J89" s="209">
        <f t="shared" si="8"/>
        <v>0.4</v>
      </c>
      <c r="K89" s="209">
        <f t="shared" si="9"/>
        <v>0.6</v>
      </c>
      <c r="L89" s="212">
        <f t="shared" si="10"/>
        <v>0.4</v>
      </c>
      <c r="M89" s="208" t="str">
        <f t="shared" si="11"/>
        <v>OK</v>
      </c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  <c r="AA89" s="213"/>
      <c r="AB89" s="213"/>
      <c r="AC89" s="213"/>
      <c r="AD89" s="213"/>
      <c r="AE89" s="213"/>
      <c r="AF89" s="213"/>
      <c r="AG89" s="213"/>
      <c r="AH89" s="213"/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  <c r="BC89" s="213"/>
      <c r="BD89" s="213"/>
      <c r="BE89" s="213"/>
      <c r="BF89" s="213"/>
      <c r="BG89" s="213"/>
      <c r="BH89" s="213">
        <v>0.2</v>
      </c>
      <c r="BI89" s="213"/>
      <c r="BJ89" s="213"/>
      <c r="BK89" s="213"/>
      <c r="BL89" s="213"/>
      <c r="BM89" s="213"/>
      <c r="BN89" s="213"/>
      <c r="BO89" s="213"/>
      <c r="BP89" s="213"/>
      <c r="BQ89" s="213"/>
      <c r="BR89" s="213">
        <v>0.1</v>
      </c>
      <c r="BS89" s="213">
        <v>0.1</v>
      </c>
      <c r="BT89" s="213"/>
      <c r="BU89" s="213"/>
      <c r="BV89" s="213"/>
      <c r="BW89" s="213"/>
      <c r="BX89" s="213"/>
      <c r="BY89" s="213"/>
      <c r="BZ89" s="213"/>
      <c r="CA89" s="213"/>
      <c r="CB89" s="213"/>
      <c r="CC89" s="213"/>
      <c r="CD89" s="213"/>
      <c r="CE89" s="213"/>
      <c r="CF89" s="213"/>
      <c r="CG89" s="213"/>
      <c r="CH89" s="213"/>
      <c r="CI89" s="213"/>
      <c r="CJ89" s="213"/>
      <c r="CK89" s="213"/>
      <c r="CL89" s="213"/>
      <c r="CM89" s="213"/>
      <c r="CN89" s="213"/>
      <c r="CO89" s="213"/>
      <c r="CP89" s="213"/>
      <c r="CQ89" s="213"/>
      <c r="CR89" s="213"/>
      <c r="CS89" s="213"/>
      <c r="CT89" s="213"/>
      <c r="CU89" s="213"/>
      <c r="CV89" s="213"/>
      <c r="CW89" s="213"/>
      <c r="CX89" s="213"/>
      <c r="CY89" s="213"/>
      <c r="CZ89" s="213"/>
      <c r="DA89" s="213"/>
      <c r="DB89" s="213"/>
      <c r="DC89" s="213"/>
      <c r="DD89" s="213"/>
      <c r="DE89" s="213"/>
      <c r="DF89" s="213"/>
      <c r="DG89" s="213"/>
      <c r="DH89" s="213"/>
      <c r="DI89" s="213"/>
      <c r="DJ89" s="213"/>
      <c r="DK89" s="213"/>
      <c r="DL89" s="213"/>
      <c r="DM89" s="213"/>
      <c r="DN89" s="213"/>
      <c r="DO89" s="213"/>
      <c r="DP89" s="213"/>
      <c r="DQ89" s="213"/>
      <c r="DR89" s="213"/>
      <c r="DS89" s="213"/>
      <c r="DT89" s="213"/>
      <c r="DU89" s="213"/>
      <c r="DV89" s="210">
        <f>SUMPRODUCT((($I89+COLUMN($N$3:$DU$3)-COLUMN($N$3))&gt;='KALENDER MINGGU'!$B$6)*(($I89+COLUMN($N$3:$DU$3)-COLUMN($N$3))&lt;='KALENDER MINGGU'!$C$6)*(N89:DU89))/F89*H89</f>
        <v>0</v>
      </c>
      <c r="DW89" s="210">
        <f>SUMPRODUCT((($I89+COLUMN($N$3:$DU$3)-COLUMN($N$3))&gt;='KALENDER MINGGU'!$B$7)*(($I89+COLUMN($N$3:$DU$3)-COLUMN($N$3))&lt;='KALENDER MINGGU'!$C$7)*(N89:DU89))/F89*H89</f>
        <v>0</v>
      </c>
      <c r="DX89" s="210">
        <f>SUMPRODUCT((($I89+COLUMN($N$3:$DU$3)-COLUMN($N$3))&gt;='KALENDER MINGGU'!$B$8)*(($I89+COLUMN($N$3:$DU$3)-COLUMN($N$3))&lt;='KALENDER MINGGU'!$C$8)*(N89:DU89))/F89*H89</f>
        <v>0</v>
      </c>
      <c r="DY89" s="210">
        <f>SUMPRODUCT((($I89+COLUMN($N$3:$DU$3)-COLUMN($N$3))&gt;='KALENDER MINGGU'!$B$9)*(($I89+COLUMN($N$3:$DU$3)-COLUMN($N$3))&lt;='KALENDER MINGGU'!$C$9)*(N89:DU89))/F89*H89</f>
        <v>0</v>
      </c>
      <c r="DZ89" s="210">
        <f>SUMPRODUCT((($I89+COLUMN($N$3:$DU$3)-COLUMN($N$3))&gt;='KALENDER MINGGU'!$B$10)*(($I89+COLUMN($N$3:$DU$3)-COLUMN($N$3))&lt;='KALENDER MINGGU'!$C$10)*(N89:DU89))/F89*H89</f>
        <v>0</v>
      </c>
      <c r="EA89" s="210">
        <f>SUMPRODUCT((($I89+COLUMN($N$3:$DU$3)-COLUMN($N$3))&gt;='KALENDER MINGGU'!$B$11)*(($I89+COLUMN($N$3:$DU$3)-COLUMN($N$3))&lt;='KALENDER MINGGU'!$C$11)*(N89:DU89))/F89*H89</f>
        <v>0</v>
      </c>
      <c r="EB89" s="210">
        <f>SUMPRODUCT((($I89+COLUMN($N$3:$DU$3)-COLUMN($N$3))&gt;='KALENDER MINGGU'!$B$12)*(($I89+COLUMN($N$3:$DU$3)-COLUMN($N$3))&lt;='KALENDER MINGGU'!$C$12)*(N89:DU89))/F89*H89</f>
        <v>2.5072071370473559E-2</v>
      </c>
      <c r="EC89" s="210">
        <f>SUMPRODUCT((($I89+COLUMN($N$3:$DU$3)-COLUMN($N$3))&gt;='KALENDER MINGGU'!$B$13)*(($I89+COLUMN($N$3:$DU$3)-COLUMN($N$3))&lt;='KALENDER MINGGU'!$C$13)*(N89:DU89))/F89*H89</f>
        <v>0</v>
      </c>
      <c r="ED89" s="210">
        <f>SUMPRODUCT((($I89+COLUMN($N$3:$DU$3)-COLUMN($N$3))&gt;='KALENDER MINGGU'!$B$14)*(($I89+COLUMN($N$3:$DU$3)-COLUMN($N$3))&lt;='KALENDER MINGGU'!$C$14)*(N89:DU89))/F89*H89</f>
        <v>2.5072071370473559E-2</v>
      </c>
      <c r="EE89" s="210">
        <f>SUMPRODUCT((($I89+COLUMN($N$3:$DU$3)-COLUMN($N$3))&gt;='KALENDER MINGGU'!$B$15)*(($I89+COLUMN($N$3:$DU$3)-COLUMN($N$3))&lt;='KALENDER MINGGU'!$C$15)*(N89:DU89))/F89*H89</f>
        <v>0</v>
      </c>
      <c r="EF89" s="210">
        <f>SUMPRODUCT((($I89+COLUMN($N$3:$DU$3)-COLUMN($N$3))&gt;='KALENDER MINGGU'!$B$16)*(($I89+COLUMN($N$3:$DU$3)-COLUMN($N$3))&lt;='KALENDER MINGGU'!$C$16)*(N89:DU89))/F89*H89</f>
        <v>0</v>
      </c>
      <c r="EG89" s="210">
        <f>SUMPRODUCT((($I89+COLUMN($N$3:$DU$3)-COLUMN($N$3))&gt;='KALENDER MINGGU'!$B$17)*(($I89+COLUMN($N$3:$DU$3)-COLUMN($N$3))&lt;='KALENDER MINGGU'!$C$17)*(N89:DU89))/F89*H89</f>
        <v>0</v>
      </c>
      <c r="EH89" s="210">
        <f>SUMPRODUCT((($I89+COLUMN($N$3:$DU$3)-COLUMN($N$3))&gt;='KALENDER MINGGU'!$B$18)*(($I89+COLUMN($N$3:$DU$3)-COLUMN($N$3))&lt;='KALENDER MINGGU'!$C$18)*(N89:DU89))/F89*H89</f>
        <v>0</v>
      </c>
      <c r="EI89" s="210">
        <f>SUMPRODUCT((($I89+COLUMN($N$3:$DU$3)-COLUMN($N$3))&gt;='KALENDER MINGGU'!$B$19)*(($I89+COLUMN($N$3:$DU$3)-COLUMN($N$3))&lt;='KALENDER MINGGU'!$C$19)*(N89:DU89))/F89*H89</f>
        <v>0</v>
      </c>
      <c r="EJ89" s="210">
        <f>SUMPRODUCT((($I89+COLUMN($N$3:$DU$3)-COLUMN($N$3))&gt;='KALENDER MINGGU'!$B$20)*(($I89+COLUMN($N$3:$DU$3)-COLUMN($N$3))&lt;='KALENDER MINGGU'!$C$20)*(N89:DU89))/F89*H89</f>
        <v>0</v>
      </c>
      <c r="EK89" s="210">
        <f>SUMPRODUCT((($I89+COLUMN($N$3:$DU$3)-COLUMN($N$3))&gt;='KALENDER MINGGU'!$B$21)*(($I89+COLUMN($N$3:$DU$3)-COLUMN($N$3))&lt;='KALENDER MINGGU'!$C$21)*(N89:DU89))/F89*H89</f>
        <v>0</v>
      </c>
    </row>
    <row r="90" spans="1:141" ht="15" customHeight="1" x14ac:dyDescent="0.2">
      <c r="A90" s="208">
        <v>87</v>
      </c>
      <c r="B90" s="208">
        <v>138</v>
      </c>
      <c r="C90" s="208" t="str">
        <f>IF(B90&lt;160,'BOBOT PEK'!$B$4,IF(B90&lt;207,'BOBOT PEK'!$B$160,'BOBOT PEK'!$B$207))</f>
        <v>Pekerjaan Gudang Umum</v>
      </c>
      <c r="D90" s="208" t="s">
        <v>244</v>
      </c>
      <c r="E90" s="208" t="str">
        <f>'BOBOT PEK'!C138</f>
        <v>Jasa Pasang lokasi tinggi</v>
      </c>
      <c r="F90" s="209">
        <f>IF(OR('BOBOT PEK'!E138="",'BOBOT PEK'!E138=0),1,'BOBOT PEK'!E138)</f>
        <v>1</v>
      </c>
      <c r="G90" s="208" t="str">
        <f>IF('BOBOT PEK'!F138="","ls",'BOBOT PEK'!F138)</f>
        <v>ls</v>
      </c>
      <c r="H90" s="210">
        <f>'BOBOT PEK'!J138</f>
        <v>3.1979682870501985E-2</v>
      </c>
      <c r="I90" s="211">
        <f>'KALENDER MINGGU'!$B$3</f>
        <v>46226</v>
      </c>
      <c r="J90" s="209">
        <f t="shared" si="8"/>
        <v>0.2</v>
      </c>
      <c r="K90" s="209">
        <f t="shared" si="9"/>
        <v>0.8</v>
      </c>
      <c r="L90" s="212">
        <f t="shared" si="10"/>
        <v>0.2</v>
      </c>
      <c r="M90" s="208" t="str">
        <f t="shared" si="11"/>
        <v>OK</v>
      </c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  <c r="AA90" s="213"/>
      <c r="AB90" s="213"/>
      <c r="AC90" s="213"/>
      <c r="AD90" s="213"/>
      <c r="AE90" s="213"/>
      <c r="AF90" s="213"/>
      <c r="AG90" s="213"/>
      <c r="AH90" s="213"/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  <c r="BC90" s="213"/>
      <c r="BD90" s="213"/>
      <c r="BE90" s="213"/>
      <c r="BF90" s="213"/>
      <c r="BG90" s="213"/>
      <c r="BH90" s="213">
        <v>0.2</v>
      </c>
      <c r="BI90" s="213"/>
      <c r="BJ90" s="213"/>
      <c r="BK90" s="213"/>
      <c r="BL90" s="213"/>
      <c r="BM90" s="213"/>
      <c r="BN90" s="213"/>
      <c r="BO90" s="213"/>
      <c r="BP90" s="213"/>
      <c r="BQ90" s="213"/>
      <c r="BR90" s="213"/>
      <c r="BS90" s="213"/>
      <c r="BT90" s="213"/>
      <c r="BU90" s="213"/>
      <c r="BV90" s="213"/>
      <c r="BW90" s="213"/>
      <c r="BX90" s="213"/>
      <c r="BY90" s="213"/>
      <c r="BZ90" s="213"/>
      <c r="CA90" s="213"/>
      <c r="CB90" s="213"/>
      <c r="CC90" s="213"/>
      <c r="CD90" s="213"/>
      <c r="CE90" s="213"/>
      <c r="CF90" s="213"/>
      <c r="CG90" s="213"/>
      <c r="CH90" s="213"/>
      <c r="CI90" s="213"/>
      <c r="CJ90" s="213"/>
      <c r="CK90" s="213"/>
      <c r="CL90" s="213"/>
      <c r="CM90" s="213"/>
      <c r="CN90" s="213"/>
      <c r="CO90" s="213"/>
      <c r="CP90" s="213"/>
      <c r="CQ90" s="213"/>
      <c r="CR90" s="213"/>
      <c r="CS90" s="213"/>
      <c r="CT90" s="213"/>
      <c r="CU90" s="213"/>
      <c r="CV90" s="213"/>
      <c r="CW90" s="213"/>
      <c r="CX90" s="213"/>
      <c r="CY90" s="213"/>
      <c r="CZ90" s="213"/>
      <c r="DA90" s="213"/>
      <c r="DB90" s="213"/>
      <c r="DC90" s="213"/>
      <c r="DD90" s="213"/>
      <c r="DE90" s="213"/>
      <c r="DF90" s="213"/>
      <c r="DG90" s="213"/>
      <c r="DH90" s="213"/>
      <c r="DI90" s="213"/>
      <c r="DJ90" s="213"/>
      <c r="DK90" s="213"/>
      <c r="DL90" s="213"/>
      <c r="DM90" s="213"/>
      <c r="DN90" s="213"/>
      <c r="DO90" s="213"/>
      <c r="DP90" s="213"/>
      <c r="DQ90" s="213"/>
      <c r="DR90" s="213"/>
      <c r="DS90" s="213"/>
      <c r="DT90" s="213"/>
      <c r="DU90" s="213"/>
      <c r="DV90" s="210">
        <f>SUMPRODUCT((($I90+COLUMN($N$3:$DU$3)-COLUMN($N$3))&gt;='KALENDER MINGGU'!$B$6)*(($I90+COLUMN($N$3:$DU$3)-COLUMN($N$3))&lt;='KALENDER MINGGU'!$C$6)*(N90:DU90))/F90*H90</f>
        <v>0</v>
      </c>
      <c r="DW90" s="210">
        <f>SUMPRODUCT((($I90+COLUMN($N$3:$DU$3)-COLUMN($N$3))&gt;='KALENDER MINGGU'!$B$7)*(($I90+COLUMN($N$3:$DU$3)-COLUMN($N$3))&lt;='KALENDER MINGGU'!$C$7)*(N90:DU90))/F90*H90</f>
        <v>0</v>
      </c>
      <c r="DX90" s="210">
        <f>SUMPRODUCT((($I90+COLUMN($N$3:$DU$3)-COLUMN($N$3))&gt;='KALENDER MINGGU'!$B$8)*(($I90+COLUMN($N$3:$DU$3)-COLUMN($N$3))&lt;='KALENDER MINGGU'!$C$8)*(N90:DU90))/F90*H90</f>
        <v>0</v>
      </c>
      <c r="DY90" s="210">
        <f>SUMPRODUCT((($I90+COLUMN($N$3:$DU$3)-COLUMN($N$3))&gt;='KALENDER MINGGU'!$B$9)*(($I90+COLUMN($N$3:$DU$3)-COLUMN($N$3))&lt;='KALENDER MINGGU'!$C$9)*(N90:DU90))/F90*H90</f>
        <v>0</v>
      </c>
      <c r="DZ90" s="210">
        <f>SUMPRODUCT((($I90+COLUMN($N$3:$DU$3)-COLUMN($N$3))&gt;='KALENDER MINGGU'!$B$10)*(($I90+COLUMN($N$3:$DU$3)-COLUMN($N$3))&lt;='KALENDER MINGGU'!$C$10)*(N90:DU90))/F90*H90</f>
        <v>0</v>
      </c>
      <c r="EA90" s="210">
        <f>SUMPRODUCT((($I90+COLUMN($N$3:$DU$3)-COLUMN($N$3))&gt;='KALENDER MINGGU'!$B$11)*(($I90+COLUMN($N$3:$DU$3)-COLUMN($N$3))&lt;='KALENDER MINGGU'!$C$11)*(N90:DU90))/F90*H90</f>
        <v>0</v>
      </c>
      <c r="EB90" s="210">
        <f>SUMPRODUCT((($I90+COLUMN($N$3:$DU$3)-COLUMN($N$3))&gt;='KALENDER MINGGU'!$B$12)*(($I90+COLUMN($N$3:$DU$3)-COLUMN($N$3))&lt;='KALENDER MINGGU'!$C$12)*(N90:DU90))/F90*H90</f>
        <v>6.3959365741003971E-3</v>
      </c>
      <c r="EC90" s="210">
        <f>SUMPRODUCT((($I90+COLUMN($N$3:$DU$3)-COLUMN($N$3))&gt;='KALENDER MINGGU'!$B$13)*(($I90+COLUMN($N$3:$DU$3)-COLUMN($N$3))&lt;='KALENDER MINGGU'!$C$13)*(N90:DU90))/F90*H90</f>
        <v>0</v>
      </c>
      <c r="ED90" s="210">
        <f>SUMPRODUCT((($I90+COLUMN($N$3:$DU$3)-COLUMN($N$3))&gt;='KALENDER MINGGU'!$B$14)*(($I90+COLUMN($N$3:$DU$3)-COLUMN($N$3))&lt;='KALENDER MINGGU'!$C$14)*(N90:DU90))/F90*H90</f>
        <v>0</v>
      </c>
      <c r="EE90" s="210">
        <f>SUMPRODUCT((($I90+COLUMN($N$3:$DU$3)-COLUMN($N$3))&gt;='KALENDER MINGGU'!$B$15)*(($I90+COLUMN($N$3:$DU$3)-COLUMN($N$3))&lt;='KALENDER MINGGU'!$C$15)*(N90:DU90))/F90*H90</f>
        <v>0</v>
      </c>
      <c r="EF90" s="210">
        <f>SUMPRODUCT((($I90+COLUMN($N$3:$DU$3)-COLUMN($N$3))&gt;='KALENDER MINGGU'!$B$16)*(($I90+COLUMN($N$3:$DU$3)-COLUMN($N$3))&lt;='KALENDER MINGGU'!$C$16)*(N90:DU90))/F90*H90</f>
        <v>0</v>
      </c>
      <c r="EG90" s="210">
        <f>SUMPRODUCT((($I90+COLUMN($N$3:$DU$3)-COLUMN($N$3))&gt;='KALENDER MINGGU'!$B$17)*(($I90+COLUMN($N$3:$DU$3)-COLUMN($N$3))&lt;='KALENDER MINGGU'!$C$17)*(N90:DU90))/F90*H90</f>
        <v>0</v>
      </c>
      <c r="EH90" s="210">
        <f>SUMPRODUCT((($I90+COLUMN($N$3:$DU$3)-COLUMN($N$3))&gt;='KALENDER MINGGU'!$B$18)*(($I90+COLUMN($N$3:$DU$3)-COLUMN($N$3))&lt;='KALENDER MINGGU'!$C$18)*(N90:DU90))/F90*H90</f>
        <v>0</v>
      </c>
      <c r="EI90" s="210">
        <f>SUMPRODUCT((($I90+COLUMN($N$3:$DU$3)-COLUMN($N$3))&gt;='KALENDER MINGGU'!$B$19)*(($I90+COLUMN($N$3:$DU$3)-COLUMN($N$3))&lt;='KALENDER MINGGU'!$C$19)*(N90:DU90))/F90*H90</f>
        <v>0</v>
      </c>
      <c r="EJ90" s="210">
        <f>SUMPRODUCT((($I90+COLUMN($N$3:$DU$3)-COLUMN($N$3))&gt;='KALENDER MINGGU'!$B$20)*(($I90+COLUMN($N$3:$DU$3)-COLUMN($N$3))&lt;='KALENDER MINGGU'!$C$20)*(N90:DU90))/F90*H90</f>
        <v>0</v>
      </c>
      <c r="EK90" s="210">
        <f>SUMPRODUCT((($I90+COLUMN($N$3:$DU$3)-COLUMN($N$3))&gt;='KALENDER MINGGU'!$B$21)*(($I90+COLUMN($N$3:$DU$3)-COLUMN($N$3))&lt;='KALENDER MINGGU'!$C$21)*(N90:DU90))/F90*H90</f>
        <v>0</v>
      </c>
    </row>
    <row r="91" spans="1:141" ht="15" customHeight="1" x14ac:dyDescent="0.2">
      <c r="A91" s="208">
        <v>88</v>
      </c>
      <c r="B91" s="208">
        <v>139</v>
      </c>
      <c r="C91" s="208" t="str">
        <f>IF(B91&lt;160,'BOBOT PEK'!$B$4,IF(B91&lt;207,'BOBOT PEK'!$B$160,'BOBOT PEK'!$B$207))</f>
        <v>Pekerjaan Gudang Umum</v>
      </c>
      <c r="D91" s="208" t="s">
        <v>244</v>
      </c>
      <c r="E91" s="208" t="str">
        <f>'BOBOT PEK'!C139</f>
        <v>Backdrop WPC, Kombinasi wallboard marble</v>
      </c>
      <c r="F91" s="209">
        <f>IF(OR('BOBOT PEK'!E139="",'BOBOT PEK'!E139=0),1,'BOBOT PEK'!E139)</f>
        <v>9</v>
      </c>
      <c r="G91" s="208" t="str">
        <f>IF('BOBOT PEK'!F139="","ls",'BOBOT PEK'!F139)</f>
        <v>m2</v>
      </c>
      <c r="H91" s="210">
        <f>'BOBOT PEK'!J139</f>
        <v>0.20722834500085285</v>
      </c>
      <c r="I91" s="211">
        <f>'KALENDER MINGGU'!$B$3</f>
        <v>46226</v>
      </c>
      <c r="J91" s="209">
        <f t="shared" si="8"/>
        <v>3.2</v>
      </c>
      <c r="K91" s="209">
        <f t="shared" si="9"/>
        <v>5.8</v>
      </c>
      <c r="L91" s="212">
        <f t="shared" si="10"/>
        <v>0.35555555555555557</v>
      </c>
      <c r="M91" s="208" t="str">
        <f t="shared" si="11"/>
        <v>OK</v>
      </c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213"/>
      <c r="AD91" s="213"/>
      <c r="AE91" s="213"/>
      <c r="AF91" s="213"/>
      <c r="AG91" s="213"/>
      <c r="AH91" s="213"/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  <c r="BC91" s="213"/>
      <c r="BD91" s="213"/>
      <c r="BE91" s="213"/>
      <c r="BF91" s="213"/>
      <c r="BG91" s="213"/>
      <c r="BH91" s="213">
        <f>0.2*F91</f>
        <v>1.8</v>
      </c>
      <c r="BI91" s="213">
        <v>0.4</v>
      </c>
      <c r="BJ91" s="213"/>
      <c r="BK91" s="213"/>
      <c r="BL91" s="213"/>
      <c r="BM91" s="213"/>
      <c r="BN91" s="213"/>
      <c r="BO91" s="213"/>
      <c r="BP91" s="213"/>
      <c r="BQ91" s="213"/>
      <c r="BR91" s="213"/>
      <c r="BS91" s="213">
        <v>1</v>
      </c>
      <c r="BT91" s="213"/>
      <c r="BU91" s="213"/>
      <c r="BV91" s="213"/>
      <c r="BW91" s="213"/>
      <c r="BX91" s="213"/>
      <c r="BY91" s="213"/>
      <c r="BZ91" s="213"/>
      <c r="CA91" s="213"/>
      <c r="CB91" s="213"/>
      <c r="CC91" s="213"/>
      <c r="CD91" s="213"/>
      <c r="CE91" s="213"/>
      <c r="CF91" s="213"/>
      <c r="CG91" s="213"/>
      <c r="CH91" s="213"/>
      <c r="CI91" s="213"/>
      <c r="CJ91" s="213"/>
      <c r="CK91" s="213"/>
      <c r="CL91" s="213"/>
      <c r="CM91" s="213"/>
      <c r="CN91" s="213"/>
      <c r="CO91" s="213"/>
      <c r="CP91" s="213"/>
      <c r="CQ91" s="213"/>
      <c r="CR91" s="213"/>
      <c r="CS91" s="213"/>
      <c r="CT91" s="213"/>
      <c r="CU91" s="213"/>
      <c r="CV91" s="213"/>
      <c r="CW91" s="213"/>
      <c r="CX91" s="213"/>
      <c r="CY91" s="213"/>
      <c r="CZ91" s="213"/>
      <c r="DA91" s="213"/>
      <c r="DB91" s="213"/>
      <c r="DC91" s="213"/>
      <c r="DD91" s="213"/>
      <c r="DE91" s="213"/>
      <c r="DF91" s="213"/>
      <c r="DG91" s="213"/>
      <c r="DH91" s="213"/>
      <c r="DI91" s="213"/>
      <c r="DJ91" s="213"/>
      <c r="DK91" s="213"/>
      <c r="DL91" s="213"/>
      <c r="DM91" s="213"/>
      <c r="DN91" s="213"/>
      <c r="DO91" s="213"/>
      <c r="DP91" s="213"/>
      <c r="DQ91" s="213"/>
      <c r="DR91" s="213"/>
      <c r="DS91" s="213"/>
      <c r="DT91" s="213"/>
      <c r="DU91" s="213"/>
      <c r="DV91" s="210">
        <f>SUMPRODUCT((($I91+COLUMN($N$3:$DU$3)-COLUMN($N$3))&gt;='KALENDER MINGGU'!$B$6)*(($I91+COLUMN($N$3:$DU$3)-COLUMN($N$3))&lt;='KALENDER MINGGU'!$C$6)*(N91:DU91))/F91*H91</f>
        <v>0</v>
      </c>
      <c r="DW91" s="210">
        <f>SUMPRODUCT((($I91+COLUMN($N$3:$DU$3)-COLUMN($N$3))&gt;='KALENDER MINGGU'!$B$7)*(($I91+COLUMN($N$3:$DU$3)-COLUMN($N$3))&lt;='KALENDER MINGGU'!$C$7)*(N91:DU91))/F91*H91</f>
        <v>0</v>
      </c>
      <c r="DX91" s="210">
        <f>SUMPRODUCT((($I91+COLUMN($N$3:$DU$3)-COLUMN($N$3))&gt;='KALENDER MINGGU'!$B$8)*(($I91+COLUMN($N$3:$DU$3)-COLUMN($N$3))&lt;='KALENDER MINGGU'!$C$8)*(N91:DU91))/F91*H91</f>
        <v>0</v>
      </c>
      <c r="DY91" s="210">
        <f>SUMPRODUCT((($I91+COLUMN($N$3:$DU$3)-COLUMN($N$3))&gt;='KALENDER MINGGU'!$B$9)*(($I91+COLUMN($N$3:$DU$3)-COLUMN($N$3))&lt;='KALENDER MINGGU'!$C$9)*(N91:DU91))/F91*H91</f>
        <v>0</v>
      </c>
      <c r="DZ91" s="210">
        <f>SUMPRODUCT((($I91+COLUMN($N$3:$DU$3)-COLUMN($N$3))&gt;='KALENDER MINGGU'!$B$10)*(($I91+COLUMN($N$3:$DU$3)-COLUMN($N$3))&lt;='KALENDER MINGGU'!$C$10)*(N91:DU91))/F91*H91</f>
        <v>0</v>
      </c>
      <c r="EA91" s="210">
        <f>SUMPRODUCT((($I91+COLUMN($N$3:$DU$3)-COLUMN($N$3))&gt;='KALENDER MINGGU'!$B$11)*(($I91+COLUMN($N$3:$DU$3)-COLUMN($N$3))&lt;='KALENDER MINGGU'!$C$11)*(N91:DU91))/F91*H91</f>
        <v>0</v>
      </c>
      <c r="EB91" s="210">
        <f>SUMPRODUCT((($I91+COLUMN($N$3:$DU$3)-COLUMN($N$3))&gt;='KALENDER MINGGU'!$B$12)*(($I91+COLUMN($N$3:$DU$3)-COLUMN($N$3))&lt;='KALENDER MINGGU'!$C$12)*(N91:DU91))/F91*H91</f>
        <v>5.0655817666875144E-2</v>
      </c>
      <c r="EC91" s="210">
        <f>SUMPRODUCT((($I91+COLUMN($N$3:$DU$3)-COLUMN($N$3))&gt;='KALENDER MINGGU'!$B$13)*(($I91+COLUMN($N$3:$DU$3)-COLUMN($N$3))&lt;='KALENDER MINGGU'!$C$13)*(N91:DU91))/F91*H91</f>
        <v>0</v>
      </c>
      <c r="ED91" s="210">
        <f>SUMPRODUCT((($I91+COLUMN($N$3:$DU$3)-COLUMN($N$3))&gt;='KALENDER MINGGU'!$B$14)*(($I91+COLUMN($N$3:$DU$3)-COLUMN($N$3))&lt;='KALENDER MINGGU'!$C$14)*(N91:DU91))/F91*H91</f>
        <v>2.3025371666761427E-2</v>
      </c>
      <c r="EE91" s="210">
        <f>SUMPRODUCT((($I91+COLUMN($N$3:$DU$3)-COLUMN($N$3))&gt;='KALENDER MINGGU'!$B$15)*(($I91+COLUMN($N$3:$DU$3)-COLUMN($N$3))&lt;='KALENDER MINGGU'!$C$15)*(N91:DU91))/F91*H91</f>
        <v>0</v>
      </c>
      <c r="EF91" s="210">
        <f>SUMPRODUCT((($I91+COLUMN($N$3:$DU$3)-COLUMN($N$3))&gt;='KALENDER MINGGU'!$B$16)*(($I91+COLUMN($N$3:$DU$3)-COLUMN($N$3))&lt;='KALENDER MINGGU'!$C$16)*(N91:DU91))/F91*H91</f>
        <v>0</v>
      </c>
      <c r="EG91" s="210">
        <f>SUMPRODUCT((($I91+COLUMN($N$3:$DU$3)-COLUMN($N$3))&gt;='KALENDER MINGGU'!$B$17)*(($I91+COLUMN($N$3:$DU$3)-COLUMN($N$3))&lt;='KALENDER MINGGU'!$C$17)*(N91:DU91))/F91*H91</f>
        <v>0</v>
      </c>
      <c r="EH91" s="210">
        <f>SUMPRODUCT((($I91+COLUMN($N$3:$DU$3)-COLUMN($N$3))&gt;='KALENDER MINGGU'!$B$18)*(($I91+COLUMN($N$3:$DU$3)-COLUMN($N$3))&lt;='KALENDER MINGGU'!$C$18)*(N91:DU91))/F91*H91</f>
        <v>0</v>
      </c>
      <c r="EI91" s="210">
        <f>SUMPRODUCT((($I91+COLUMN($N$3:$DU$3)-COLUMN($N$3))&gt;='KALENDER MINGGU'!$B$19)*(($I91+COLUMN($N$3:$DU$3)-COLUMN($N$3))&lt;='KALENDER MINGGU'!$C$19)*(N91:DU91))/F91*H91</f>
        <v>0</v>
      </c>
      <c r="EJ91" s="210">
        <f>SUMPRODUCT((($I91+COLUMN($N$3:$DU$3)-COLUMN($N$3))&gt;='KALENDER MINGGU'!$B$20)*(($I91+COLUMN($N$3:$DU$3)-COLUMN($N$3))&lt;='KALENDER MINGGU'!$C$20)*(N91:DU91))/F91*H91</f>
        <v>0</v>
      </c>
      <c r="EK91" s="210">
        <f>SUMPRODUCT((($I91+COLUMN($N$3:$DU$3)-COLUMN($N$3))&gt;='KALENDER MINGGU'!$B$21)*(($I91+COLUMN($N$3:$DU$3)-COLUMN($N$3))&lt;='KALENDER MINGGU'!$C$21)*(N91:DU91))/F91*H91</f>
        <v>0</v>
      </c>
    </row>
    <row r="92" spans="1:141" ht="15" customHeight="1" x14ac:dyDescent="0.2">
      <c r="A92" s="208">
        <v>89</v>
      </c>
      <c r="B92" s="208">
        <v>140</v>
      </c>
      <c r="C92" s="208" t="str">
        <f>IF(B92&lt;160,'BOBOT PEK'!$B$4,IF(B92&lt;207,'BOBOT PEK'!$B$160,'BOBOT PEK'!$B$207))</f>
        <v>Pekerjaan Gudang Umum</v>
      </c>
      <c r="D92" s="208" t="s">
        <v>244</v>
      </c>
      <c r="E92" s="208" t="str">
        <f>'BOBOT PEK'!C140</f>
        <v>Repair meja receptionist, lapis hpl, spek taco</v>
      </c>
      <c r="F92" s="209">
        <f>IF(OR('BOBOT PEK'!E140="",'BOBOT PEK'!E140=0),1,'BOBOT PEK'!E140)</f>
        <v>1</v>
      </c>
      <c r="G92" s="208" t="str">
        <f>IF('BOBOT PEK'!F140="","ls",'BOBOT PEK'!F140)</f>
        <v>ls</v>
      </c>
      <c r="H92" s="210">
        <f>'BOBOT PEK'!J140</f>
        <v>0.1662943509266103</v>
      </c>
      <c r="I92" s="211">
        <f>'KALENDER MINGGU'!$B$3</f>
        <v>46226</v>
      </c>
      <c r="J92" s="209">
        <f t="shared" si="8"/>
        <v>0.4</v>
      </c>
      <c r="K92" s="209">
        <f t="shared" si="9"/>
        <v>0.6</v>
      </c>
      <c r="L92" s="212">
        <f t="shared" si="10"/>
        <v>0.4</v>
      </c>
      <c r="M92" s="208" t="str">
        <f t="shared" si="11"/>
        <v>OK</v>
      </c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  <c r="BC92" s="213"/>
      <c r="BD92" s="213"/>
      <c r="BE92" s="213"/>
      <c r="BF92" s="213"/>
      <c r="BG92" s="213"/>
      <c r="BH92" s="213">
        <v>0.2</v>
      </c>
      <c r="BI92" s="213">
        <v>0.1</v>
      </c>
      <c r="BJ92" s="213"/>
      <c r="BK92" s="213"/>
      <c r="BL92" s="213"/>
      <c r="BM92" s="213"/>
      <c r="BN92" s="213"/>
      <c r="BO92" s="213"/>
      <c r="BP92" s="213"/>
      <c r="BQ92" s="213"/>
      <c r="BR92" s="213"/>
      <c r="BS92" s="213">
        <v>0.1</v>
      </c>
      <c r="BT92" s="213"/>
      <c r="BU92" s="213"/>
      <c r="BV92" s="213"/>
      <c r="BW92" s="213"/>
      <c r="BX92" s="213"/>
      <c r="BY92" s="213"/>
      <c r="BZ92" s="213"/>
      <c r="CA92" s="213"/>
      <c r="CB92" s="213"/>
      <c r="CC92" s="213"/>
      <c r="CD92" s="213"/>
      <c r="CE92" s="213"/>
      <c r="CF92" s="213"/>
      <c r="CG92" s="213"/>
      <c r="CH92" s="213"/>
      <c r="CI92" s="213"/>
      <c r="CJ92" s="213"/>
      <c r="CK92" s="213"/>
      <c r="CL92" s="213"/>
      <c r="CM92" s="213"/>
      <c r="CN92" s="213"/>
      <c r="CO92" s="213"/>
      <c r="CP92" s="213"/>
      <c r="CQ92" s="213"/>
      <c r="CR92" s="213"/>
      <c r="CS92" s="213"/>
      <c r="CT92" s="213"/>
      <c r="CU92" s="213"/>
      <c r="CV92" s="213"/>
      <c r="CW92" s="213"/>
      <c r="CX92" s="213"/>
      <c r="CY92" s="213"/>
      <c r="CZ92" s="213"/>
      <c r="DA92" s="213"/>
      <c r="DB92" s="213"/>
      <c r="DC92" s="213"/>
      <c r="DD92" s="213"/>
      <c r="DE92" s="213"/>
      <c r="DF92" s="213"/>
      <c r="DG92" s="213"/>
      <c r="DH92" s="213"/>
      <c r="DI92" s="213"/>
      <c r="DJ92" s="213"/>
      <c r="DK92" s="213"/>
      <c r="DL92" s="213"/>
      <c r="DM92" s="213"/>
      <c r="DN92" s="213"/>
      <c r="DO92" s="213"/>
      <c r="DP92" s="213"/>
      <c r="DQ92" s="213"/>
      <c r="DR92" s="213"/>
      <c r="DS92" s="213"/>
      <c r="DT92" s="213"/>
      <c r="DU92" s="213"/>
      <c r="DV92" s="210">
        <f>SUMPRODUCT((($I92+COLUMN($N$3:$DU$3)-COLUMN($N$3))&gt;='KALENDER MINGGU'!$B$6)*(($I92+COLUMN($N$3:$DU$3)-COLUMN($N$3))&lt;='KALENDER MINGGU'!$C$6)*(N92:DU92))/F92*H92</f>
        <v>0</v>
      </c>
      <c r="DW92" s="210">
        <f>SUMPRODUCT((($I92+COLUMN($N$3:$DU$3)-COLUMN($N$3))&gt;='KALENDER MINGGU'!$B$7)*(($I92+COLUMN($N$3:$DU$3)-COLUMN($N$3))&lt;='KALENDER MINGGU'!$C$7)*(N92:DU92))/F92*H92</f>
        <v>0</v>
      </c>
      <c r="DX92" s="210">
        <f>SUMPRODUCT((($I92+COLUMN($N$3:$DU$3)-COLUMN($N$3))&gt;='KALENDER MINGGU'!$B$8)*(($I92+COLUMN($N$3:$DU$3)-COLUMN($N$3))&lt;='KALENDER MINGGU'!$C$8)*(N92:DU92))/F92*H92</f>
        <v>0</v>
      </c>
      <c r="DY92" s="210">
        <f>SUMPRODUCT((($I92+COLUMN($N$3:$DU$3)-COLUMN($N$3))&gt;='KALENDER MINGGU'!$B$9)*(($I92+COLUMN($N$3:$DU$3)-COLUMN($N$3))&lt;='KALENDER MINGGU'!$C$9)*(N92:DU92))/F92*H92</f>
        <v>0</v>
      </c>
      <c r="DZ92" s="210">
        <f>SUMPRODUCT((($I92+COLUMN($N$3:$DU$3)-COLUMN($N$3))&gt;='KALENDER MINGGU'!$B$10)*(($I92+COLUMN($N$3:$DU$3)-COLUMN($N$3))&lt;='KALENDER MINGGU'!$C$10)*(N92:DU92))/F92*H92</f>
        <v>0</v>
      </c>
      <c r="EA92" s="210">
        <f>SUMPRODUCT((($I92+COLUMN($N$3:$DU$3)-COLUMN($N$3))&gt;='KALENDER MINGGU'!$B$11)*(($I92+COLUMN($N$3:$DU$3)-COLUMN($N$3))&lt;='KALENDER MINGGU'!$C$11)*(N92:DU92))/F92*H92</f>
        <v>0</v>
      </c>
      <c r="EB92" s="210">
        <f>SUMPRODUCT((($I92+COLUMN($N$3:$DU$3)-COLUMN($N$3))&gt;='KALENDER MINGGU'!$B$12)*(($I92+COLUMN($N$3:$DU$3)-COLUMN($N$3))&lt;='KALENDER MINGGU'!$C$12)*(N92:DU92))/F92*H92</f>
        <v>4.9888305277983096E-2</v>
      </c>
      <c r="EC92" s="210">
        <f>SUMPRODUCT((($I92+COLUMN($N$3:$DU$3)-COLUMN($N$3))&gt;='KALENDER MINGGU'!$B$13)*(($I92+COLUMN($N$3:$DU$3)-COLUMN($N$3))&lt;='KALENDER MINGGU'!$C$13)*(N92:DU92))/F92*H92</f>
        <v>0</v>
      </c>
      <c r="ED92" s="210">
        <f>SUMPRODUCT((($I92+COLUMN($N$3:$DU$3)-COLUMN($N$3))&gt;='KALENDER MINGGU'!$B$14)*(($I92+COLUMN($N$3:$DU$3)-COLUMN($N$3))&lt;='KALENDER MINGGU'!$C$14)*(N92:DU92))/F92*H92</f>
        <v>1.662943509266103E-2</v>
      </c>
      <c r="EE92" s="210">
        <f>SUMPRODUCT((($I92+COLUMN($N$3:$DU$3)-COLUMN($N$3))&gt;='KALENDER MINGGU'!$B$15)*(($I92+COLUMN($N$3:$DU$3)-COLUMN($N$3))&lt;='KALENDER MINGGU'!$C$15)*(N92:DU92))/F92*H92</f>
        <v>0</v>
      </c>
      <c r="EF92" s="210">
        <f>SUMPRODUCT((($I92+COLUMN($N$3:$DU$3)-COLUMN($N$3))&gt;='KALENDER MINGGU'!$B$16)*(($I92+COLUMN($N$3:$DU$3)-COLUMN($N$3))&lt;='KALENDER MINGGU'!$C$16)*(N92:DU92))/F92*H92</f>
        <v>0</v>
      </c>
      <c r="EG92" s="210">
        <f>SUMPRODUCT((($I92+COLUMN($N$3:$DU$3)-COLUMN($N$3))&gt;='KALENDER MINGGU'!$B$17)*(($I92+COLUMN($N$3:$DU$3)-COLUMN($N$3))&lt;='KALENDER MINGGU'!$C$17)*(N92:DU92))/F92*H92</f>
        <v>0</v>
      </c>
      <c r="EH92" s="210">
        <f>SUMPRODUCT((($I92+COLUMN($N$3:$DU$3)-COLUMN($N$3))&gt;='KALENDER MINGGU'!$B$18)*(($I92+COLUMN($N$3:$DU$3)-COLUMN($N$3))&lt;='KALENDER MINGGU'!$C$18)*(N92:DU92))/F92*H92</f>
        <v>0</v>
      </c>
      <c r="EI92" s="210">
        <f>SUMPRODUCT((($I92+COLUMN($N$3:$DU$3)-COLUMN($N$3))&gt;='KALENDER MINGGU'!$B$19)*(($I92+COLUMN($N$3:$DU$3)-COLUMN($N$3))&lt;='KALENDER MINGGU'!$C$19)*(N92:DU92))/F92*H92</f>
        <v>0</v>
      </c>
      <c r="EJ92" s="210">
        <f>SUMPRODUCT((($I92+COLUMN($N$3:$DU$3)-COLUMN($N$3))&gt;='KALENDER MINGGU'!$B$20)*(($I92+COLUMN($N$3:$DU$3)-COLUMN($N$3))&lt;='KALENDER MINGGU'!$C$20)*(N92:DU92))/F92*H92</f>
        <v>0</v>
      </c>
      <c r="EK92" s="210">
        <f>SUMPRODUCT((($I92+COLUMN($N$3:$DU$3)-COLUMN($N$3))&gt;='KALENDER MINGGU'!$B$21)*(($I92+COLUMN($N$3:$DU$3)-COLUMN($N$3))&lt;='KALENDER MINGGU'!$C$21)*(N92:DU92))/F92*H92</f>
        <v>0</v>
      </c>
    </row>
    <row r="93" spans="1:141" ht="15" customHeight="1" x14ac:dyDescent="0.2">
      <c r="A93" s="208">
        <v>90</v>
      </c>
      <c r="B93" s="208">
        <v>141</v>
      </c>
      <c r="C93" s="208" t="str">
        <f>IF(B93&lt;160,'BOBOT PEK'!$B$4,IF(B93&lt;207,'BOBOT PEK'!$B$160,'BOBOT PEK'!$B$207))</f>
        <v>Pekerjaan Gudang Umum</v>
      </c>
      <c r="D93" s="208" t="s">
        <v>244</v>
      </c>
      <c r="E93" s="208" t="str">
        <f>'BOBOT PEK'!C141</f>
        <v>Repair lemari bawah tangga, lapis hpl, spek taco</v>
      </c>
      <c r="F93" s="209">
        <f>IF(OR('BOBOT PEK'!E141="",'BOBOT PEK'!E141=0),1,'BOBOT PEK'!E141)</f>
        <v>1</v>
      </c>
      <c r="G93" s="208" t="str">
        <f>IF('BOBOT PEK'!F141="","ls",'BOBOT PEK'!F141)</f>
        <v>ls</v>
      </c>
      <c r="H93" s="210">
        <f>'BOBOT PEK'!J141</f>
        <v>0.12791873148200794</v>
      </c>
      <c r="I93" s="211">
        <f>'KALENDER MINGGU'!$B$3</f>
        <v>46226</v>
      </c>
      <c r="J93" s="209">
        <f t="shared" si="8"/>
        <v>0.30000000000000004</v>
      </c>
      <c r="K93" s="209">
        <f t="shared" si="9"/>
        <v>0.7</v>
      </c>
      <c r="L93" s="212">
        <f t="shared" si="10"/>
        <v>0.30000000000000004</v>
      </c>
      <c r="M93" s="208" t="str">
        <f t="shared" si="11"/>
        <v>OK</v>
      </c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  <c r="AE93" s="213"/>
      <c r="AF93" s="213"/>
      <c r="AG93" s="213"/>
      <c r="AH93" s="213"/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  <c r="BC93" s="213"/>
      <c r="BD93" s="213"/>
      <c r="BE93" s="213"/>
      <c r="BF93" s="213"/>
      <c r="BG93" s="213"/>
      <c r="BH93" s="213">
        <v>0.2</v>
      </c>
      <c r="BI93" s="265">
        <v>0</v>
      </c>
      <c r="BJ93" s="213"/>
      <c r="BK93" s="213"/>
      <c r="BL93" s="213"/>
      <c r="BM93" s="213"/>
      <c r="BN93" s="213"/>
      <c r="BO93" s="213"/>
      <c r="BP93" s="213"/>
      <c r="BQ93" s="213"/>
      <c r="BR93" s="213"/>
      <c r="BS93" s="213">
        <v>0.1</v>
      </c>
      <c r="BT93" s="213"/>
      <c r="BU93" s="213"/>
      <c r="BV93" s="213"/>
      <c r="BW93" s="213"/>
      <c r="BX93" s="213"/>
      <c r="BY93" s="213"/>
      <c r="BZ93" s="213"/>
      <c r="CA93" s="213"/>
      <c r="CB93" s="213"/>
      <c r="CC93" s="213"/>
      <c r="CD93" s="213"/>
      <c r="CE93" s="213"/>
      <c r="CF93" s="213"/>
      <c r="CG93" s="213"/>
      <c r="CH93" s="213"/>
      <c r="CI93" s="213"/>
      <c r="CJ93" s="213"/>
      <c r="CK93" s="213"/>
      <c r="CL93" s="213"/>
      <c r="CM93" s="213"/>
      <c r="CN93" s="213"/>
      <c r="CO93" s="213"/>
      <c r="CP93" s="213"/>
      <c r="CQ93" s="213"/>
      <c r="CR93" s="213"/>
      <c r="CS93" s="213"/>
      <c r="CT93" s="213"/>
      <c r="CU93" s="213"/>
      <c r="CV93" s="213"/>
      <c r="CW93" s="213"/>
      <c r="CX93" s="213"/>
      <c r="CY93" s="213"/>
      <c r="CZ93" s="213"/>
      <c r="DA93" s="213"/>
      <c r="DB93" s="213"/>
      <c r="DC93" s="213"/>
      <c r="DD93" s="213"/>
      <c r="DE93" s="213"/>
      <c r="DF93" s="213"/>
      <c r="DG93" s="213"/>
      <c r="DH93" s="213"/>
      <c r="DI93" s="213"/>
      <c r="DJ93" s="213"/>
      <c r="DK93" s="213"/>
      <c r="DL93" s="213"/>
      <c r="DM93" s="213"/>
      <c r="DN93" s="213"/>
      <c r="DO93" s="213"/>
      <c r="DP93" s="213"/>
      <c r="DQ93" s="213"/>
      <c r="DR93" s="213"/>
      <c r="DS93" s="213"/>
      <c r="DT93" s="213"/>
      <c r="DU93" s="213"/>
      <c r="DV93" s="210">
        <f>SUMPRODUCT((($I93+COLUMN($N$3:$DU$3)-COLUMN($N$3))&gt;='KALENDER MINGGU'!$B$6)*(($I93+COLUMN($N$3:$DU$3)-COLUMN($N$3))&lt;='KALENDER MINGGU'!$C$6)*(N93:DU93))/F93*H93</f>
        <v>0</v>
      </c>
      <c r="DW93" s="210">
        <f>SUMPRODUCT((($I93+COLUMN($N$3:$DU$3)-COLUMN($N$3))&gt;='KALENDER MINGGU'!$B$7)*(($I93+COLUMN($N$3:$DU$3)-COLUMN($N$3))&lt;='KALENDER MINGGU'!$C$7)*(N93:DU93))/F93*H93</f>
        <v>0</v>
      </c>
      <c r="DX93" s="210">
        <f>SUMPRODUCT((($I93+COLUMN($N$3:$DU$3)-COLUMN($N$3))&gt;='KALENDER MINGGU'!$B$8)*(($I93+COLUMN($N$3:$DU$3)-COLUMN($N$3))&lt;='KALENDER MINGGU'!$C$8)*(N93:DU93))/F93*H93</f>
        <v>0</v>
      </c>
      <c r="DY93" s="210">
        <f>SUMPRODUCT((($I93+COLUMN($N$3:$DU$3)-COLUMN($N$3))&gt;='KALENDER MINGGU'!$B$9)*(($I93+COLUMN($N$3:$DU$3)-COLUMN($N$3))&lt;='KALENDER MINGGU'!$C$9)*(N93:DU93))/F93*H93</f>
        <v>0</v>
      </c>
      <c r="DZ93" s="210">
        <f>SUMPRODUCT((($I93+COLUMN($N$3:$DU$3)-COLUMN($N$3))&gt;='KALENDER MINGGU'!$B$10)*(($I93+COLUMN($N$3:$DU$3)-COLUMN($N$3))&lt;='KALENDER MINGGU'!$C$10)*(N93:DU93))/F93*H93</f>
        <v>0</v>
      </c>
      <c r="EA93" s="210">
        <f>SUMPRODUCT((($I93+COLUMN($N$3:$DU$3)-COLUMN($N$3))&gt;='KALENDER MINGGU'!$B$11)*(($I93+COLUMN($N$3:$DU$3)-COLUMN($N$3))&lt;='KALENDER MINGGU'!$C$11)*(N93:DU93))/F93*H93</f>
        <v>0</v>
      </c>
      <c r="EB93" s="210">
        <f>SUMPRODUCT((($I93+COLUMN($N$3:$DU$3)-COLUMN($N$3))&gt;='KALENDER MINGGU'!$B$12)*(($I93+COLUMN($N$3:$DU$3)-COLUMN($N$3))&lt;='KALENDER MINGGU'!$C$12)*(N93:DU93))/F93*H93</f>
        <v>2.5583746296401588E-2</v>
      </c>
      <c r="EC93" s="210">
        <f>SUMPRODUCT((($I93+COLUMN($N$3:$DU$3)-COLUMN($N$3))&gt;='KALENDER MINGGU'!$B$13)*(($I93+COLUMN($N$3:$DU$3)-COLUMN($N$3))&lt;='KALENDER MINGGU'!$C$13)*(N93:DU93))/F93*H93</f>
        <v>0</v>
      </c>
      <c r="ED93" s="210">
        <f>SUMPRODUCT((($I93+COLUMN($N$3:$DU$3)-COLUMN($N$3))&gt;='KALENDER MINGGU'!$B$14)*(($I93+COLUMN($N$3:$DU$3)-COLUMN($N$3))&lt;='KALENDER MINGGU'!$C$14)*(N93:DU93))/F93*H93</f>
        <v>1.2791873148200794E-2</v>
      </c>
      <c r="EE93" s="210">
        <f>SUMPRODUCT((($I93+COLUMN($N$3:$DU$3)-COLUMN($N$3))&gt;='KALENDER MINGGU'!$B$15)*(($I93+COLUMN($N$3:$DU$3)-COLUMN($N$3))&lt;='KALENDER MINGGU'!$C$15)*(N93:DU93))/F93*H93</f>
        <v>0</v>
      </c>
      <c r="EF93" s="210">
        <f>SUMPRODUCT((($I93+COLUMN($N$3:$DU$3)-COLUMN($N$3))&gt;='KALENDER MINGGU'!$B$16)*(($I93+COLUMN($N$3:$DU$3)-COLUMN($N$3))&lt;='KALENDER MINGGU'!$C$16)*(N93:DU93))/F93*H93</f>
        <v>0</v>
      </c>
      <c r="EG93" s="210">
        <f>SUMPRODUCT((($I93+COLUMN($N$3:$DU$3)-COLUMN($N$3))&gt;='KALENDER MINGGU'!$B$17)*(($I93+COLUMN($N$3:$DU$3)-COLUMN($N$3))&lt;='KALENDER MINGGU'!$C$17)*(N93:DU93))/F93*H93</f>
        <v>0</v>
      </c>
      <c r="EH93" s="210">
        <f>SUMPRODUCT((($I93+COLUMN($N$3:$DU$3)-COLUMN($N$3))&gt;='KALENDER MINGGU'!$B$18)*(($I93+COLUMN($N$3:$DU$3)-COLUMN($N$3))&lt;='KALENDER MINGGU'!$C$18)*(N93:DU93))/F93*H93</f>
        <v>0</v>
      </c>
      <c r="EI93" s="210">
        <f>SUMPRODUCT((($I93+COLUMN($N$3:$DU$3)-COLUMN($N$3))&gt;='KALENDER MINGGU'!$B$19)*(($I93+COLUMN($N$3:$DU$3)-COLUMN($N$3))&lt;='KALENDER MINGGU'!$C$19)*(N93:DU93))/F93*H93</f>
        <v>0</v>
      </c>
      <c r="EJ93" s="210">
        <f>SUMPRODUCT((($I93+COLUMN($N$3:$DU$3)-COLUMN($N$3))&gt;='KALENDER MINGGU'!$B$20)*(($I93+COLUMN($N$3:$DU$3)-COLUMN($N$3))&lt;='KALENDER MINGGU'!$C$20)*(N93:DU93))/F93*H93</f>
        <v>0</v>
      </c>
      <c r="EK93" s="210">
        <f>SUMPRODUCT((($I93+COLUMN($N$3:$DU$3)-COLUMN($N$3))&gt;='KALENDER MINGGU'!$B$21)*(($I93+COLUMN($N$3:$DU$3)-COLUMN($N$3))&lt;='KALENDER MINGGU'!$C$21)*(N93:DU93))/F93*H93</f>
        <v>0</v>
      </c>
    </row>
    <row r="94" spans="1:141" ht="15" customHeight="1" x14ac:dyDescent="0.2">
      <c r="A94" s="208">
        <v>91</v>
      </c>
      <c r="B94" s="208">
        <v>142</v>
      </c>
      <c r="C94" s="208" t="str">
        <f>IF(B94&lt;160,'BOBOT PEK'!$B$4,IF(B94&lt;207,'BOBOT PEK'!$B$160,'BOBOT PEK'!$B$207))</f>
        <v>Pekerjaan Gudang Umum</v>
      </c>
      <c r="D94" s="208" t="s">
        <v>244</v>
      </c>
      <c r="E94" s="208" t="str">
        <f>'BOBOT PEK'!C142</f>
        <v>Neon Box 140 x 30 cm</v>
      </c>
      <c r="F94" s="209">
        <f>IF(OR('BOBOT PEK'!E142="",'BOBOT PEK'!E142=0),1,'BOBOT PEK'!E142)</f>
        <v>5</v>
      </c>
      <c r="G94" s="208" t="str">
        <f>IF('BOBOT PEK'!F142="","ls",'BOBOT PEK'!F142)</f>
        <v>pcs</v>
      </c>
      <c r="H94" s="210">
        <f>'BOBOT PEK'!J142</f>
        <v>0.21106590694531308</v>
      </c>
      <c r="I94" s="211">
        <f>'KALENDER MINGGU'!$B$3</f>
        <v>46226</v>
      </c>
      <c r="J94" s="209">
        <f t="shared" si="8"/>
        <v>1</v>
      </c>
      <c r="K94" s="209">
        <f t="shared" si="9"/>
        <v>4</v>
      </c>
      <c r="L94" s="212">
        <f t="shared" si="10"/>
        <v>0.2</v>
      </c>
      <c r="M94" s="208" t="str">
        <f t="shared" si="11"/>
        <v>OK</v>
      </c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3"/>
      <c r="AB94" s="213"/>
      <c r="AC94" s="213"/>
      <c r="AD94" s="213"/>
      <c r="AE94" s="213"/>
      <c r="AF94" s="213"/>
      <c r="AG94" s="213"/>
      <c r="AH94" s="213"/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  <c r="BC94" s="213"/>
      <c r="BD94" s="213"/>
      <c r="BE94" s="213"/>
      <c r="BF94" s="213"/>
      <c r="BG94" s="213"/>
      <c r="BH94" s="213">
        <v>1</v>
      </c>
      <c r="BI94" s="213"/>
      <c r="BJ94" s="213"/>
      <c r="BK94" s="213"/>
      <c r="BL94" s="213"/>
      <c r="BM94" s="213"/>
      <c r="BN94" s="213"/>
      <c r="BO94" s="213"/>
      <c r="BP94" s="213"/>
      <c r="BQ94" s="213"/>
      <c r="BR94" s="213"/>
      <c r="BS94" s="213"/>
      <c r="BT94" s="213"/>
      <c r="BU94" s="213"/>
      <c r="BV94" s="213"/>
      <c r="BW94" s="213"/>
      <c r="BX94" s="213"/>
      <c r="BY94" s="213"/>
      <c r="BZ94" s="213"/>
      <c r="CA94" s="213"/>
      <c r="CB94" s="213"/>
      <c r="CC94" s="213"/>
      <c r="CD94" s="213"/>
      <c r="CE94" s="213"/>
      <c r="CF94" s="213"/>
      <c r="CG94" s="213"/>
      <c r="CH94" s="213"/>
      <c r="CI94" s="213"/>
      <c r="CJ94" s="213"/>
      <c r="CK94" s="213"/>
      <c r="CL94" s="213"/>
      <c r="CM94" s="213"/>
      <c r="CN94" s="213"/>
      <c r="CO94" s="213"/>
      <c r="CP94" s="213"/>
      <c r="CQ94" s="213"/>
      <c r="CR94" s="213"/>
      <c r="CS94" s="213"/>
      <c r="CT94" s="213"/>
      <c r="CU94" s="213"/>
      <c r="CV94" s="213"/>
      <c r="CW94" s="213"/>
      <c r="CX94" s="213"/>
      <c r="CY94" s="213"/>
      <c r="CZ94" s="213"/>
      <c r="DA94" s="213"/>
      <c r="DB94" s="213"/>
      <c r="DC94" s="213"/>
      <c r="DD94" s="213"/>
      <c r="DE94" s="213"/>
      <c r="DF94" s="213"/>
      <c r="DG94" s="213"/>
      <c r="DH94" s="213"/>
      <c r="DI94" s="213"/>
      <c r="DJ94" s="213"/>
      <c r="DK94" s="213"/>
      <c r="DL94" s="213"/>
      <c r="DM94" s="213"/>
      <c r="DN94" s="213"/>
      <c r="DO94" s="213"/>
      <c r="DP94" s="213"/>
      <c r="DQ94" s="213"/>
      <c r="DR94" s="213"/>
      <c r="DS94" s="213"/>
      <c r="DT94" s="213"/>
      <c r="DU94" s="213"/>
      <c r="DV94" s="210">
        <f>SUMPRODUCT((($I94+COLUMN($N$3:$DU$3)-COLUMN($N$3))&gt;='KALENDER MINGGU'!$B$6)*(($I94+COLUMN($N$3:$DU$3)-COLUMN($N$3))&lt;='KALENDER MINGGU'!$C$6)*(N94:DU94))/F94*H94</f>
        <v>0</v>
      </c>
      <c r="DW94" s="210">
        <f>SUMPRODUCT((($I94+COLUMN($N$3:$DU$3)-COLUMN($N$3))&gt;='KALENDER MINGGU'!$B$7)*(($I94+COLUMN($N$3:$DU$3)-COLUMN($N$3))&lt;='KALENDER MINGGU'!$C$7)*(N94:DU94))/F94*H94</f>
        <v>0</v>
      </c>
      <c r="DX94" s="210">
        <f>SUMPRODUCT((($I94+COLUMN($N$3:$DU$3)-COLUMN($N$3))&gt;='KALENDER MINGGU'!$B$8)*(($I94+COLUMN($N$3:$DU$3)-COLUMN($N$3))&lt;='KALENDER MINGGU'!$C$8)*(N94:DU94))/F94*H94</f>
        <v>0</v>
      </c>
      <c r="DY94" s="210">
        <f>SUMPRODUCT((($I94+COLUMN($N$3:$DU$3)-COLUMN($N$3))&gt;='KALENDER MINGGU'!$B$9)*(($I94+COLUMN($N$3:$DU$3)-COLUMN($N$3))&lt;='KALENDER MINGGU'!$C$9)*(N94:DU94))/F94*H94</f>
        <v>0</v>
      </c>
      <c r="DZ94" s="210">
        <f>SUMPRODUCT((($I94+COLUMN($N$3:$DU$3)-COLUMN($N$3))&gt;='KALENDER MINGGU'!$B$10)*(($I94+COLUMN($N$3:$DU$3)-COLUMN($N$3))&lt;='KALENDER MINGGU'!$C$10)*(N94:DU94))/F94*H94</f>
        <v>0</v>
      </c>
      <c r="EA94" s="210">
        <f>SUMPRODUCT((($I94+COLUMN($N$3:$DU$3)-COLUMN($N$3))&gt;='KALENDER MINGGU'!$B$11)*(($I94+COLUMN($N$3:$DU$3)-COLUMN($N$3))&lt;='KALENDER MINGGU'!$C$11)*(N94:DU94))/F94*H94</f>
        <v>0</v>
      </c>
      <c r="EB94" s="210">
        <f>SUMPRODUCT((($I94+COLUMN($N$3:$DU$3)-COLUMN($N$3))&gt;='KALENDER MINGGU'!$B$12)*(($I94+COLUMN($N$3:$DU$3)-COLUMN($N$3))&lt;='KALENDER MINGGU'!$C$12)*(N94:DU94))/F94*H94</f>
        <v>4.2213181389062618E-2</v>
      </c>
      <c r="EC94" s="210">
        <f>SUMPRODUCT((($I94+COLUMN($N$3:$DU$3)-COLUMN($N$3))&gt;='KALENDER MINGGU'!$B$13)*(($I94+COLUMN($N$3:$DU$3)-COLUMN($N$3))&lt;='KALENDER MINGGU'!$C$13)*(N94:DU94))/F94*H94</f>
        <v>0</v>
      </c>
      <c r="ED94" s="210">
        <f>SUMPRODUCT((($I94+COLUMN($N$3:$DU$3)-COLUMN($N$3))&gt;='KALENDER MINGGU'!$B$14)*(($I94+COLUMN($N$3:$DU$3)-COLUMN($N$3))&lt;='KALENDER MINGGU'!$C$14)*(N94:DU94))/F94*H94</f>
        <v>0</v>
      </c>
      <c r="EE94" s="210">
        <f>SUMPRODUCT((($I94+COLUMN($N$3:$DU$3)-COLUMN($N$3))&gt;='KALENDER MINGGU'!$B$15)*(($I94+COLUMN($N$3:$DU$3)-COLUMN($N$3))&lt;='KALENDER MINGGU'!$C$15)*(N94:DU94))/F94*H94</f>
        <v>0</v>
      </c>
      <c r="EF94" s="210">
        <f>SUMPRODUCT((($I94+COLUMN($N$3:$DU$3)-COLUMN($N$3))&gt;='KALENDER MINGGU'!$B$16)*(($I94+COLUMN($N$3:$DU$3)-COLUMN($N$3))&lt;='KALENDER MINGGU'!$C$16)*(N94:DU94))/F94*H94</f>
        <v>0</v>
      </c>
      <c r="EG94" s="210">
        <f>SUMPRODUCT((($I94+COLUMN($N$3:$DU$3)-COLUMN($N$3))&gt;='KALENDER MINGGU'!$B$17)*(($I94+COLUMN($N$3:$DU$3)-COLUMN($N$3))&lt;='KALENDER MINGGU'!$C$17)*(N94:DU94))/F94*H94</f>
        <v>0</v>
      </c>
      <c r="EH94" s="210">
        <f>SUMPRODUCT((($I94+COLUMN($N$3:$DU$3)-COLUMN($N$3))&gt;='KALENDER MINGGU'!$B$18)*(($I94+COLUMN($N$3:$DU$3)-COLUMN($N$3))&lt;='KALENDER MINGGU'!$C$18)*(N94:DU94))/F94*H94</f>
        <v>0</v>
      </c>
      <c r="EI94" s="210">
        <f>SUMPRODUCT((($I94+COLUMN($N$3:$DU$3)-COLUMN($N$3))&gt;='KALENDER MINGGU'!$B$19)*(($I94+COLUMN($N$3:$DU$3)-COLUMN($N$3))&lt;='KALENDER MINGGU'!$C$19)*(N94:DU94))/F94*H94</f>
        <v>0</v>
      </c>
      <c r="EJ94" s="210">
        <f>SUMPRODUCT((($I94+COLUMN($N$3:$DU$3)-COLUMN($N$3))&gt;='KALENDER MINGGU'!$B$20)*(($I94+COLUMN($N$3:$DU$3)-COLUMN($N$3))&lt;='KALENDER MINGGU'!$C$20)*(N94:DU94))/F94*H94</f>
        <v>0</v>
      </c>
      <c r="EK94" s="210">
        <f>SUMPRODUCT((($I94+COLUMN($N$3:$DU$3)-COLUMN($N$3))&gt;='KALENDER MINGGU'!$B$21)*(($I94+COLUMN($N$3:$DU$3)-COLUMN($N$3))&lt;='KALENDER MINGGU'!$C$21)*(N94:DU94))/F94*H94</f>
        <v>0</v>
      </c>
    </row>
    <row r="95" spans="1:141" ht="15" customHeight="1" x14ac:dyDescent="0.2">
      <c r="A95" s="208">
        <v>92</v>
      </c>
      <c r="B95" s="208">
        <v>143</v>
      </c>
      <c r="C95" s="208" t="str">
        <f>IF(B95&lt;160,'BOBOT PEK'!$B$4,IF(B95&lt;207,'BOBOT PEK'!$B$160,'BOBOT PEK'!$B$207))</f>
        <v>Pekerjaan Gudang Umum</v>
      </c>
      <c r="D95" s="208" t="s">
        <v>244</v>
      </c>
      <c r="E95" s="208" t="str">
        <f>'BOBOT PEK'!C143</f>
        <v xml:space="preserve">Cover Meja kantor </v>
      </c>
      <c r="F95" s="209">
        <f>IF(OR('BOBOT PEK'!E143="",'BOBOT PEK'!E143=0),1,'BOBOT PEK'!E143)</f>
        <v>3.5100000000000002</v>
      </c>
      <c r="G95" s="208" t="str">
        <f>IF('BOBOT PEK'!F143="","ls",'BOBOT PEK'!F143)</f>
        <v>m2</v>
      </c>
      <c r="H95" s="210">
        <f>'BOBOT PEK'!J143</f>
        <v>0.17959789900073914</v>
      </c>
      <c r="I95" s="211">
        <f>'KALENDER MINGGU'!$B$3</f>
        <v>46226</v>
      </c>
      <c r="J95" s="209">
        <f t="shared" si="8"/>
        <v>1.6020000000000001</v>
      </c>
      <c r="K95" s="209">
        <f t="shared" si="9"/>
        <v>1.9080000000000001</v>
      </c>
      <c r="L95" s="212">
        <f t="shared" si="10"/>
        <v>0.4564102564102564</v>
      </c>
      <c r="M95" s="208" t="str">
        <f t="shared" si="11"/>
        <v>OK</v>
      </c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3"/>
      <c r="AC95" s="213"/>
      <c r="AD95" s="213"/>
      <c r="AE95" s="213"/>
      <c r="AF95" s="213"/>
      <c r="AG95" s="213"/>
      <c r="AH95" s="213"/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  <c r="BC95" s="213"/>
      <c r="BD95" s="213"/>
      <c r="BE95" s="213"/>
      <c r="BF95" s="213"/>
      <c r="BG95" s="213"/>
      <c r="BH95" s="213">
        <f>0.2*F95</f>
        <v>0.70200000000000007</v>
      </c>
      <c r="BI95" s="213">
        <v>0.4</v>
      </c>
      <c r="BJ95" s="213"/>
      <c r="BK95" s="213"/>
      <c r="BL95" s="213"/>
      <c r="BM95" s="213"/>
      <c r="BN95" s="213"/>
      <c r="BO95" s="213"/>
      <c r="BP95" s="213"/>
      <c r="BQ95" s="213"/>
      <c r="BR95" s="213"/>
      <c r="BS95" s="213">
        <v>0.5</v>
      </c>
      <c r="BT95" s="213"/>
      <c r="BU95" s="213"/>
      <c r="BV95" s="213"/>
      <c r="BW95" s="213"/>
      <c r="BX95" s="213"/>
      <c r="BY95" s="213"/>
      <c r="BZ95" s="213"/>
      <c r="CA95" s="213"/>
      <c r="CB95" s="213"/>
      <c r="CC95" s="213"/>
      <c r="CD95" s="213"/>
      <c r="CE95" s="213"/>
      <c r="CF95" s="213"/>
      <c r="CG95" s="213"/>
      <c r="CH95" s="213"/>
      <c r="CI95" s="213"/>
      <c r="CJ95" s="213"/>
      <c r="CK95" s="213"/>
      <c r="CL95" s="213"/>
      <c r="CM95" s="213"/>
      <c r="CN95" s="213"/>
      <c r="CO95" s="213"/>
      <c r="CP95" s="213"/>
      <c r="CQ95" s="213"/>
      <c r="CR95" s="213"/>
      <c r="CS95" s="213"/>
      <c r="CT95" s="213"/>
      <c r="CU95" s="213"/>
      <c r="CV95" s="213"/>
      <c r="CW95" s="213"/>
      <c r="CX95" s="213"/>
      <c r="CY95" s="213"/>
      <c r="CZ95" s="213"/>
      <c r="DA95" s="213"/>
      <c r="DB95" s="213"/>
      <c r="DC95" s="213"/>
      <c r="DD95" s="213"/>
      <c r="DE95" s="213"/>
      <c r="DF95" s="213"/>
      <c r="DG95" s="213"/>
      <c r="DH95" s="213"/>
      <c r="DI95" s="213"/>
      <c r="DJ95" s="213"/>
      <c r="DK95" s="213"/>
      <c r="DL95" s="213"/>
      <c r="DM95" s="213"/>
      <c r="DN95" s="213"/>
      <c r="DO95" s="213"/>
      <c r="DP95" s="213"/>
      <c r="DQ95" s="213"/>
      <c r="DR95" s="213"/>
      <c r="DS95" s="213"/>
      <c r="DT95" s="213"/>
      <c r="DU95" s="213"/>
      <c r="DV95" s="210">
        <f>SUMPRODUCT((($I95+COLUMN($N$3:$DU$3)-COLUMN($N$3))&gt;='KALENDER MINGGU'!$B$6)*(($I95+COLUMN($N$3:$DU$3)-COLUMN($N$3))&lt;='KALENDER MINGGU'!$C$6)*(N95:DU95))/F95*H95</f>
        <v>0</v>
      </c>
      <c r="DW95" s="210">
        <f>SUMPRODUCT((($I95+COLUMN($N$3:$DU$3)-COLUMN($N$3))&gt;='KALENDER MINGGU'!$B$7)*(($I95+COLUMN($N$3:$DU$3)-COLUMN($N$3))&lt;='KALENDER MINGGU'!$C$7)*(N95:DU95))/F95*H95</f>
        <v>0</v>
      </c>
      <c r="DX95" s="210">
        <f>SUMPRODUCT((($I95+COLUMN($N$3:$DU$3)-COLUMN($N$3))&gt;='KALENDER MINGGU'!$B$8)*(($I95+COLUMN($N$3:$DU$3)-COLUMN($N$3))&lt;='KALENDER MINGGU'!$C$8)*(N95:DU95))/F95*H95</f>
        <v>0</v>
      </c>
      <c r="DY95" s="210">
        <f>SUMPRODUCT((($I95+COLUMN($N$3:$DU$3)-COLUMN($N$3))&gt;='KALENDER MINGGU'!$B$9)*(($I95+COLUMN($N$3:$DU$3)-COLUMN($N$3))&lt;='KALENDER MINGGU'!$C$9)*(N95:DU95))/F95*H95</f>
        <v>0</v>
      </c>
      <c r="DZ95" s="210">
        <f>SUMPRODUCT((($I95+COLUMN($N$3:$DU$3)-COLUMN($N$3))&gt;='KALENDER MINGGU'!$B$10)*(($I95+COLUMN($N$3:$DU$3)-COLUMN($N$3))&lt;='KALENDER MINGGU'!$C$10)*(N95:DU95))/F95*H95</f>
        <v>0</v>
      </c>
      <c r="EA95" s="210">
        <f>SUMPRODUCT((($I95+COLUMN($N$3:$DU$3)-COLUMN($N$3))&gt;='KALENDER MINGGU'!$B$11)*(($I95+COLUMN($N$3:$DU$3)-COLUMN($N$3))&lt;='KALENDER MINGGU'!$C$11)*(N95:DU95))/F95*H95</f>
        <v>0</v>
      </c>
      <c r="EB95" s="210">
        <f>SUMPRODUCT((($I95+COLUMN($N$3:$DU$3)-COLUMN($N$3))&gt;='KALENDER MINGGU'!$B$12)*(($I95+COLUMN($N$3:$DU$3)-COLUMN($N$3))&lt;='KALENDER MINGGU'!$C$12)*(N95:DU95))/F95*H95</f>
        <v>5.6386576837269102E-2</v>
      </c>
      <c r="EC95" s="210">
        <f>SUMPRODUCT((($I95+COLUMN($N$3:$DU$3)-COLUMN($N$3))&gt;='KALENDER MINGGU'!$B$13)*(($I95+COLUMN($N$3:$DU$3)-COLUMN($N$3))&lt;='KALENDER MINGGU'!$C$13)*(N95:DU95))/F95*H95</f>
        <v>0</v>
      </c>
      <c r="ED95" s="210">
        <f>SUMPRODUCT((($I95+COLUMN($N$3:$DU$3)-COLUMN($N$3))&gt;='KALENDER MINGGU'!$B$14)*(($I95+COLUMN($N$3:$DU$3)-COLUMN($N$3))&lt;='KALENDER MINGGU'!$C$14)*(N95:DU95))/F95*H95</f>
        <v>2.5583746296401588E-2</v>
      </c>
      <c r="EE95" s="210">
        <f>SUMPRODUCT((($I95+COLUMN($N$3:$DU$3)-COLUMN($N$3))&gt;='KALENDER MINGGU'!$B$15)*(($I95+COLUMN($N$3:$DU$3)-COLUMN($N$3))&lt;='KALENDER MINGGU'!$C$15)*(N95:DU95))/F95*H95</f>
        <v>0</v>
      </c>
      <c r="EF95" s="210">
        <f>SUMPRODUCT((($I95+COLUMN($N$3:$DU$3)-COLUMN($N$3))&gt;='KALENDER MINGGU'!$B$16)*(($I95+COLUMN($N$3:$DU$3)-COLUMN($N$3))&lt;='KALENDER MINGGU'!$C$16)*(N95:DU95))/F95*H95</f>
        <v>0</v>
      </c>
      <c r="EG95" s="210">
        <f>SUMPRODUCT((($I95+COLUMN($N$3:$DU$3)-COLUMN($N$3))&gt;='KALENDER MINGGU'!$B$17)*(($I95+COLUMN($N$3:$DU$3)-COLUMN($N$3))&lt;='KALENDER MINGGU'!$C$17)*(N95:DU95))/F95*H95</f>
        <v>0</v>
      </c>
      <c r="EH95" s="210">
        <f>SUMPRODUCT((($I95+COLUMN($N$3:$DU$3)-COLUMN($N$3))&gt;='KALENDER MINGGU'!$B$18)*(($I95+COLUMN($N$3:$DU$3)-COLUMN($N$3))&lt;='KALENDER MINGGU'!$C$18)*(N95:DU95))/F95*H95</f>
        <v>0</v>
      </c>
      <c r="EI95" s="210">
        <f>SUMPRODUCT((($I95+COLUMN($N$3:$DU$3)-COLUMN($N$3))&gt;='KALENDER MINGGU'!$B$19)*(($I95+COLUMN($N$3:$DU$3)-COLUMN($N$3))&lt;='KALENDER MINGGU'!$C$19)*(N95:DU95))/F95*H95</f>
        <v>0</v>
      </c>
      <c r="EJ95" s="210">
        <f>SUMPRODUCT((($I95+COLUMN($N$3:$DU$3)-COLUMN($N$3))&gt;='KALENDER MINGGU'!$B$20)*(($I95+COLUMN($N$3:$DU$3)-COLUMN($N$3))&lt;='KALENDER MINGGU'!$C$20)*(N95:DU95))/F95*H95</f>
        <v>0</v>
      </c>
      <c r="EK95" s="210">
        <f>SUMPRODUCT((($I95+COLUMN($N$3:$DU$3)-COLUMN($N$3))&gt;='KALENDER MINGGU'!$B$21)*(($I95+COLUMN($N$3:$DU$3)-COLUMN($N$3))&lt;='KALENDER MINGGU'!$C$21)*(N95:DU95))/F95*H95</f>
        <v>0</v>
      </c>
    </row>
    <row r="96" spans="1:141" ht="15" customHeight="1" x14ac:dyDescent="0.2">
      <c r="A96" s="208"/>
      <c r="B96" s="208"/>
      <c r="C96" s="208"/>
      <c r="D96" s="208"/>
      <c r="E96" s="208"/>
      <c r="F96" s="209"/>
      <c r="G96" s="208"/>
      <c r="H96" s="210"/>
      <c r="I96" s="211"/>
      <c r="J96" s="209"/>
      <c r="K96" s="209"/>
      <c r="L96" s="212"/>
      <c r="M96" s="208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  <c r="AE96" s="213"/>
      <c r="AF96" s="213"/>
      <c r="AG96" s="213"/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  <c r="BC96" s="213"/>
      <c r="BD96" s="213"/>
      <c r="BE96" s="213"/>
      <c r="BF96" s="213"/>
      <c r="BG96" s="213"/>
      <c r="BH96" s="213"/>
      <c r="BI96" s="213"/>
      <c r="BJ96" s="213"/>
      <c r="BK96" s="213"/>
      <c r="BL96" s="213"/>
      <c r="BM96" s="213"/>
      <c r="BN96" s="213"/>
      <c r="BO96" s="213"/>
      <c r="BP96" s="213"/>
      <c r="BQ96" s="213"/>
      <c r="BR96" s="213"/>
      <c r="BS96" s="213"/>
      <c r="BT96" s="213"/>
      <c r="BU96" s="213"/>
      <c r="BV96" s="213"/>
      <c r="BW96" s="213"/>
      <c r="BX96" s="213"/>
      <c r="BY96" s="213"/>
      <c r="BZ96" s="213"/>
      <c r="CA96" s="213"/>
      <c r="CB96" s="213"/>
      <c r="CC96" s="213"/>
      <c r="CD96" s="213"/>
      <c r="CE96" s="213"/>
      <c r="CF96" s="213"/>
      <c r="CG96" s="213"/>
      <c r="CH96" s="213"/>
      <c r="CI96" s="213"/>
      <c r="CJ96" s="213"/>
      <c r="CK96" s="213"/>
      <c r="CL96" s="213"/>
      <c r="CM96" s="213"/>
      <c r="CN96" s="213"/>
      <c r="CO96" s="213"/>
      <c r="CP96" s="213"/>
      <c r="CQ96" s="213"/>
      <c r="CR96" s="213"/>
      <c r="CS96" s="213"/>
      <c r="CT96" s="213"/>
      <c r="CU96" s="213"/>
      <c r="CV96" s="213"/>
      <c r="CW96" s="213"/>
      <c r="CX96" s="213"/>
      <c r="CY96" s="213"/>
      <c r="CZ96" s="213"/>
      <c r="DA96" s="213"/>
      <c r="DB96" s="213"/>
      <c r="DC96" s="213"/>
      <c r="DD96" s="213"/>
      <c r="DE96" s="213"/>
      <c r="DF96" s="213"/>
      <c r="DG96" s="213"/>
      <c r="DH96" s="213"/>
      <c r="DI96" s="213"/>
      <c r="DJ96" s="213"/>
      <c r="DK96" s="213"/>
      <c r="DL96" s="213"/>
      <c r="DM96" s="213"/>
      <c r="DN96" s="213"/>
      <c r="DO96" s="213"/>
      <c r="DP96" s="213"/>
      <c r="DQ96" s="213"/>
      <c r="DR96" s="213"/>
      <c r="DS96" s="213"/>
      <c r="DT96" s="213"/>
      <c r="DU96" s="213"/>
      <c r="DV96" s="210"/>
      <c r="DW96" s="210"/>
      <c r="DX96" s="210"/>
      <c r="DY96" s="210"/>
      <c r="DZ96" s="210"/>
      <c r="EA96" s="210"/>
      <c r="EB96" s="210"/>
      <c r="EC96" s="210"/>
      <c r="ED96" s="210"/>
      <c r="EE96" s="210"/>
      <c r="EF96" s="210"/>
      <c r="EG96" s="210"/>
      <c r="EH96" s="210"/>
      <c r="EI96" s="210"/>
      <c r="EJ96" s="210"/>
      <c r="EK96" s="210"/>
    </row>
    <row r="97" spans="1:141" ht="15" customHeight="1" x14ac:dyDescent="0.2">
      <c r="A97" s="208">
        <v>93</v>
      </c>
      <c r="B97" s="208">
        <v>167</v>
      </c>
      <c r="C97" s="208" t="str">
        <f>IF(B97&lt;160,'BOBOT PEK'!$B$4,IF(B97&lt;207,'BOBOT PEK'!$B$160,'BOBOT PEK'!$B$207))</f>
        <v>Pekerjaan Gudang Atas</v>
      </c>
      <c r="D97" s="208" t="s">
        <v>38</v>
      </c>
      <c r="E97" s="208" t="str">
        <f>'BOBOT PEK'!C167</f>
        <v>Pekerjaan Persiapan</v>
      </c>
      <c r="F97" s="209">
        <f>IF(OR('BOBOT PEK'!E167="",'BOBOT PEK'!E167=0),1,'BOBOT PEK'!E167)</f>
        <v>1</v>
      </c>
      <c r="G97" s="208" t="str">
        <f>IF('BOBOT PEK'!F167="","ls",'BOBOT PEK'!F167)</f>
        <v>Is</v>
      </c>
      <c r="H97" s="210">
        <f>'BOBOT PEK'!J167</f>
        <v>2.5583746296401588E-2</v>
      </c>
      <c r="I97" s="211">
        <f>'KALENDER MINGGU'!$B$3</f>
        <v>46226</v>
      </c>
      <c r="J97" s="209">
        <f t="shared" ref="J97:J128" si="12">SUM(N97:DU97)</f>
        <v>1</v>
      </c>
      <c r="K97" s="209">
        <f t="shared" ref="K97:K128" si="13">MAX(F97-J97,0)</f>
        <v>0</v>
      </c>
      <c r="L97" s="212">
        <f t="shared" ref="L97:L128" si="14">MIN(J97/F97,1)</f>
        <v>1</v>
      </c>
      <c r="M97" s="208" t="str">
        <f t="shared" ref="M97:M128" si="15">IF(J97&gt;F97,"MELEBIHI VOLUME!","OK")</f>
        <v>OK</v>
      </c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  <c r="AB97" s="213"/>
      <c r="AC97" s="213"/>
      <c r="AD97" s="213"/>
      <c r="AE97" s="213"/>
      <c r="AF97" s="213"/>
      <c r="AG97" s="213"/>
      <c r="AH97" s="213"/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  <c r="BC97" s="213"/>
      <c r="BD97" s="213"/>
      <c r="BE97" s="213"/>
      <c r="BF97" s="213"/>
      <c r="BG97" s="213">
        <v>1</v>
      </c>
      <c r="BH97" s="213"/>
      <c r="BI97" s="213"/>
      <c r="BJ97" s="213"/>
      <c r="BK97" s="213"/>
      <c r="BL97" s="213"/>
      <c r="BM97" s="213"/>
      <c r="BN97" s="213"/>
      <c r="BO97" s="213"/>
      <c r="BP97" s="213"/>
      <c r="BQ97" s="213"/>
      <c r="BR97" s="213"/>
      <c r="BS97" s="213"/>
      <c r="BT97" s="213"/>
      <c r="BU97" s="213"/>
      <c r="BV97" s="213"/>
      <c r="BW97" s="213"/>
      <c r="BX97" s="213"/>
      <c r="BY97" s="213"/>
      <c r="BZ97" s="213"/>
      <c r="CA97" s="213"/>
      <c r="CB97" s="213"/>
      <c r="CC97" s="213"/>
      <c r="CD97" s="213"/>
      <c r="CE97" s="213"/>
      <c r="CF97" s="213"/>
      <c r="CG97" s="213"/>
      <c r="CH97" s="213"/>
      <c r="CI97" s="213"/>
      <c r="CJ97" s="213"/>
      <c r="CK97" s="213"/>
      <c r="CL97" s="213"/>
      <c r="CM97" s="213"/>
      <c r="CN97" s="213"/>
      <c r="CO97" s="213"/>
      <c r="CP97" s="213"/>
      <c r="CQ97" s="213"/>
      <c r="CR97" s="213"/>
      <c r="CS97" s="213"/>
      <c r="CT97" s="213"/>
      <c r="CU97" s="213"/>
      <c r="CV97" s="213"/>
      <c r="CW97" s="213"/>
      <c r="CX97" s="213"/>
      <c r="CY97" s="213"/>
      <c r="CZ97" s="213"/>
      <c r="DA97" s="213"/>
      <c r="DB97" s="213"/>
      <c r="DC97" s="213"/>
      <c r="DD97" s="213"/>
      <c r="DE97" s="213"/>
      <c r="DF97" s="213"/>
      <c r="DG97" s="213"/>
      <c r="DH97" s="213"/>
      <c r="DI97" s="213"/>
      <c r="DJ97" s="213"/>
      <c r="DK97" s="213"/>
      <c r="DL97" s="213"/>
      <c r="DM97" s="213"/>
      <c r="DN97" s="213"/>
      <c r="DO97" s="213"/>
      <c r="DP97" s="213"/>
      <c r="DQ97" s="213"/>
      <c r="DR97" s="213"/>
      <c r="DS97" s="213"/>
      <c r="DT97" s="213"/>
      <c r="DU97" s="213"/>
      <c r="DV97" s="210">
        <f>SUMPRODUCT((($I97+COLUMN($N$3:$DU$3)-COLUMN($N$3))&gt;='KALENDER MINGGU'!$B$6)*(($I97+COLUMN($N$3:$DU$3)-COLUMN($N$3))&lt;='KALENDER MINGGU'!$C$6)*(N97:DU97))/F97*H97</f>
        <v>0</v>
      </c>
      <c r="DW97" s="210">
        <f>SUMPRODUCT((($I97+COLUMN($N$3:$DU$3)-COLUMN($N$3))&gt;='KALENDER MINGGU'!$B$7)*(($I97+COLUMN($N$3:$DU$3)-COLUMN($N$3))&lt;='KALENDER MINGGU'!$C$7)*(N97:DU97))/F97*H97</f>
        <v>0</v>
      </c>
      <c r="DX97" s="210">
        <f>SUMPRODUCT((($I97+COLUMN($N$3:$DU$3)-COLUMN($N$3))&gt;='KALENDER MINGGU'!$B$8)*(($I97+COLUMN($N$3:$DU$3)-COLUMN($N$3))&lt;='KALENDER MINGGU'!$C$8)*(N97:DU97))/F97*H97</f>
        <v>0</v>
      </c>
      <c r="DY97" s="210">
        <f>SUMPRODUCT((($I97+COLUMN($N$3:$DU$3)-COLUMN($N$3))&gt;='KALENDER MINGGU'!$B$9)*(($I97+COLUMN($N$3:$DU$3)-COLUMN($N$3))&lt;='KALENDER MINGGU'!$C$9)*(N97:DU97))/F97*H97</f>
        <v>0</v>
      </c>
      <c r="DZ97" s="210">
        <f>SUMPRODUCT((($I97+COLUMN($N$3:$DU$3)-COLUMN($N$3))&gt;='KALENDER MINGGU'!$B$10)*(($I97+COLUMN($N$3:$DU$3)-COLUMN($N$3))&lt;='KALENDER MINGGU'!$C$10)*(N97:DU97))/F97*H97</f>
        <v>0</v>
      </c>
      <c r="EA97" s="210">
        <f>SUMPRODUCT((($I97+COLUMN($N$3:$DU$3)-COLUMN($N$3))&gt;='KALENDER MINGGU'!$B$11)*(($I97+COLUMN($N$3:$DU$3)-COLUMN($N$3))&lt;='KALENDER MINGGU'!$C$11)*(N97:DU97))/F97*H97</f>
        <v>0</v>
      </c>
      <c r="EB97" s="210">
        <f>SUMPRODUCT((($I97+COLUMN($N$3:$DU$3)-COLUMN($N$3))&gt;='KALENDER MINGGU'!$B$12)*(($I97+COLUMN($N$3:$DU$3)-COLUMN($N$3))&lt;='KALENDER MINGGU'!$C$12)*(N97:DU97))/F97*H97</f>
        <v>2.5583746296401588E-2</v>
      </c>
      <c r="EC97" s="210">
        <f>SUMPRODUCT((($I97+COLUMN($N$3:$DU$3)-COLUMN($N$3))&gt;='KALENDER MINGGU'!$B$13)*(($I97+COLUMN($N$3:$DU$3)-COLUMN($N$3))&lt;='KALENDER MINGGU'!$C$13)*(N97:DU97))/F97*H97</f>
        <v>0</v>
      </c>
      <c r="ED97" s="210">
        <f>SUMPRODUCT((($I97+COLUMN($N$3:$DU$3)-COLUMN($N$3))&gt;='KALENDER MINGGU'!$B$14)*(($I97+COLUMN($N$3:$DU$3)-COLUMN($N$3))&lt;='KALENDER MINGGU'!$C$14)*(N97:DU97))/F97*H97</f>
        <v>0</v>
      </c>
      <c r="EE97" s="210">
        <f>SUMPRODUCT((($I97+COLUMN($N$3:$DU$3)-COLUMN($N$3))&gt;='KALENDER MINGGU'!$B$15)*(($I97+COLUMN($N$3:$DU$3)-COLUMN($N$3))&lt;='KALENDER MINGGU'!$C$15)*(N97:DU97))/F97*H97</f>
        <v>0</v>
      </c>
      <c r="EF97" s="210">
        <f>SUMPRODUCT((($I97+COLUMN($N$3:$DU$3)-COLUMN($N$3))&gt;='KALENDER MINGGU'!$B$16)*(($I97+COLUMN($N$3:$DU$3)-COLUMN($N$3))&lt;='KALENDER MINGGU'!$C$16)*(N97:DU97))/F97*H97</f>
        <v>0</v>
      </c>
      <c r="EG97" s="210">
        <f>SUMPRODUCT((($I97+COLUMN($N$3:$DU$3)-COLUMN($N$3))&gt;='KALENDER MINGGU'!$B$17)*(($I97+COLUMN($N$3:$DU$3)-COLUMN($N$3))&lt;='KALENDER MINGGU'!$C$17)*(N97:DU97))/F97*H97</f>
        <v>0</v>
      </c>
      <c r="EH97" s="210">
        <f>SUMPRODUCT((($I97+COLUMN($N$3:$DU$3)-COLUMN($N$3))&gt;='KALENDER MINGGU'!$B$18)*(($I97+COLUMN($N$3:$DU$3)-COLUMN($N$3))&lt;='KALENDER MINGGU'!$C$18)*(N97:DU97))/F97*H97</f>
        <v>0</v>
      </c>
      <c r="EI97" s="210">
        <f>SUMPRODUCT((($I97+COLUMN($N$3:$DU$3)-COLUMN($N$3))&gt;='KALENDER MINGGU'!$B$19)*(($I97+COLUMN($N$3:$DU$3)-COLUMN($N$3))&lt;='KALENDER MINGGU'!$C$19)*(N97:DU97))/F97*H97</f>
        <v>0</v>
      </c>
      <c r="EJ97" s="210">
        <f>SUMPRODUCT((($I97+COLUMN($N$3:$DU$3)-COLUMN($N$3))&gt;='KALENDER MINGGU'!$B$20)*(($I97+COLUMN($N$3:$DU$3)-COLUMN($N$3))&lt;='KALENDER MINGGU'!$C$20)*(N97:DU97))/F97*H97</f>
        <v>0</v>
      </c>
      <c r="EK97" s="210">
        <f>SUMPRODUCT((($I97+COLUMN($N$3:$DU$3)-COLUMN($N$3))&gt;='KALENDER MINGGU'!$B$21)*(($I97+COLUMN($N$3:$DU$3)-COLUMN($N$3))&lt;='KALENDER MINGGU'!$C$21)*(N97:DU97))/F97*H97</f>
        <v>0</v>
      </c>
    </row>
    <row r="98" spans="1:141" ht="15" customHeight="1" x14ac:dyDescent="0.2">
      <c r="A98" s="208">
        <v>94</v>
      </c>
      <c r="B98" s="208">
        <v>168</v>
      </c>
      <c r="C98" s="208" t="str">
        <f>IF(B98&lt;160,'BOBOT PEK'!$B$4,IF(B98&lt;207,'BOBOT PEK'!$B$160,'BOBOT PEK'!$B$207))</f>
        <v>Pekerjaan Gudang Atas</v>
      </c>
      <c r="D98" s="208" t="s">
        <v>38</v>
      </c>
      <c r="E98" s="208" t="str">
        <f>'BOBOT PEK'!C168</f>
        <v>Pembersihan Lahan</v>
      </c>
      <c r="F98" s="209">
        <f>IF(OR('BOBOT PEK'!E168="",'BOBOT PEK'!E168=0),1,'BOBOT PEK'!E168)</f>
        <v>504</v>
      </c>
      <c r="G98" s="208" t="str">
        <f>IF('BOBOT PEK'!F168="","ls",'BOBOT PEK'!F168)</f>
        <v>m2</v>
      </c>
      <c r="H98" s="210">
        <f>'BOBOT PEK'!J168</f>
        <v>0.12894208133386401</v>
      </c>
      <c r="I98" s="211">
        <f>'KALENDER MINGGU'!$B$3</f>
        <v>46226</v>
      </c>
      <c r="J98" s="209">
        <f t="shared" si="12"/>
        <v>470.8</v>
      </c>
      <c r="K98" s="209">
        <f t="shared" si="13"/>
        <v>33.199999999999989</v>
      </c>
      <c r="L98" s="212">
        <f t="shared" si="14"/>
        <v>0.93412698412698414</v>
      </c>
      <c r="M98" s="208" t="str">
        <f t="shared" si="15"/>
        <v>OK</v>
      </c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3"/>
      <c r="AC98" s="213"/>
      <c r="AD98" s="213"/>
      <c r="AE98" s="213"/>
      <c r="AF98" s="213"/>
      <c r="AG98" s="213"/>
      <c r="AH98" s="213"/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>
        <f>0.2*F98</f>
        <v>100.80000000000001</v>
      </c>
      <c r="BB98" s="213">
        <v>150</v>
      </c>
      <c r="BC98" s="213"/>
      <c r="BD98" s="213"/>
      <c r="BE98" s="213"/>
      <c r="BF98" s="213"/>
      <c r="BG98" s="213"/>
      <c r="BH98" s="213"/>
      <c r="BI98" s="213"/>
      <c r="BJ98" s="213"/>
      <c r="BK98" s="213"/>
      <c r="BL98" s="213"/>
      <c r="BM98" s="213"/>
      <c r="BN98" s="213"/>
      <c r="BO98" s="213"/>
      <c r="BP98" s="213">
        <v>50</v>
      </c>
      <c r="BQ98" s="213">
        <v>50</v>
      </c>
      <c r="BR98" s="213">
        <v>50</v>
      </c>
      <c r="BS98" s="213">
        <v>50</v>
      </c>
      <c r="BT98" s="213"/>
      <c r="BU98" s="213"/>
      <c r="BV98" s="213"/>
      <c r="BW98" s="213"/>
      <c r="BX98" s="213"/>
      <c r="BY98" s="213"/>
      <c r="BZ98" s="213"/>
      <c r="CA98" s="213">
        <v>20</v>
      </c>
      <c r="CB98" s="213"/>
      <c r="CC98" s="213"/>
      <c r="CD98" s="213"/>
      <c r="CE98" s="213"/>
      <c r="CF98" s="213"/>
      <c r="CG98" s="213"/>
      <c r="CH98" s="213"/>
      <c r="CI98" s="213"/>
      <c r="CJ98" s="213"/>
      <c r="CK98" s="213"/>
      <c r="CL98" s="213"/>
      <c r="CM98" s="213"/>
      <c r="CN98" s="213"/>
      <c r="CO98" s="213"/>
      <c r="CP98" s="213"/>
      <c r="CQ98" s="213"/>
      <c r="CR98" s="213"/>
      <c r="CS98" s="213"/>
      <c r="CT98" s="213"/>
      <c r="CU98" s="213"/>
      <c r="CV98" s="213"/>
      <c r="CW98" s="213"/>
      <c r="CX98" s="213"/>
      <c r="CY98" s="213"/>
      <c r="CZ98" s="213"/>
      <c r="DA98" s="213"/>
      <c r="DB98" s="213"/>
      <c r="DC98" s="213"/>
      <c r="DD98" s="213"/>
      <c r="DE98" s="213"/>
      <c r="DF98" s="213"/>
      <c r="DG98" s="213"/>
      <c r="DH98" s="213"/>
      <c r="DI98" s="213"/>
      <c r="DJ98" s="213"/>
      <c r="DK98" s="213"/>
      <c r="DL98" s="213"/>
      <c r="DM98" s="213"/>
      <c r="DN98" s="213"/>
      <c r="DO98" s="213"/>
      <c r="DP98" s="213"/>
      <c r="DQ98" s="213"/>
      <c r="DR98" s="213"/>
      <c r="DS98" s="213"/>
      <c r="DT98" s="213"/>
      <c r="DU98" s="213"/>
      <c r="DV98" s="210">
        <f>SUMPRODUCT((($I98+COLUMN($N$3:$DU$3)-COLUMN($N$3))&gt;='KALENDER MINGGU'!$B$6)*(($I98+COLUMN($N$3:$DU$3)-COLUMN($N$3))&lt;='KALENDER MINGGU'!$C$6)*(N98:DU98))/F98*H98</f>
        <v>0</v>
      </c>
      <c r="DW98" s="210">
        <f>SUMPRODUCT((($I98+COLUMN($N$3:$DU$3)-COLUMN($N$3))&gt;='KALENDER MINGGU'!$B$7)*(($I98+COLUMN($N$3:$DU$3)-COLUMN($N$3))&lt;='KALENDER MINGGU'!$C$7)*(N98:DU98))/F98*H98</f>
        <v>0</v>
      </c>
      <c r="DX98" s="210">
        <f>SUMPRODUCT((($I98+COLUMN($N$3:$DU$3)-COLUMN($N$3))&gt;='KALENDER MINGGU'!$B$8)*(($I98+COLUMN($N$3:$DU$3)-COLUMN($N$3))&lt;='KALENDER MINGGU'!$C$8)*(N98:DU98))/F98*H98</f>
        <v>0</v>
      </c>
      <c r="DY98" s="210">
        <f>SUMPRODUCT((($I98+COLUMN($N$3:$DU$3)-COLUMN($N$3))&gt;='KALENDER MINGGU'!$B$9)*(($I98+COLUMN($N$3:$DU$3)-COLUMN($N$3))&lt;='KALENDER MINGGU'!$C$9)*(N98:DU98))/F98*H98</f>
        <v>0</v>
      </c>
      <c r="DZ98" s="210">
        <f>SUMPRODUCT((($I98+COLUMN($N$3:$DU$3)-COLUMN($N$3))&gt;='KALENDER MINGGU'!$B$10)*(($I98+COLUMN($N$3:$DU$3)-COLUMN($N$3))&lt;='KALENDER MINGGU'!$C$10)*(N98:DU98))/F98*H98</f>
        <v>0</v>
      </c>
      <c r="EA98" s="210">
        <f>SUMPRODUCT((($I98+COLUMN($N$3:$DU$3)-COLUMN($N$3))&gt;='KALENDER MINGGU'!$B$11)*(($I98+COLUMN($N$3:$DU$3)-COLUMN($N$3))&lt;='KALENDER MINGGU'!$C$11)*(N98:DU98))/F98*H98</f>
        <v>6.4164035711375189E-2</v>
      </c>
      <c r="EB98" s="210">
        <f>SUMPRODUCT((($I98+COLUMN($N$3:$DU$3)-COLUMN($N$3))&gt;='KALENDER MINGGU'!$B$12)*(($I98+COLUMN($N$3:$DU$3)-COLUMN($N$3))&lt;='KALENDER MINGGU'!$C$12)*(N98:DU98))/F98*H98</f>
        <v>0</v>
      </c>
      <c r="EC98" s="210">
        <f>SUMPRODUCT((($I98+COLUMN($N$3:$DU$3)-COLUMN($N$3))&gt;='KALENDER MINGGU'!$B$13)*(($I98+COLUMN($N$3:$DU$3)-COLUMN($N$3))&lt;='KALENDER MINGGU'!$C$13)*(N98:DU98))/F98*H98</f>
        <v>2.5583746296401588E-2</v>
      </c>
      <c r="ED98" s="210">
        <f>SUMPRODUCT((($I98+COLUMN($N$3:$DU$3)-COLUMN($N$3))&gt;='KALENDER MINGGU'!$B$14)*(($I98+COLUMN($N$3:$DU$3)-COLUMN($N$3))&lt;='KALENDER MINGGU'!$C$14)*(N98:DU98))/F98*H98</f>
        <v>2.5583746296401588E-2</v>
      </c>
      <c r="EE98" s="210">
        <f>SUMPRODUCT((($I98+COLUMN($N$3:$DU$3)-COLUMN($N$3))&gt;='KALENDER MINGGU'!$B$15)*(($I98+COLUMN($N$3:$DU$3)-COLUMN($N$3))&lt;='KALENDER MINGGU'!$C$15)*(N98:DU98))/F98*H98</f>
        <v>5.1167492592803171E-3</v>
      </c>
      <c r="EF98" s="210">
        <f>SUMPRODUCT((($I98+COLUMN($N$3:$DU$3)-COLUMN($N$3))&gt;='KALENDER MINGGU'!$B$16)*(($I98+COLUMN($N$3:$DU$3)-COLUMN($N$3))&lt;='KALENDER MINGGU'!$C$16)*(N98:DU98))/F98*H98</f>
        <v>0</v>
      </c>
      <c r="EG98" s="210">
        <f>SUMPRODUCT((($I98+COLUMN($N$3:$DU$3)-COLUMN($N$3))&gt;='KALENDER MINGGU'!$B$17)*(($I98+COLUMN($N$3:$DU$3)-COLUMN($N$3))&lt;='KALENDER MINGGU'!$C$17)*(N98:DU98))/F98*H98</f>
        <v>0</v>
      </c>
      <c r="EH98" s="210">
        <f>SUMPRODUCT((($I98+COLUMN($N$3:$DU$3)-COLUMN($N$3))&gt;='KALENDER MINGGU'!$B$18)*(($I98+COLUMN($N$3:$DU$3)-COLUMN($N$3))&lt;='KALENDER MINGGU'!$C$18)*(N98:DU98))/F98*H98</f>
        <v>0</v>
      </c>
      <c r="EI98" s="210">
        <f>SUMPRODUCT((($I98+COLUMN($N$3:$DU$3)-COLUMN($N$3))&gt;='KALENDER MINGGU'!$B$19)*(($I98+COLUMN($N$3:$DU$3)-COLUMN($N$3))&lt;='KALENDER MINGGU'!$C$19)*(N98:DU98))/F98*H98</f>
        <v>0</v>
      </c>
      <c r="EJ98" s="210">
        <f>SUMPRODUCT((($I98+COLUMN($N$3:$DU$3)-COLUMN($N$3))&gt;='KALENDER MINGGU'!$B$20)*(($I98+COLUMN($N$3:$DU$3)-COLUMN($N$3))&lt;='KALENDER MINGGU'!$C$20)*(N98:DU98))/F98*H98</f>
        <v>0</v>
      </c>
      <c r="EK98" s="210">
        <f>SUMPRODUCT((($I98+COLUMN($N$3:$DU$3)-COLUMN($N$3))&gt;='KALENDER MINGGU'!$B$21)*(($I98+COLUMN($N$3:$DU$3)-COLUMN($N$3))&lt;='KALENDER MINGGU'!$C$21)*(N98:DU98))/F98*H98</f>
        <v>0</v>
      </c>
    </row>
    <row r="99" spans="1:141" ht="15" customHeight="1" x14ac:dyDescent="0.2">
      <c r="A99" s="208">
        <v>95</v>
      </c>
      <c r="B99" s="208">
        <v>169</v>
      </c>
      <c r="C99" s="208" t="str">
        <f>IF(B99&lt;160,'BOBOT PEK'!$B$4,IF(B99&lt;207,'BOBOT PEK'!$B$160,'BOBOT PEK'!$B$207))</f>
        <v>Pekerjaan Gudang Atas</v>
      </c>
      <c r="D99" s="208" t="s">
        <v>38</v>
      </c>
      <c r="E99" s="208" t="str">
        <f>'BOBOT PEK'!C169</f>
        <v>Direksi Kit+Gudang Sementara</v>
      </c>
      <c r="F99" s="209">
        <f>IF(OR('BOBOT PEK'!E169="",'BOBOT PEK'!E169=0),1,'BOBOT PEK'!E169)</f>
        <v>1</v>
      </c>
      <c r="G99" s="208" t="str">
        <f>IF('BOBOT PEK'!F169="","ls",'BOBOT PEK'!F169)</f>
        <v>ls</v>
      </c>
      <c r="H99" s="210">
        <f>'BOBOT PEK'!J169</f>
        <v>0</v>
      </c>
      <c r="I99" s="211">
        <f>'KALENDER MINGGU'!$B$3</f>
        <v>46226</v>
      </c>
      <c r="J99" s="209">
        <f t="shared" si="12"/>
        <v>1</v>
      </c>
      <c r="K99" s="209">
        <f t="shared" si="13"/>
        <v>0</v>
      </c>
      <c r="L99" s="212">
        <f t="shared" si="14"/>
        <v>1</v>
      </c>
      <c r="M99" s="208" t="str">
        <f t="shared" si="15"/>
        <v>OK</v>
      </c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3"/>
      <c r="AC99" s="213"/>
      <c r="AD99" s="213"/>
      <c r="AE99" s="213"/>
      <c r="AF99" s="213"/>
      <c r="AG99" s="213"/>
      <c r="AH99" s="213"/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13"/>
      <c r="AY99" s="213">
        <v>1</v>
      </c>
      <c r="AZ99" s="213"/>
      <c r="BA99" s="213"/>
      <c r="BB99" s="213">
        <v>0</v>
      </c>
      <c r="BC99" s="213"/>
      <c r="BD99" s="213"/>
      <c r="BE99" s="213"/>
      <c r="BF99" s="213"/>
      <c r="BG99" s="213"/>
      <c r="BH99" s="213"/>
      <c r="BI99" s="213"/>
      <c r="BJ99" s="213"/>
      <c r="BK99" s="213"/>
      <c r="BL99" s="213"/>
      <c r="BM99" s="213"/>
      <c r="BN99" s="213"/>
      <c r="BO99" s="213"/>
      <c r="BP99" s="213"/>
      <c r="BQ99" s="213"/>
      <c r="BR99" s="213"/>
      <c r="BS99" s="213"/>
      <c r="BT99" s="213"/>
      <c r="BU99" s="213"/>
      <c r="BV99" s="213"/>
      <c r="BW99" s="213"/>
      <c r="BX99" s="213"/>
      <c r="BY99" s="213"/>
      <c r="BZ99" s="213"/>
      <c r="CA99" s="213"/>
      <c r="CB99" s="213"/>
      <c r="CC99" s="213"/>
      <c r="CD99" s="213"/>
      <c r="CE99" s="213"/>
      <c r="CF99" s="213"/>
      <c r="CG99" s="213"/>
      <c r="CH99" s="213"/>
      <c r="CI99" s="213"/>
      <c r="CJ99" s="213"/>
      <c r="CK99" s="213"/>
      <c r="CL99" s="213"/>
      <c r="CM99" s="213"/>
      <c r="CN99" s="213"/>
      <c r="CO99" s="213"/>
      <c r="CP99" s="213"/>
      <c r="CQ99" s="213"/>
      <c r="CR99" s="213"/>
      <c r="CS99" s="213"/>
      <c r="CT99" s="213"/>
      <c r="CU99" s="213"/>
      <c r="CV99" s="213"/>
      <c r="CW99" s="213"/>
      <c r="CX99" s="213"/>
      <c r="CY99" s="213"/>
      <c r="CZ99" s="213"/>
      <c r="DA99" s="213"/>
      <c r="DB99" s="213"/>
      <c r="DC99" s="213"/>
      <c r="DD99" s="213"/>
      <c r="DE99" s="213"/>
      <c r="DF99" s="213"/>
      <c r="DG99" s="213"/>
      <c r="DH99" s="213"/>
      <c r="DI99" s="213"/>
      <c r="DJ99" s="213"/>
      <c r="DK99" s="213"/>
      <c r="DL99" s="213"/>
      <c r="DM99" s="213"/>
      <c r="DN99" s="213"/>
      <c r="DO99" s="213"/>
      <c r="DP99" s="213"/>
      <c r="DQ99" s="213"/>
      <c r="DR99" s="213"/>
      <c r="DS99" s="213"/>
      <c r="DT99" s="213"/>
      <c r="DU99" s="213"/>
      <c r="DV99" s="210">
        <f>SUMPRODUCT((($I99+COLUMN($N$3:$DU$3)-COLUMN($N$3))&gt;='KALENDER MINGGU'!$B$6)*(($I99+COLUMN($N$3:$DU$3)-COLUMN($N$3))&lt;='KALENDER MINGGU'!$C$6)*(N99:DU99))/F99*H99</f>
        <v>0</v>
      </c>
      <c r="DW99" s="210">
        <f>SUMPRODUCT((($I99+COLUMN($N$3:$DU$3)-COLUMN($N$3))&gt;='KALENDER MINGGU'!$B$7)*(($I99+COLUMN($N$3:$DU$3)-COLUMN($N$3))&lt;='KALENDER MINGGU'!$C$7)*(N99:DU99))/F99*H99</f>
        <v>0</v>
      </c>
      <c r="DX99" s="210">
        <f>SUMPRODUCT((($I99+COLUMN($N$3:$DU$3)-COLUMN($N$3))&gt;='KALENDER MINGGU'!$B$8)*(($I99+COLUMN($N$3:$DU$3)-COLUMN($N$3))&lt;='KALENDER MINGGU'!$C$8)*(N99:DU99))/F99*H99</f>
        <v>0</v>
      </c>
      <c r="DY99" s="210">
        <f>SUMPRODUCT((($I99+COLUMN($N$3:$DU$3)-COLUMN($N$3))&gt;='KALENDER MINGGU'!$B$9)*(($I99+COLUMN($N$3:$DU$3)-COLUMN($N$3))&lt;='KALENDER MINGGU'!$C$9)*(N99:DU99))/F99*H99</f>
        <v>0</v>
      </c>
      <c r="DZ99" s="210">
        <f>SUMPRODUCT((($I99+COLUMN($N$3:$DU$3)-COLUMN($N$3))&gt;='KALENDER MINGGU'!$B$10)*(($I99+COLUMN($N$3:$DU$3)-COLUMN($N$3))&lt;='KALENDER MINGGU'!$C$10)*(N99:DU99))/F99*H99</f>
        <v>0</v>
      </c>
      <c r="EA99" s="210">
        <f>SUMPRODUCT((($I99+COLUMN($N$3:$DU$3)-COLUMN($N$3))&gt;='KALENDER MINGGU'!$B$11)*(($I99+COLUMN($N$3:$DU$3)-COLUMN($N$3))&lt;='KALENDER MINGGU'!$C$11)*(N99:DU99))/F99*H99</f>
        <v>0</v>
      </c>
      <c r="EB99" s="210">
        <f>SUMPRODUCT((($I99+COLUMN($N$3:$DU$3)-COLUMN($N$3))&gt;='KALENDER MINGGU'!$B$12)*(($I99+COLUMN($N$3:$DU$3)-COLUMN($N$3))&lt;='KALENDER MINGGU'!$C$12)*(N99:DU99))/F99*H99</f>
        <v>0</v>
      </c>
      <c r="EC99" s="210">
        <f>SUMPRODUCT((($I99+COLUMN($N$3:$DU$3)-COLUMN($N$3))&gt;='KALENDER MINGGU'!$B$13)*(($I99+COLUMN($N$3:$DU$3)-COLUMN($N$3))&lt;='KALENDER MINGGU'!$C$13)*(N99:DU99))/F99*H99</f>
        <v>0</v>
      </c>
      <c r="ED99" s="210">
        <f>SUMPRODUCT((($I99+COLUMN($N$3:$DU$3)-COLUMN($N$3))&gt;='KALENDER MINGGU'!$B$14)*(($I99+COLUMN($N$3:$DU$3)-COLUMN($N$3))&lt;='KALENDER MINGGU'!$C$14)*(N99:DU99))/F99*H99</f>
        <v>0</v>
      </c>
      <c r="EE99" s="210">
        <f>SUMPRODUCT((($I99+COLUMN($N$3:$DU$3)-COLUMN($N$3))&gt;='KALENDER MINGGU'!$B$15)*(($I99+COLUMN($N$3:$DU$3)-COLUMN($N$3))&lt;='KALENDER MINGGU'!$C$15)*(N99:DU99))/F99*H99</f>
        <v>0</v>
      </c>
      <c r="EF99" s="210">
        <f>SUMPRODUCT((($I99+COLUMN($N$3:$DU$3)-COLUMN($N$3))&gt;='KALENDER MINGGU'!$B$16)*(($I99+COLUMN($N$3:$DU$3)-COLUMN($N$3))&lt;='KALENDER MINGGU'!$C$16)*(N99:DU99))/F99*H99</f>
        <v>0</v>
      </c>
      <c r="EG99" s="210">
        <f>SUMPRODUCT((($I99+COLUMN($N$3:$DU$3)-COLUMN($N$3))&gt;='KALENDER MINGGU'!$B$17)*(($I99+COLUMN($N$3:$DU$3)-COLUMN($N$3))&lt;='KALENDER MINGGU'!$C$17)*(N99:DU99))/F99*H99</f>
        <v>0</v>
      </c>
      <c r="EH99" s="210">
        <f>SUMPRODUCT((($I99+COLUMN($N$3:$DU$3)-COLUMN($N$3))&gt;='KALENDER MINGGU'!$B$18)*(($I99+COLUMN($N$3:$DU$3)-COLUMN($N$3))&lt;='KALENDER MINGGU'!$C$18)*(N99:DU99))/F99*H99</f>
        <v>0</v>
      </c>
      <c r="EI99" s="210">
        <f>SUMPRODUCT((($I99+COLUMN($N$3:$DU$3)-COLUMN($N$3))&gt;='KALENDER MINGGU'!$B$19)*(($I99+COLUMN($N$3:$DU$3)-COLUMN($N$3))&lt;='KALENDER MINGGU'!$C$19)*(N99:DU99))/F99*H99</f>
        <v>0</v>
      </c>
      <c r="EJ99" s="210">
        <f>SUMPRODUCT((($I99+COLUMN($N$3:$DU$3)-COLUMN($N$3))&gt;='KALENDER MINGGU'!$B$20)*(($I99+COLUMN($N$3:$DU$3)-COLUMN($N$3))&lt;='KALENDER MINGGU'!$C$20)*(N99:DU99))/F99*H99</f>
        <v>0</v>
      </c>
      <c r="EK99" s="210">
        <f>SUMPRODUCT((($I99+COLUMN($N$3:$DU$3)-COLUMN($N$3))&gt;='KALENDER MINGGU'!$B$21)*(($I99+COLUMN($N$3:$DU$3)-COLUMN($N$3))&lt;='KALENDER MINGGU'!$C$21)*(N99:DU99))/F99*H99</f>
        <v>0</v>
      </c>
    </row>
    <row r="100" spans="1:141" ht="15" customHeight="1" x14ac:dyDescent="0.2">
      <c r="A100" s="208">
        <v>96</v>
      </c>
      <c r="B100" s="208">
        <v>170</v>
      </c>
      <c r="C100" s="208" t="str">
        <f>IF(B100&lt;160,'BOBOT PEK'!$B$4,IF(B100&lt;207,'BOBOT PEK'!$B$160,'BOBOT PEK'!$B$207))</f>
        <v>Pekerjaan Gudang Atas</v>
      </c>
      <c r="D100" s="208" t="s">
        <v>38</v>
      </c>
      <c r="E100" s="208" t="str">
        <f>'BOBOT PEK'!C170</f>
        <v>Administrasi Lapangan</v>
      </c>
      <c r="F100" s="209">
        <f>IF(OR('BOBOT PEK'!E170="",'BOBOT PEK'!E170=0),1,'BOBOT PEK'!E170)</f>
        <v>1</v>
      </c>
      <c r="G100" s="208" t="str">
        <f>IF('BOBOT PEK'!F170="","ls",'BOBOT PEK'!F170)</f>
        <v>Is</v>
      </c>
      <c r="H100" s="210">
        <f>'BOBOT PEK'!J170</f>
        <v>2.5583746296401588E-2</v>
      </c>
      <c r="I100" s="211">
        <f>'KALENDER MINGGU'!$B$3</f>
        <v>46226</v>
      </c>
      <c r="J100" s="209">
        <f t="shared" si="12"/>
        <v>1</v>
      </c>
      <c r="K100" s="209">
        <f t="shared" si="13"/>
        <v>0</v>
      </c>
      <c r="L100" s="212">
        <f t="shared" si="14"/>
        <v>1</v>
      </c>
      <c r="M100" s="208" t="str">
        <f t="shared" si="15"/>
        <v>OK</v>
      </c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3"/>
      <c r="AC100" s="213"/>
      <c r="AD100" s="213"/>
      <c r="AE100" s="213"/>
      <c r="AF100" s="213"/>
      <c r="AG100" s="213"/>
      <c r="AH100" s="213"/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/>
      <c r="AX100" s="213"/>
      <c r="AY100" s="213">
        <v>1</v>
      </c>
      <c r="AZ100" s="213"/>
      <c r="BA100" s="213"/>
      <c r="BB100" s="213"/>
      <c r="BC100" s="213"/>
      <c r="BD100" s="213"/>
      <c r="BE100" s="213"/>
      <c r="BF100" s="213"/>
      <c r="BG100" s="213"/>
      <c r="BH100" s="213"/>
      <c r="BI100" s="213"/>
      <c r="BJ100" s="213"/>
      <c r="BK100" s="213"/>
      <c r="BL100" s="213"/>
      <c r="BM100" s="213"/>
      <c r="BN100" s="213"/>
      <c r="BO100" s="213"/>
      <c r="BP100" s="213"/>
      <c r="BQ100" s="213"/>
      <c r="BR100" s="213"/>
      <c r="BS100" s="213"/>
      <c r="BT100" s="213"/>
      <c r="BU100" s="213"/>
      <c r="BV100" s="213"/>
      <c r="BW100" s="213"/>
      <c r="BX100" s="213"/>
      <c r="BY100" s="213"/>
      <c r="BZ100" s="213"/>
      <c r="CA100" s="213"/>
      <c r="CB100" s="213"/>
      <c r="CC100" s="213"/>
      <c r="CD100" s="213"/>
      <c r="CE100" s="213"/>
      <c r="CF100" s="213"/>
      <c r="CG100" s="213"/>
      <c r="CH100" s="213"/>
      <c r="CI100" s="213"/>
      <c r="CJ100" s="213"/>
      <c r="CK100" s="213"/>
      <c r="CL100" s="213"/>
      <c r="CM100" s="213"/>
      <c r="CN100" s="213"/>
      <c r="CO100" s="213"/>
      <c r="CP100" s="213"/>
      <c r="CQ100" s="213"/>
      <c r="CR100" s="213"/>
      <c r="CS100" s="213"/>
      <c r="CT100" s="213"/>
      <c r="CU100" s="213"/>
      <c r="CV100" s="213"/>
      <c r="CW100" s="213"/>
      <c r="CX100" s="213"/>
      <c r="CY100" s="213"/>
      <c r="CZ100" s="213"/>
      <c r="DA100" s="213"/>
      <c r="DB100" s="213"/>
      <c r="DC100" s="213"/>
      <c r="DD100" s="213"/>
      <c r="DE100" s="213"/>
      <c r="DF100" s="213"/>
      <c r="DG100" s="213"/>
      <c r="DH100" s="213"/>
      <c r="DI100" s="213"/>
      <c r="DJ100" s="213"/>
      <c r="DK100" s="213"/>
      <c r="DL100" s="213"/>
      <c r="DM100" s="213"/>
      <c r="DN100" s="213"/>
      <c r="DO100" s="213"/>
      <c r="DP100" s="213"/>
      <c r="DQ100" s="213"/>
      <c r="DR100" s="213"/>
      <c r="DS100" s="213"/>
      <c r="DT100" s="213"/>
      <c r="DU100" s="213"/>
      <c r="DV100" s="210">
        <f>SUMPRODUCT((($I100+COLUMN($N$3:$DU$3)-COLUMN($N$3))&gt;='KALENDER MINGGU'!$B$6)*(($I100+COLUMN($N$3:$DU$3)-COLUMN($N$3))&lt;='KALENDER MINGGU'!$C$6)*(N100:DU100))/F100*H100</f>
        <v>0</v>
      </c>
      <c r="DW100" s="210">
        <f>SUMPRODUCT((($I100+COLUMN($N$3:$DU$3)-COLUMN($N$3))&gt;='KALENDER MINGGU'!$B$7)*(($I100+COLUMN($N$3:$DU$3)-COLUMN($N$3))&lt;='KALENDER MINGGU'!$C$7)*(N100:DU100))/F100*H100</f>
        <v>0</v>
      </c>
      <c r="DX100" s="210">
        <f>SUMPRODUCT((($I100+COLUMN($N$3:$DU$3)-COLUMN($N$3))&gt;='KALENDER MINGGU'!$B$8)*(($I100+COLUMN($N$3:$DU$3)-COLUMN($N$3))&lt;='KALENDER MINGGU'!$C$8)*(N100:DU100))/F100*H100</f>
        <v>0</v>
      </c>
      <c r="DY100" s="210">
        <f>SUMPRODUCT((($I100+COLUMN($N$3:$DU$3)-COLUMN($N$3))&gt;='KALENDER MINGGU'!$B$9)*(($I100+COLUMN($N$3:$DU$3)-COLUMN($N$3))&lt;='KALENDER MINGGU'!$C$9)*(N100:DU100))/F100*H100</f>
        <v>0</v>
      </c>
      <c r="DZ100" s="210">
        <f>SUMPRODUCT((($I100+COLUMN($N$3:$DU$3)-COLUMN($N$3))&gt;='KALENDER MINGGU'!$B$10)*(($I100+COLUMN($N$3:$DU$3)-COLUMN($N$3))&lt;='KALENDER MINGGU'!$C$10)*(N100:DU100))/F100*H100</f>
        <v>0</v>
      </c>
      <c r="EA100" s="210">
        <f>SUMPRODUCT((($I100+COLUMN($N$3:$DU$3)-COLUMN($N$3))&gt;='KALENDER MINGGU'!$B$11)*(($I100+COLUMN($N$3:$DU$3)-COLUMN($N$3))&lt;='KALENDER MINGGU'!$C$11)*(N100:DU100))/F100*H100</f>
        <v>2.5583746296401588E-2</v>
      </c>
      <c r="EB100" s="210">
        <f>SUMPRODUCT((($I100+COLUMN($N$3:$DU$3)-COLUMN($N$3))&gt;='KALENDER MINGGU'!$B$12)*(($I100+COLUMN($N$3:$DU$3)-COLUMN($N$3))&lt;='KALENDER MINGGU'!$C$12)*(N100:DU100))/F100*H100</f>
        <v>0</v>
      </c>
      <c r="EC100" s="210">
        <f>SUMPRODUCT((($I100+COLUMN($N$3:$DU$3)-COLUMN($N$3))&gt;='KALENDER MINGGU'!$B$13)*(($I100+COLUMN($N$3:$DU$3)-COLUMN($N$3))&lt;='KALENDER MINGGU'!$C$13)*(N100:DU100))/F100*H100</f>
        <v>0</v>
      </c>
      <c r="ED100" s="210">
        <f>SUMPRODUCT((($I100+COLUMN($N$3:$DU$3)-COLUMN($N$3))&gt;='KALENDER MINGGU'!$B$14)*(($I100+COLUMN($N$3:$DU$3)-COLUMN($N$3))&lt;='KALENDER MINGGU'!$C$14)*(N100:DU100))/F100*H100</f>
        <v>0</v>
      </c>
      <c r="EE100" s="210">
        <f>SUMPRODUCT((($I100+COLUMN($N$3:$DU$3)-COLUMN($N$3))&gt;='KALENDER MINGGU'!$B$15)*(($I100+COLUMN($N$3:$DU$3)-COLUMN($N$3))&lt;='KALENDER MINGGU'!$C$15)*(N100:DU100))/F100*H100</f>
        <v>0</v>
      </c>
      <c r="EF100" s="210">
        <f>SUMPRODUCT((($I100+COLUMN($N$3:$DU$3)-COLUMN($N$3))&gt;='KALENDER MINGGU'!$B$16)*(($I100+COLUMN($N$3:$DU$3)-COLUMN($N$3))&lt;='KALENDER MINGGU'!$C$16)*(N100:DU100))/F100*H100</f>
        <v>0</v>
      </c>
      <c r="EG100" s="210">
        <f>SUMPRODUCT((($I100+COLUMN($N$3:$DU$3)-COLUMN($N$3))&gt;='KALENDER MINGGU'!$B$17)*(($I100+COLUMN($N$3:$DU$3)-COLUMN($N$3))&lt;='KALENDER MINGGU'!$C$17)*(N100:DU100))/F100*H100</f>
        <v>0</v>
      </c>
      <c r="EH100" s="210">
        <f>SUMPRODUCT((($I100+COLUMN($N$3:$DU$3)-COLUMN($N$3))&gt;='KALENDER MINGGU'!$B$18)*(($I100+COLUMN($N$3:$DU$3)-COLUMN($N$3))&lt;='KALENDER MINGGU'!$C$18)*(N100:DU100))/F100*H100</f>
        <v>0</v>
      </c>
      <c r="EI100" s="210">
        <f>SUMPRODUCT((($I100+COLUMN($N$3:$DU$3)-COLUMN($N$3))&gt;='KALENDER MINGGU'!$B$19)*(($I100+COLUMN($N$3:$DU$3)-COLUMN($N$3))&lt;='KALENDER MINGGU'!$C$19)*(N100:DU100))/F100*H100</f>
        <v>0</v>
      </c>
      <c r="EJ100" s="210">
        <f>SUMPRODUCT((($I100+COLUMN($N$3:$DU$3)-COLUMN($N$3))&gt;='KALENDER MINGGU'!$B$20)*(($I100+COLUMN($N$3:$DU$3)-COLUMN($N$3))&lt;='KALENDER MINGGU'!$C$20)*(N100:DU100))/F100*H100</f>
        <v>0</v>
      </c>
      <c r="EK100" s="210">
        <f>SUMPRODUCT((($I100+COLUMN($N$3:$DU$3)-COLUMN($N$3))&gt;='KALENDER MINGGU'!$B$21)*(($I100+COLUMN($N$3:$DU$3)-COLUMN($N$3))&lt;='KALENDER MINGGU'!$C$21)*(N100:DU100))/F100*H100</f>
        <v>0</v>
      </c>
    </row>
    <row r="101" spans="1:141" ht="15" customHeight="1" x14ac:dyDescent="0.2">
      <c r="A101" s="208">
        <v>97</v>
      </c>
      <c r="B101" s="208">
        <v>171</v>
      </c>
      <c r="C101" s="208" t="str">
        <f>IF(B101&lt;160,'BOBOT PEK'!$B$4,IF(B101&lt;207,'BOBOT PEK'!$B$160,'BOBOT PEK'!$B$207))</f>
        <v>Pekerjaan Gudang Atas</v>
      </c>
      <c r="D101" s="208" t="s">
        <v>38</v>
      </c>
      <c r="E101" s="208" t="str">
        <f>'BOBOT PEK'!C171</f>
        <v>Skafolding dan Alat Bantu Pekerjaan</v>
      </c>
      <c r="F101" s="209">
        <f>IF(OR('BOBOT PEK'!E171="",'BOBOT PEK'!E171=0),1,'BOBOT PEK'!E171)</f>
        <v>1</v>
      </c>
      <c r="G101" s="208" t="str">
        <f>IF('BOBOT PEK'!F171="","ls",'BOBOT PEK'!F171)</f>
        <v>Is</v>
      </c>
      <c r="H101" s="210">
        <f>'BOBOT PEK'!J171</f>
        <v>0.12791873148200794</v>
      </c>
      <c r="I101" s="211">
        <f>'KALENDER MINGGU'!$B$3</f>
        <v>46226</v>
      </c>
      <c r="J101" s="209">
        <f t="shared" si="12"/>
        <v>1</v>
      </c>
      <c r="K101" s="209">
        <f t="shared" si="13"/>
        <v>0</v>
      </c>
      <c r="L101" s="212">
        <f t="shared" si="14"/>
        <v>1</v>
      </c>
      <c r="M101" s="208" t="str">
        <f t="shared" si="15"/>
        <v>OK</v>
      </c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3"/>
      <c r="AC101" s="213"/>
      <c r="AD101" s="213"/>
      <c r="AE101" s="213"/>
      <c r="AF101" s="213"/>
      <c r="AG101" s="213"/>
      <c r="AH101" s="213"/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13"/>
      <c r="AY101" s="213">
        <v>1</v>
      </c>
      <c r="AZ101" s="213"/>
      <c r="BA101" s="213"/>
      <c r="BB101" s="213"/>
      <c r="BC101" s="213"/>
      <c r="BD101" s="213"/>
      <c r="BE101" s="213"/>
      <c r="BF101" s="213"/>
      <c r="BG101" s="213"/>
      <c r="BH101" s="213"/>
      <c r="BI101" s="213"/>
      <c r="BJ101" s="213"/>
      <c r="BK101" s="213"/>
      <c r="BL101" s="213"/>
      <c r="BM101" s="213"/>
      <c r="BN101" s="213"/>
      <c r="BO101" s="213"/>
      <c r="BP101" s="213"/>
      <c r="BQ101" s="213"/>
      <c r="BR101" s="213"/>
      <c r="BS101" s="213"/>
      <c r="BT101" s="213"/>
      <c r="BU101" s="213"/>
      <c r="BV101" s="213"/>
      <c r="BW101" s="213"/>
      <c r="BX101" s="213"/>
      <c r="BY101" s="213"/>
      <c r="BZ101" s="213"/>
      <c r="CA101" s="213"/>
      <c r="CB101" s="213"/>
      <c r="CC101" s="213"/>
      <c r="CD101" s="213"/>
      <c r="CE101" s="213"/>
      <c r="CF101" s="213"/>
      <c r="CG101" s="213"/>
      <c r="CH101" s="213"/>
      <c r="CI101" s="213"/>
      <c r="CJ101" s="213"/>
      <c r="CK101" s="213"/>
      <c r="CL101" s="213"/>
      <c r="CM101" s="213"/>
      <c r="CN101" s="213"/>
      <c r="CO101" s="213"/>
      <c r="CP101" s="213"/>
      <c r="CQ101" s="213"/>
      <c r="CR101" s="213"/>
      <c r="CS101" s="213"/>
      <c r="CT101" s="213"/>
      <c r="CU101" s="213"/>
      <c r="CV101" s="213"/>
      <c r="CW101" s="213"/>
      <c r="CX101" s="213"/>
      <c r="CY101" s="213"/>
      <c r="CZ101" s="213"/>
      <c r="DA101" s="213"/>
      <c r="DB101" s="213"/>
      <c r="DC101" s="213"/>
      <c r="DD101" s="213"/>
      <c r="DE101" s="213"/>
      <c r="DF101" s="213"/>
      <c r="DG101" s="213"/>
      <c r="DH101" s="213"/>
      <c r="DI101" s="213"/>
      <c r="DJ101" s="213"/>
      <c r="DK101" s="213"/>
      <c r="DL101" s="213"/>
      <c r="DM101" s="213"/>
      <c r="DN101" s="213"/>
      <c r="DO101" s="213"/>
      <c r="DP101" s="213"/>
      <c r="DQ101" s="213"/>
      <c r="DR101" s="213"/>
      <c r="DS101" s="213"/>
      <c r="DT101" s="213"/>
      <c r="DU101" s="213"/>
      <c r="DV101" s="210">
        <f>SUMPRODUCT((($I101+COLUMN($N$3:$DU$3)-COLUMN($N$3))&gt;='KALENDER MINGGU'!$B$6)*(($I101+COLUMN($N$3:$DU$3)-COLUMN($N$3))&lt;='KALENDER MINGGU'!$C$6)*(N101:DU101))/F101*H101</f>
        <v>0</v>
      </c>
      <c r="DW101" s="210">
        <f>SUMPRODUCT((($I101+COLUMN($N$3:$DU$3)-COLUMN($N$3))&gt;='KALENDER MINGGU'!$B$7)*(($I101+COLUMN($N$3:$DU$3)-COLUMN($N$3))&lt;='KALENDER MINGGU'!$C$7)*(N101:DU101))/F101*H101</f>
        <v>0</v>
      </c>
      <c r="DX101" s="210">
        <f>SUMPRODUCT((($I101+COLUMN($N$3:$DU$3)-COLUMN($N$3))&gt;='KALENDER MINGGU'!$B$8)*(($I101+COLUMN($N$3:$DU$3)-COLUMN($N$3))&lt;='KALENDER MINGGU'!$C$8)*(N101:DU101))/F101*H101</f>
        <v>0</v>
      </c>
      <c r="DY101" s="210">
        <f>SUMPRODUCT((($I101+COLUMN($N$3:$DU$3)-COLUMN($N$3))&gt;='KALENDER MINGGU'!$B$9)*(($I101+COLUMN($N$3:$DU$3)-COLUMN($N$3))&lt;='KALENDER MINGGU'!$C$9)*(N101:DU101))/F101*H101</f>
        <v>0</v>
      </c>
      <c r="DZ101" s="210">
        <f>SUMPRODUCT((($I101+COLUMN($N$3:$DU$3)-COLUMN($N$3))&gt;='KALENDER MINGGU'!$B$10)*(($I101+COLUMN($N$3:$DU$3)-COLUMN($N$3))&lt;='KALENDER MINGGU'!$C$10)*(N101:DU101))/F101*H101</f>
        <v>0</v>
      </c>
      <c r="EA101" s="210">
        <f>SUMPRODUCT((($I101+COLUMN($N$3:$DU$3)-COLUMN($N$3))&gt;='KALENDER MINGGU'!$B$11)*(($I101+COLUMN($N$3:$DU$3)-COLUMN($N$3))&lt;='KALENDER MINGGU'!$C$11)*(N101:DU101))/F101*H101</f>
        <v>0.12791873148200794</v>
      </c>
      <c r="EB101" s="210">
        <f>SUMPRODUCT((($I101+COLUMN($N$3:$DU$3)-COLUMN($N$3))&gt;='KALENDER MINGGU'!$B$12)*(($I101+COLUMN($N$3:$DU$3)-COLUMN($N$3))&lt;='KALENDER MINGGU'!$C$12)*(N101:DU101))/F101*H101</f>
        <v>0</v>
      </c>
      <c r="EC101" s="210">
        <f>SUMPRODUCT((($I101+COLUMN($N$3:$DU$3)-COLUMN($N$3))&gt;='KALENDER MINGGU'!$B$13)*(($I101+COLUMN($N$3:$DU$3)-COLUMN($N$3))&lt;='KALENDER MINGGU'!$C$13)*(N101:DU101))/F101*H101</f>
        <v>0</v>
      </c>
      <c r="ED101" s="210">
        <f>SUMPRODUCT((($I101+COLUMN($N$3:$DU$3)-COLUMN($N$3))&gt;='KALENDER MINGGU'!$B$14)*(($I101+COLUMN($N$3:$DU$3)-COLUMN($N$3))&lt;='KALENDER MINGGU'!$C$14)*(N101:DU101))/F101*H101</f>
        <v>0</v>
      </c>
      <c r="EE101" s="210">
        <f>SUMPRODUCT((($I101+COLUMN($N$3:$DU$3)-COLUMN($N$3))&gt;='KALENDER MINGGU'!$B$15)*(($I101+COLUMN($N$3:$DU$3)-COLUMN($N$3))&lt;='KALENDER MINGGU'!$C$15)*(N101:DU101))/F101*H101</f>
        <v>0</v>
      </c>
      <c r="EF101" s="210">
        <f>SUMPRODUCT((($I101+COLUMN($N$3:$DU$3)-COLUMN($N$3))&gt;='KALENDER MINGGU'!$B$16)*(($I101+COLUMN($N$3:$DU$3)-COLUMN($N$3))&lt;='KALENDER MINGGU'!$C$16)*(N101:DU101))/F101*H101</f>
        <v>0</v>
      </c>
      <c r="EG101" s="210">
        <f>SUMPRODUCT((($I101+COLUMN($N$3:$DU$3)-COLUMN($N$3))&gt;='KALENDER MINGGU'!$B$17)*(($I101+COLUMN($N$3:$DU$3)-COLUMN($N$3))&lt;='KALENDER MINGGU'!$C$17)*(N101:DU101))/F101*H101</f>
        <v>0</v>
      </c>
      <c r="EH101" s="210">
        <f>SUMPRODUCT((($I101+COLUMN($N$3:$DU$3)-COLUMN($N$3))&gt;='KALENDER MINGGU'!$B$18)*(($I101+COLUMN($N$3:$DU$3)-COLUMN($N$3))&lt;='KALENDER MINGGU'!$C$18)*(N101:DU101))/F101*H101</f>
        <v>0</v>
      </c>
      <c r="EI101" s="210">
        <f>SUMPRODUCT((($I101+COLUMN($N$3:$DU$3)-COLUMN($N$3))&gt;='KALENDER MINGGU'!$B$19)*(($I101+COLUMN($N$3:$DU$3)-COLUMN($N$3))&lt;='KALENDER MINGGU'!$C$19)*(N101:DU101))/F101*H101</f>
        <v>0</v>
      </c>
      <c r="EJ101" s="210">
        <f>SUMPRODUCT((($I101+COLUMN($N$3:$DU$3)-COLUMN($N$3))&gt;='KALENDER MINGGU'!$B$20)*(($I101+COLUMN($N$3:$DU$3)-COLUMN($N$3))&lt;='KALENDER MINGGU'!$C$20)*(N101:DU101))/F101*H101</f>
        <v>0</v>
      </c>
      <c r="EK101" s="210">
        <f>SUMPRODUCT((($I101+COLUMN($N$3:$DU$3)-COLUMN($N$3))&gt;='KALENDER MINGGU'!$B$21)*(($I101+COLUMN($N$3:$DU$3)-COLUMN($N$3))&lt;='KALENDER MINGGU'!$C$21)*(N101:DU101))/F101*H101</f>
        <v>0</v>
      </c>
    </row>
    <row r="102" spans="1:141" ht="15" customHeight="1" x14ac:dyDescent="0.2">
      <c r="A102" s="208">
        <v>98</v>
      </c>
      <c r="B102" s="208">
        <v>175</v>
      </c>
      <c r="C102" s="208" t="str">
        <f>IF(B102&lt;160,'BOBOT PEK'!$B$4,IF(B102&lt;207,'BOBOT PEK'!$B$160,'BOBOT PEK'!$B$207))</f>
        <v>Pekerjaan Gudang Atas</v>
      </c>
      <c r="D102" s="208" t="s">
        <v>49</v>
      </c>
      <c r="E102" s="208" t="str">
        <f>'BOBOT PEK'!C175</f>
        <v>perbaikan area tidak rata</v>
      </c>
      <c r="F102" s="209">
        <f>IF(OR('BOBOT PEK'!E175="",'BOBOT PEK'!E175=0),1,'BOBOT PEK'!E175)</f>
        <v>108</v>
      </c>
      <c r="G102" s="208" t="str">
        <f>IF('BOBOT PEK'!F175="","ls",'BOBOT PEK'!F175)</f>
        <v>m2</v>
      </c>
      <c r="H102" s="210">
        <f>'BOBOT PEK'!J175</f>
        <v>0.13815223000056856</v>
      </c>
      <c r="I102" s="211">
        <f>'KALENDER MINGGU'!$B$3</f>
        <v>46226</v>
      </c>
      <c r="J102" s="209">
        <f t="shared" si="12"/>
        <v>108</v>
      </c>
      <c r="K102" s="209">
        <f t="shared" si="13"/>
        <v>0</v>
      </c>
      <c r="L102" s="212">
        <f t="shared" si="14"/>
        <v>1</v>
      </c>
      <c r="M102" s="208" t="str">
        <f t="shared" si="15"/>
        <v>OK</v>
      </c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3"/>
      <c r="AC102" s="213"/>
      <c r="AD102" s="213"/>
      <c r="AE102" s="213"/>
      <c r="AF102" s="213"/>
      <c r="AG102" s="213"/>
      <c r="AH102" s="213"/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213"/>
      <c r="AT102" s="213"/>
      <c r="AU102" s="213"/>
      <c r="AV102" s="213"/>
      <c r="AW102" s="213"/>
      <c r="AX102" s="213"/>
      <c r="AY102" s="213"/>
      <c r="AZ102" s="213"/>
      <c r="BA102" s="213"/>
      <c r="BB102" s="213"/>
      <c r="BC102" s="213"/>
      <c r="BD102" s="213"/>
      <c r="BE102" s="213"/>
      <c r="BF102" s="213"/>
      <c r="BG102" s="213"/>
      <c r="BH102" s="213">
        <v>50</v>
      </c>
      <c r="BI102" s="213"/>
      <c r="BJ102" s="213"/>
      <c r="BK102" s="213"/>
      <c r="BL102" s="213"/>
      <c r="BM102" s="213"/>
      <c r="BN102" s="213"/>
      <c r="BO102" s="213"/>
      <c r="BP102" s="213"/>
      <c r="BQ102" s="213"/>
      <c r="BR102" s="213"/>
      <c r="BS102" s="213"/>
      <c r="BT102" s="213"/>
      <c r="BU102" s="213"/>
      <c r="BV102" s="213"/>
      <c r="BW102" s="213"/>
      <c r="BX102" s="213"/>
      <c r="BY102" s="213"/>
      <c r="BZ102" s="213">
        <v>20</v>
      </c>
      <c r="CA102" s="213">
        <v>20</v>
      </c>
      <c r="CB102" s="213">
        <v>18</v>
      </c>
      <c r="CC102" s="213"/>
      <c r="CD102" s="213"/>
      <c r="CE102" s="213"/>
      <c r="CF102" s="213"/>
      <c r="CG102" s="213"/>
      <c r="CH102" s="213"/>
      <c r="CI102" s="213"/>
      <c r="CJ102" s="213"/>
      <c r="CK102" s="213"/>
      <c r="CL102" s="213"/>
      <c r="CM102" s="213"/>
      <c r="CN102" s="213"/>
      <c r="CO102" s="213"/>
      <c r="CP102" s="213"/>
      <c r="CQ102" s="213"/>
      <c r="CR102" s="213"/>
      <c r="CS102" s="213"/>
      <c r="CT102" s="213"/>
      <c r="CU102" s="213"/>
      <c r="CV102" s="213"/>
      <c r="CW102" s="213"/>
      <c r="CX102" s="213"/>
      <c r="CY102" s="213"/>
      <c r="CZ102" s="213"/>
      <c r="DA102" s="213"/>
      <c r="DB102" s="213"/>
      <c r="DC102" s="213"/>
      <c r="DD102" s="213"/>
      <c r="DE102" s="213"/>
      <c r="DF102" s="213"/>
      <c r="DG102" s="213"/>
      <c r="DH102" s="213"/>
      <c r="DI102" s="213"/>
      <c r="DJ102" s="213"/>
      <c r="DK102" s="213"/>
      <c r="DL102" s="213"/>
      <c r="DM102" s="213"/>
      <c r="DN102" s="213"/>
      <c r="DO102" s="213"/>
      <c r="DP102" s="213"/>
      <c r="DQ102" s="213"/>
      <c r="DR102" s="213"/>
      <c r="DS102" s="213"/>
      <c r="DT102" s="213"/>
      <c r="DU102" s="213"/>
      <c r="DV102" s="210">
        <f>SUMPRODUCT((($I102+COLUMN($N$3:$DU$3)-COLUMN($N$3))&gt;='KALENDER MINGGU'!$B$6)*(($I102+COLUMN($N$3:$DU$3)-COLUMN($N$3))&lt;='KALENDER MINGGU'!$C$6)*(N102:DU102))/F102*H102</f>
        <v>0</v>
      </c>
      <c r="DW102" s="210">
        <f>SUMPRODUCT((($I102+COLUMN($N$3:$DU$3)-COLUMN($N$3))&gt;='KALENDER MINGGU'!$B$7)*(($I102+COLUMN($N$3:$DU$3)-COLUMN($N$3))&lt;='KALENDER MINGGU'!$C$7)*(N102:DU102))/F102*H102</f>
        <v>0</v>
      </c>
      <c r="DX102" s="210">
        <f>SUMPRODUCT((($I102+COLUMN($N$3:$DU$3)-COLUMN($N$3))&gt;='KALENDER MINGGU'!$B$8)*(($I102+COLUMN($N$3:$DU$3)-COLUMN($N$3))&lt;='KALENDER MINGGU'!$C$8)*(N102:DU102))/F102*H102</f>
        <v>0</v>
      </c>
      <c r="DY102" s="210">
        <f>SUMPRODUCT((($I102+COLUMN($N$3:$DU$3)-COLUMN($N$3))&gt;='KALENDER MINGGU'!$B$9)*(($I102+COLUMN($N$3:$DU$3)-COLUMN($N$3))&lt;='KALENDER MINGGU'!$C$9)*(N102:DU102))/F102*H102</f>
        <v>0</v>
      </c>
      <c r="DZ102" s="210">
        <f>SUMPRODUCT((($I102+COLUMN($N$3:$DU$3)-COLUMN($N$3))&gt;='KALENDER MINGGU'!$B$10)*(($I102+COLUMN($N$3:$DU$3)-COLUMN($N$3))&lt;='KALENDER MINGGU'!$C$10)*(N102:DU102))/F102*H102</f>
        <v>0</v>
      </c>
      <c r="EA102" s="210">
        <f>SUMPRODUCT((($I102+COLUMN($N$3:$DU$3)-COLUMN($N$3))&gt;='KALENDER MINGGU'!$B$11)*(($I102+COLUMN($N$3:$DU$3)-COLUMN($N$3))&lt;='KALENDER MINGGU'!$C$11)*(N102:DU102))/F102*H102</f>
        <v>0</v>
      </c>
      <c r="EB102" s="210">
        <f>SUMPRODUCT((($I102+COLUMN($N$3:$DU$3)-COLUMN($N$3))&gt;='KALENDER MINGGU'!$B$12)*(($I102+COLUMN($N$3:$DU$3)-COLUMN($N$3))&lt;='KALENDER MINGGU'!$C$12)*(N102:DU102))/F102*H102</f>
        <v>6.3959365741003957E-2</v>
      </c>
      <c r="EC102" s="210">
        <f>SUMPRODUCT((($I102+COLUMN($N$3:$DU$3)-COLUMN($N$3))&gt;='KALENDER MINGGU'!$B$13)*(($I102+COLUMN($N$3:$DU$3)-COLUMN($N$3))&lt;='KALENDER MINGGU'!$C$13)*(N102:DU102))/F102*H102</f>
        <v>0</v>
      </c>
      <c r="ED102" s="210">
        <f>SUMPRODUCT((($I102+COLUMN($N$3:$DU$3)-COLUMN($N$3))&gt;='KALENDER MINGGU'!$B$14)*(($I102+COLUMN($N$3:$DU$3)-COLUMN($N$3))&lt;='KALENDER MINGGU'!$C$14)*(N102:DU102))/F102*H102</f>
        <v>0</v>
      </c>
      <c r="EE102" s="210">
        <f>SUMPRODUCT((($I102+COLUMN($N$3:$DU$3)-COLUMN($N$3))&gt;='KALENDER MINGGU'!$B$15)*(($I102+COLUMN($N$3:$DU$3)-COLUMN($N$3))&lt;='KALENDER MINGGU'!$C$15)*(N102:DU102))/F102*H102</f>
        <v>7.4192864259564603E-2</v>
      </c>
      <c r="EF102" s="210">
        <f>SUMPRODUCT((($I102+COLUMN($N$3:$DU$3)-COLUMN($N$3))&gt;='KALENDER MINGGU'!$B$16)*(($I102+COLUMN($N$3:$DU$3)-COLUMN($N$3))&lt;='KALENDER MINGGU'!$C$16)*(N102:DU102))/F102*H102</f>
        <v>0</v>
      </c>
      <c r="EG102" s="210">
        <f>SUMPRODUCT((($I102+COLUMN($N$3:$DU$3)-COLUMN($N$3))&gt;='KALENDER MINGGU'!$B$17)*(($I102+COLUMN($N$3:$DU$3)-COLUMN($N$3))&lt;='KALENDER MINGGU'!$C$17)*(N102:DU102))/F102*H102</f>
        <v>0</v>
      </c>
      <c r="EH102" s="210">
        <f>SUMPRODUCT((($I102+COLUMN($N$3:$DU$3)-COLUMN($N$3))&gt;='KALENDER MINGGU'!$B$18)*(($I102+COLUMN($N$3:$DU$3)-COLUMN($N$3))&lt;='KALENDER MINGGU'!$C$18)*(N102:DU102))/F102*H102</f>
        <v>0</v>
      </c>
      <c r="EI102" s="210">
        <f>SUMPRODUCT((($I102+COLUMN($N$3:$DU$3)-COLUMN($N$3))&gt;='KALENDER MINGGU'!$B$19)*(($I102+COLUMN($N$3:$DU$3)-COLUMN($N$3))&lt;='KALENDER MINGGU'!$C$19)*(N102:DU102))/F102*H102</f>
        <v>0</v>
      </c>
      <c r="EJ102" s="210">
        <f>SUMPRODUCT((($I102+COLUMN($N$3:$DU$3)-COLUMN($N$3))&gt;='KALENDER MINGGU'!$B$20)*(($I102+COLUMN($N$3:$DU$3)-COLUMN($N$3))&lt;='KALENDER MINGGU'!$C$20)*(N102:DU102))/F102*H102</f>
        <v>0</v>
      </c>
      <c r="EK102" s="210">
        <f>SUMPRODUCT((($I102+COLUMN($N$3:$DU$3)-COLUMN($N$3))&gt;='KALENDER MINGGU'!$B$21)*(($I102+COLUMN($N$3:$DU$3)-COLUMN($N$3))&lt;='KALENDER MINGGU'!$C$21)*(N102:DU102))/F102*H102</f>
        <v>0</v>
      </c>
    </row>
    <row r="103" spans="1:141" ht="15" customHeight="1" x14ac:dyDescent="0.2">
      <c r="A103" s="208">
        <v>99</v>
      </c>
      <c r="B103" s="208">
        <v>176</v>
      </c>
      <c r="C103" s="208" t="str">
        <f>IF(B103&lt;160,'BOBOT PEK'!$B$4,IF(B103&lt;207,'BOBOT PEK'!$B$160,'BOBOT PEK'!$B$207))</f>
        <v>Pekerjaan Gudang Atas</v>
      </c>
      <c r="D103" s="208" t="s">
        <v>49</v>
      </c>
      <c r="E103" s="208" t="str">
        <f>'BOBOT PEK'!C176</f>
        <v>Pengacian ulang lantai kurang rata</v>
      </c>
      <c r="F103" s="209">
        <f>IF(OR('BOBOT PEK'!E176="",'BOBOT PEK'!E176=0),1,'BOBOT PEK'!E176)</f>
        <v>1</v>
      </c>
      <c r="G103" s="208" t="str">
        <f>IF('BOBOT PEK'!F176="","ls",'BOBOT PEK'!F176)</f>
        <v>m2</v>
      </c>
      <c r="H103" s="210">
        <f>'BOBOT PEK'!J176</f>
        <v>0</v>
      </c>
      <c r="I103" s="211">
        <f>'KALENDER MINGGU'!$B$3</f>
        <v>46226</v>
      </c>
      <c r="J103" s="209">
        <f t="shared" si="12"/>
        <v>1</v>
      </c>
      <c r="K103" s="209">
        <f t="shared" si="13"/>
        <v>0</v>
      </c>
      <c r="L103" s="212">
        <f t="shared" si="14"/>
        <v>1</v>
      </c>
      <c r="M103" s="208" t="str">
        <f t="shared" si="15"/>
        <v>OK</v>
      </c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3"/>
      <c r="AC103" s="213"/>
      <c r="AD103" s="213"/>
      <c r="AE103" s="213"/>
      <c r="AF103" s="213"/>
      <c r="AG103" s="213"/>
      <c r="AH103" s="213"/>
      <c r="AI103" s="213"/>
      <c r="AJ103" s="213"/>
      <c r="AK103" s="213"/>
      <c r="AL103" s="213"/>
      <c r="AM103" s="213"/>
      <c r="AN103" s="213"/>
      <c r="AO103" s="213"/>
      <c r="AP103" s="213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  <c r="BC103" s="213"/>
      <c r="BD103" s="213"/>
      <c r="BE103" s="213"/>
      <c r="BF103" s="213"/>
      <c r="BG103" s="213"/>
      <c r="BH103" s="213"/>
      <c r="BI103" s="213"/>
      <c r="BJ103" s="213"/>
      <c r="BK103" s="213"/>
      <c r="BL103" s="213"/>
      <c r="BM103" s="213"/>
      <c r="BN103" s="213"/>
      <c r="BO103" s="213"/>
      <c r="BP103" s="213"/>
      <c r="BQ103" s="213"/>
      <c r="BR103" s="213"/>
      <c r="BS103" s="213"/>
      <c r="BT103" s="213"/>
      <c r="BU103" s="213"/>
      <c r="BV103" s="213"/>
      <c r="BW103" s="213"/>
      <c r="BX103" s="213"/>
      <c r="BY103" s="213"/>
      <c r="BZ103" s="213"/>
      <c r="CA103" s="213"/>
      <c r="CB103" s="213"/>
      <c r="CC103" s="213">
        <v>1</v>
      </c>
      <c r="CD103" s="213"/>
      <c r="CE103" s="213"/>
      <c r="CF103" s="213"/>
      <c r="CG103" s="213"/>
      <c r="CH103" s="213"/>
      <c r="CI103" s="213"/>
      <c r="CJ103" s="213"/>
      <c r="CK103" s="213"/>
      <c r="CL103" s="213"/>
      <c r="CM103" s="213"/>
      <c r="CN103" s="213"/>
      <c r="CO103" s="213"/>
      <c r="CP103" s="213"/>
      <c r="CQ103" s="213"/>
      <c r="CR103" s="213"/>
      <c r="CS103" s="213"/>
      <c r="CT103" s="213"/>
      <c r="CU103" s="213"/>
      <c r="CV103" s="213"/>
      <c r="CW103" s="213"/>
      <c r="CX103" s="213"/>
      <c r="CY103" s="213"/>
      <c r="CZ103" s="213"/>
      <c r="DA103" s="213"/>
      <c r="DB103" s="213"/>
      <c r="DC103" s="213"/>
      <c r="DD103" s="213"/>
      <c r="DE103" s="213"/>
      <c r="DF103" s="213"/>
      <c r="DG103" s="213"/>
      <c r="DH103" s="213"/>
      <c r="DI103" s="213"/>
      <c r="DJ103" s="213"/>
      <c r="DK103" s="213"/>
      <c r="DL103" s="213"/>
      <c r="DM103" s="213"/>
      <c r="DN103" s="213"/>
      <c r="DO103" s="213"/>
      <c r="DP103" s="213"/>
      <c r="DQ103" s="213"/>
      <c r="DR103" s="213"/>
      <c r="DS103" s="213"/>
      <c r="DT103" s="213"/>
      <c r="DU103" s="213"/>
      <c r="DV103" s="210">
        <f>SUMPRODUCT((($I103+COLUMN($N$3:$DU$3)-COLUMN($N$3))&gt;='KALENDER MINGGU'!$B$6)*(($I103+COLUMN($N$3:$DU$3)-COLUMN($N$3))&lt;='KALENDER MINGGU'!$C$6)*(N103:DU103))/F103*H103</f>
        <v>0</v>
      </c>
      <c r="DW103" s="210">
        <f>SUMPRODUCT((($I103+COLUMN($N$3:$DU$3)-COLUMN($N$3))&gt;='KALENDER MINGGU'!$B$7)*(($I103+COLUMN($N$3:$DU$3)-COLUMN($N$3))&lt;='KALENDER MINGGU'!$C$7)*(N103:DU103))/F103*H103</f>
        <v>0</v>
      </c>
      <c r="DX103" s="210">
        <f>SUMPRODUCT((($I103+COLUMN($N$3:$DU$3)-COLUMN($N$3))&gt;='KALENDER MINGGU'!$B$8)*(($I103+COLUMN($N$3:$DU$3)-COLUMN($N$3))&lt;='KALENDER MINGGU'!$C$8)*(N103:DU103))/F103*H103</f>
        <v>0</v>
      </c>
      <c r="DY103" s="210">
        <f>SUMPRODUCT((($I103+COLUMN($N$3:$DU$3)-COLUMN($N$3))&gt;='KALENDER MINGGU'!$B$9)*(($I103+COLUMN($N$3:$DU$3)-COLUMN($N$3))&lt;='KALENDER MINGGU'!$C$9)*(N103:DU103))/F103*H103</f>
        <v>0</v>
      </c>
      <c r="DZ103" s="210">
        <f>SUMPRODUCT((($I103+COLUMN($N$3:$DU$3)-COLUMN($N$3))&gt;='KALENDER MINGGU'!$B$10)*(($I103+COLUMN($N$3:$DU$3)-COLUMN($N$3))&lt;='KALENDER MINGGU'!$C$10)*(N103:DU103))/F103*H103</f>
        <v>0</v>
      </c>
      <c r="EA103" s="210">
        <f>SUMPRODUCT((($I103+COLUMN($N$3:$DU$3)-COLUMN($N$3))&gt;='KALENDER MINGGU'!$B$11)*(($I103+COLUMN($N$3:$DU$3)-COLUMN($N$3))&lt;='KALENDER MINGGU'!$C$11)*(N103:DU103))/F103*H103</f>
        <v>0</v>
      </c>
      <c r="EB103" s="210">
        <f>SUMPRODUCT((($I103+COLUMN($N$3:$DU$3)-COLUMN($N$3))&gt;='KALENDER MINGGU'!$B$12)*(($I103+COLUMN($N$3:$DU$3)-COLUMN($N$3))&lt;='KALENDER MINGGU'!$C$12)*(N103:DU103))/F103*H103</f>
        <v>0</v>
      </c>
      <c r="EC103" s="210">
        <f>SUMPRODUCT((($I103+COLUMN($N$3:$DU$3)-COLUMN($N$3))&gt;='KALENDER MINGGU'!$B$13)*(($I103+COLUMN($N$3:$DU$3)-COLUMN($N$3))&lt;='KALENDER MINGGU'!$C$13)*(N103:DU103))/F103*H103</f>
        <v>0</v>
      </c>
      <c r="ED103" s="210">
        <f>SUMPRODUCT((($I103+COLUMN($N$3:$DU$3)-COLUMN($N$3))&gt;='KALENDER MINGGU'!$B$14)*(($I103+COLUMN($N$3:$DU$3)-COLUMN($N$3))&lt;='KALENDER MINGGU'!$C$14)*(N103:DU103))/F103*H103</f>
        <v>0</v>
      </c>
      <c r="EE103" s="210">
        <f>SUMPRODUCT((($I103+COLUMN($N$3:$DU$3)-COLUMN($N$3))&gt;='KALENDER MINGGU'!$B$15)*(($I103+COLUMN($N$3:$DU$3)-COLUMN($N$3))&lt;='KALENDER MINGGU'!$C$15)*(N103:DU103))/F103*H103</f>
        <v>0</v>
      </c>
      <c r="EF103" s="210">
        <f>SUMPRODUCT((($I103+COLUMN($N$3:$DU$3)-COLUMN($N$3))&gt;='KALENDER MINGGU'!$B$16)*(($I103+COLUMN($N$3:$DU$3)-COLUMN($N$3))&lt;='KALENDER MINGGU'!$C$16)*(N103:DU103))/F103*H103</f>
        <v>0</v>
      </c>
      <c r="EG103" s="210">
        <f>SUMPRODUCT((($I103+COLUMN($N$3:$DU$3)-COLUMN($N$3))&gt;='KALENDER MINGGU'!$B$17)*(($I103+COLUMN($N$3:$DU$3)-COLUMN($N$3))&lt;='KALENDER MINGGU'!$C$17)*(N103:DU103))/F103*H103</f>
        <v>0</v>
      </c>
      <c r="EH103" s="210">
        <f>SUMPRODUCT((($I103+COLUMN($N$3:$DU$3)-COLUMN($N$3))&gt;='KALENDER MINGGU'!$B$18)*(($I103+COLUMN($N$3:$DU$3)-COLUMN($N$3))&lt;='KALENDER MINGGU'!$C$18)*(N103:DU103))/F103*H103</f>
        <v>0</v>
      </c>
      <c r="EI103" s="210">
        <f>SUMPRODUCT((($I103+COLUMN($N$3:$DU$3)-COLUMN($N$3))&gt;='KALENDER MINGGU'!$B$19)*(($I103+COLUMN($N$3:$DU$3)-COLUMN($N$3))&lt;='KALENDER MINGGU'!$C$19)*(N103:DU103))/F103*H103</f>
        <v>0</v>
      </c>
      <c r="EJ103" s="210">
        <f>SUMPRODUCT((($I103+COLUMN($N$3:$DU$3)-COLUMN($N$3))&gt;='KALENDER MINGGU'!$B$20)*(($I103+COLUMN($N$3:$DU$3)-COLUMN($N$3))&lt;='KALENDER MINGGU'!$C$20)*(N103:DU103))/F103*H103</f>
        <v>0</v>
      </c>
      <c r="EK103" s="210">
        <f>SUMPRODUCT((($I103+COLUMN($N$3:$DU$3)-COLUMN($N$3))&gt;='KALENDER MINGGU'!$B$21)*(($I103+COLUMN($N$3:$DU$3)-COLUMN($N$3))&lt;='KALENDER MINGGU'!$C$21)*(N103:DU103))/F103*H103</f>
        <v>0</v>
      </c>
    </row>
    <row r="104" spans="1:141" ht="15" customHeight="1" x14ac:dyDescent="0.2">
      <c r="A104" s="208">
        <v>100</v>
      </c>
      <c r="B104" s="208">
        <v>177</v>
      </c>
      <c r="C104" s="208" t="str">
        <f>IF(B104&lt;160,'BOBOT PEK'!$B$4,IF(B104&lt;207,'BOBOT PEK'!$B$160,'BOBOT PEK'!$B$207))</f>
        <v>Pekerjaan Gudang Atas</v>
      </c>
      <c r="D104" s="208" t="s">
        <v>49</v>
      </c>
      <c r="E104" s="208" t="str">
        <f>'BOBOT PEK'!C177</f>
        <v>leveling MU410</v>
      </c>
      <c r="F104" s="209">
        <f>IF(OR('BOBOT PEK'!E177="",'BOBOT PEK'!E177=0),1,'BOBOT PEK'!E177)</f>
        <v>108</v>
      </c>
      <c r="G104" s="208" t="str">
        <f>IF('BOBOT PEK'!F177="","ls",'BOBOT PEK'!F177)</f>
        <v>m2</v>
      </c>
      <c r="H104" s="210">
        <f>'BOBOT PEK'!J177</f>
        <v>1.0775873940044347</v>
      </c>
      <c r="I104" s="211">
        <f>'KALENDER MINGGU'!$B$3</f>
        <v>46226</v>
      </c>
      <c r="J104" s="209">
        <f t="shared" si="12"/>
        <v>31</v>
      </c>
      <c r="K104" s="209">
        <f t="shared" si="13"/>
        <v>77</v>
      </c>
      <c r="L104" s="212">
        <f t="shared" si="14"/>
        <v>0.28703703703703703</v>
      </c>
      <c r="M104" s="208" t="str">
        <f t="shared" si="15"/>
        <v>OK</v>
      </c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3"/>
      <c r="AC104" s="213"/>
      <c r="AD104" s="213"/>
      <c r="AE104" s="213"/>
      <c r="AF104" s="213"/>
      <c r="AG104" s="213"/>
      <c r="AH104" s="213"/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213"/>
      <c r="AT104" s="213"/>
      <c r="AU104" s="213"/>
      <c r="AV104" s="213"/>
      <c r="AW104" s="213"/>
      <c r="AX104" s="213"/>
      <c r="AY104" s="213"/>
      <c r="AZ104" s="213"/>
      <c r="BA104" s="213"/>
      <c r="BB104" s="213"/>
      <c r="BC104" s="213"/>
      <c r="BD104" s="213"/>
      <c r="BE104" s="213"/>
      <c r="BF104" s="213"/>
      <c r="BG104" s="213"/>
      <c r="BH104" s="213"/>
      <c r="BI104" s="213">
        <v>1</v>
      </c>
      <c r="BJ104" s="213"/>
      <c r="BK104" s="213"/>
      <c r="BL104" s="213"/>
      <c r="BM104" s="213"/>
      <c r="BN104" s="213"/>
      <c r="BO104" s="213"/>
      <c r="BP104" s="213"/>
      <c r="BQ104" s="213"/>
      <c r="BR104" s="213"/>
      <c r="BS104" s="213"/>
      <c r="BT104" s="213"/>
      <c r="BU104" s="213"/>
      <c r="BV104" s="213"/>
      <c r="BW104" s="213"/>
      <c r="BX104" s="213"/>
      <c r="BY104" s="213"/>
      <c r="BZ104" s="213"/>
      <c r="CA104" s="213"/>
      <c r="CB104" s="213">
        <v>30</v>
      </c>
      <c r="CC104" s="213"/>
      <c r="CD104" s="213"/>
      <c r="CE104" s="213"/>
      <c r="CF104" s="213"/>
      <c r="CG104" s="213"/>
      <c r="CH104" s="213"/>
      <c r="CI104" s="213"/>
      <c r="CJ104" s="213"/>
      <c r="CK104" s="213"/>
      <c r="CL104" s="213"/>
      <c r="CM104" s="213"/>
      <c r="CN104" s="213"/>
      <c r="CO104" s="213"/>
      <c r="CP104" s="213"/>
      <c r="CQ104" s="213"/>
      <c r="CR104" s="213"/>
      <c r="CS104" s="213"/>
      <c r="CT104" s="213"/>
      <c r="CU104" s="213"/>
      <c r="CV104" s="213"/>
      <c r="CW104" s="213"/>
      <c r="CX104" s="213"/>
      <c r="CY104" s="213"/>
      <c r="CZ104" s="213"/>
      <c r="DA104" s="213"/>
      <c r="DB104" s="213"/>
      <c r="DC104" s="213"/>
      <c r="DD104" s="213"/>
      <c r="DE104" s="213"/>
      <c r="DF104" s="213"/>
      <c r="DG104" s="213"/>
      <c r="DH104" s="213"/>
      <c r="DI104" s="213"/>
      <c r="DJ104" s="213"/>
      <c r="DK104" s="213"/>
      <c r="DL104" s="213"/>
      <c r="DM104" s="213"/>
      <c r="DN104" s="213"/>
      <c r="DO104" s="213"/>
      <c r="DP104" s="213"/>
      <c r="DQ104" s="213"/>
      <c r="DR104" s="213"/>
      <c r="DS104" s="213"/>
      <c r="DT104" s="213"/>
      <c r="DU104" s="213"/>
      <c r="DV104" s="210">
        <f>SUMPRODUCT((($I104+COLUMN($N$3:$DU$3)-COLUMN($N$3))&gt;='KALENDER MINGGU'!$B$6)*(($I104+COLUMN($N$3:$DU$3)-COLUMN($N$3))&lt;='KALENDER MINGGU'!$C$6)*(N104:DU104))/F104*H104</f>
        <v>0</v>
      </c>
      <c r="DW104" s="210">
        <f>SUMPRODUCT((($I104+COLUMN($N$3:$DU$3)-COLUMN($N$3))&gt;='KALENDER MINGGU'!$B$7)*(($I104+COLUMN($N$3:$DU$3)-COLUMN($N$3))&lt;='KALENDER MINGGU'!$C$7)*(N104:DU104))/F104*H104</f>
        <v>0</v>
      </c>
      <c r="DX104" s="210">
        <f>SUMPRODUCT((($I104+COLUMN($N$3:$DU$3)-COLUMN($N$3))&gt;='KALENDER MINGGU'!$B$8)*(($I104+COLUMN($N$3:$DU$3)-COLUMN($N$3))&lt;='KALENDER MINGGU'!$C$8)*(N104:DU104))/F104*H104</f>
        <v>0</v>
      </c>
      <c r="DY104" s="210">
        <f>SUMPRODUCT((($I104+COLUMN($N$3:$DU$3)-COLUMN($N$3))&gt;='KALENDER MINGGU'!$B$9)*(($I104+COLUMN($N$3:$DU$3)-COLUMN($N$3))&lt;='KALENDER MINGGU'!$C$9)*(N104:DU104))/F104*H104</f>
        <v>0</v>
      </c>
      <c r="DZ104" s="210">
        <f>SUMPRODUCT((($I104+COLUMN($N$3:$DU$3)-COLUMN($N$3))&gt;='KALENDER MINGGU'!$B$10)*(($I104+COLUMN($N$3:$DU$3)-COLUMN($N$3))&lt;='KALENDER MINGGU'!$C$10)*(N104:DU104))/F104*H104</f>
        <v>0</v>
      </c>
      <c r="EA104" s="210">
        <f>SUMPRODUCT((($I104+COLUMN($N$3:$DU$3)-COLUMN($N$3))&gt;='KALENDER MINGGU'!$B$11)*(($I104+COLUMN($N$3:$DU$3)-COLUMN($N$3))&lt;='KALENDER MINGGU'!$C$11)*(N104:DU104))/F104*H104</f>
        <v>0</v>
      </c>
      <c r="EB104" s="210">
        <f>SUMPRODUCT((($I104+COLUMN($N$3:$DU$3)-COLUMN($N$3))&gt;='KALENDER MINGGU'!$B$12)*(($I104+COLUMN($N$3:$DU$3)-COLUMN($N$3))&lt;='KALENDER MINGGU'!$C$12)*(N104:DU104))/F104*H104</f>
        <v>9.9776610555966164E-3</v>
      </c>
      <c r="EC104" s="210">
        <f>SUMPRODUCT((($I104+COLUMN($N$3:$DU$3)-COLUMN($N$3))&gt;='KALENDER MINGGU'!$B$13)*(($I104+COLUMN($N$3:$DU$3)-COLUMN($N$3))&lt;='KALENDER MINGGU'!$C$13)*(N104:DU104))/F104*H104</f>
        <v>0</v>
      </c>
      <c r="ED104" s="210">
        <f>SUMPRODUCT((($I104+COLUMN($N$3:$DU$3)-COLUMN($N$3))&gt;='KALENDER MINGGU'!$B$14)*(($I104+COLUMN($N$3:$DU$3)-COLUMN($N$3))&lt;='KALENDER MINGGU'!$C$14)*(N104:DU104))/F104*H104</f>
        <v>0</v>
      </c>
      <c r="EE104" s="210">
        <f>SUMPRODUCT((($I104+COLUMN($N$3:$DU$3)-COLUMN($N$3))&gt;='KALENDER MINGGU'!$B$15)*(($I104+COLUMN($N$3:$DU$3)-COLUMN($N$3))&lt;='KALENDER MINGGU'!$C$15)*(N104:DU104))/F104*H104</f>
        <v>0.29932983166789856</v>
      </c>
      <c r="EF104" s="210">
        <f>SUMPRODUCT((($I104+COLUMN($N$3:$DU$3)-COLUMN($N$3))&gt;='KALENDER MINGGU'!$B$16)*(($I104+COLUMN($N$3:$DU$3)-COLUMN($N$3))&lt;='KALENDER MINGGU'!$C$16)*(N104:DU104))/F104*H104</f>
        <v>0</v>
      </c>
      <c r="EG104" s="210">
        <f>SUMPRODUCT((($I104+COLUMN($N$3:$DU$3)-COLUMN($N$3))&gt;='KALENDER MINGGU'!$B$17)*(($I104+COLUMN($N$3:$DU$3)-COLUMN($N$3))&lt;='KALENDER MINGGU'!$C$17)*(N104:DU104))/F104*H104</f>
        <v>0</v>
      </c>
      <c r="EH104" s="210">
        <f>SUMPRODUCT((($I104+COLUMN($N$3:$DU$3)-COLUMN($N$3))&gt;='KALENDER MINGGU'!$B$18)*(($I104+COLUMN($N$3:$DU$3)-COLUMN($N$3))&lt;='KALENDER MINGGU'!$C$18)*(N104:DU104))/F104*H104</f>
        <v>0</v>
      </c>
      <c r="EI104" s="210">
        <f>SUMPRODUCT((($I104+COLUMN($N$3:$DU$3)-COLUMN($N$3))&gt;='KALENDER MINGGU'!$B$19)*(($I104+COLUMN($N$3:$DU$3)-COLUMN($N$3))&lt;='KALENDER MINGGU'!$C$19)*(N104:DU104))/F104*H104</f>
        <v>0</v>
      </c>
      <c r="EJ104" s="210">
        <f>SUMPRODUCT((($I104+COLUMN($N$3:$DU$3)-COLUMN($N$3))&gt;='KALENDER MINGGU'!$B$20)*(($I104+COLUMN($N$3:$DU$3)-COLUMN($N$3))&lt;='KALENDER MINGGU'!$C$20)*(N104:DU104))/F104*H104</f>
        <v>0</v>
      </c>
      <c r="EK104" s="210">
        <f>SUMPRODUCT((($I104+COLUMN($N$3:$DU$3)-COLUMN($N$3))&gt;='KALENDER MINGGU'!$B$21)*(($I104+COLUMN($N$3:$DU$3)-COLUMN($N$3))&lt;='KALENDER MINGGU'!$C$21)*(N104:DU104))/F104*H104</f>
        <v>0</v>
      </c>
    </row>
    <row r="105" spans="1:141" ht="15" customHeight="1" x14ac:dyDescent="0.2">
      <c r="A105" s="208">
        <v>101</v>
      </c>
      <c r="B105" s="208">
        <v>178</v>
      </c>
      <c r="C105" s="208" t="str">
        <f>IF(B105&lt;160,'BOBOT PEK'!$B$4,IF(B105&lt;207,'BOBOT PEK'!$B$160,'BOBOT PEK'!$B$207))</f>
        <v>Pekerjaan Gudang Atas</v>
      </c>
      <c r="D105" s="208" t="s">
        <v>49</v>
      </c>
      <c r="E105" s="208" t="str">
        <f>'BOBOT PEK'!C178</f>
        <v>cat permukaan lapangan</v>
      </c>
      <c r="F105" s="209">
        <f>IF(OR('BOBOT PEK'!E178="",'BOBOT PEK'!E178=0),1,'BOBOT PEK'!E178)</f>
        <v>108</v>
      </c>
      <c r="G105" s="208" t="str">
        <f>IF('BOBOT PEK'!F178="","ls",'BOBOT PEK'!F178)</f>
        <v>m2</v>
      </c>
      <c r="H105" s="210">
        <f>'BOBOT PEK'!J178</f>
        <v>0.17959789900073914</v>
      </c>
      <c r="I105" s="211">
        <f>'KALENDER MINGGU'!$B$3</f>
        <v>46226</v>
      </c>
      <c r="J105" s="209">
        <f t="shared" si="12"/>
        <v>0</v>
      </c>
      <c r="K105" s="209">
        <f t="shared" si="13"/>
        <v>108</v>
      </c>
      <c r="L105" s="212">
        <f t="shared" si="14"/>
        <v>0</v>
      </c>
      <c r="M105" s="208" t="str">
        <f t="shared" si="15"/>
        <v>OK</v>
      </c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3"/>
      <c r="AC105" s="213"/>
      <c r="AD105" s="213"/>
      <c r="AE105" s="213"/>
      <c r="AF105" s="213"/>
      <c r="AG105" s="213"/>
      <c r="AH105" s="213"/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  <c r="BC105" s="213"/>
      <c r="BD105" s="213"/>
      <c r="BE105" s="213"/>
      <c r="BF105" s="213"/>
      <c r="BG105" s="213"/>
      <c r="BH105" s="213"/>
      <c r="BI105" s="213"/>
      <c r="BJ105" s="213"/>
      <c r="BK105" s="213"/>
      <c r="BL105" s="213"/>
      <c r="BM105" s="213"/>
      <c r="BN105" s="213"/>
      <c r="BO105" s="213"/>
      <c r="BP105" s="213"/>
      <c r="BQ105" s="213"/>
      <c r="BR105" s="213"/>
      <c r="BS105" s="213"/>
      <c r="BT105" s="213"/>
      <c r="BU105" s="213"/>
      <c r="BV105" s="213"/>
      <c r="BW105" s="213"/>
      <c r="BX105" s="213"/>
      <c r="BY105" s="213"/>
      <c r="BZ105" s="213"/>
      <c r="CA105" s="213"/>
      <c r="CB105" s="213"/>
      <c r="CC105" s="213"/>
      <c r="CD105" s="213"/>
      <c r="CE105" s="213"/>
      <c r="CF105" s="213"/>
      <c r="CG105" s="213"/>
      <c r="CH105" s="213"/>
      <c r="CI105" s="213"/>
      <c r="CJ105" s="213"/>
      <c r="CK105" s="213"/>
      <c r="CL105" s="213"/>
      <c r="CM105" s="213"/>
      <c r="CN105" s="213"/>
      <c r="CO105" s="213"/>
      <c r="CP105" s="213"/>
      <c r="CQ105" s="213"/>
      <c r="CR105" s="213"/>
      <c r="CS105" s="213"/>
      <c r="CT105" s="213"/>
      <c r="CU105" s="213"/>
      <c r="CV105" s="213"/>
      <c r="CW105" s="213"/>
      <c r="CX105" s="213"/>
      <c r="CY105" s="213"/>
      <c r="CZ105" s="213"/>
      <c r="DA105" s="213"/>
      <c r="DB105" s="213"/>
      <c r="DC105" s="213"/>
      <c r="DD105" s="213"/>
      <c r="DE105" s="213"/>
      <c r="DF105" s="213"/>
      <c r="DG105" s="213"/>
      <c r="DH105" s="213"/>
      <c r="DI105" s="213"/>
      <c r="DJ105" s="213"/>
      <c r="DK105" s="213"/>
      <c r="DL105" s="213"/>
      <c r="DM105" s="213"/>
      <c r="DN105" s="213"/>
      <c r="DO105" s="213"/>
      <c r="DP105" s="213"/>
      <c r="DQ105" s="213"/>
      <c r="DR105" s="213"/>
      <c r="DS105" s="213"/>
      <c r="DT105" s="213"/>
      <c r="DU105" s="213"/>
      <c r="DV105" s="210">
        <f>SUMPRODUCT((($I105+COLUMN($N$3:$DU$3)-COLUMN($N$3))&gt;='KALENDER MINGGU'!$B$6)*(($I105+COLUMN($N$3:$DU$3)-COLUMN($N$3))&lt;='KALENDER MINGGU'!$C$6)*(N105:DU105))/F105*H105</f>
        <v>0</v>
      </c>
      <c r="DW105" s="210">
        <f>SUMPRODUCT((($I105+COLUMN($N$3:$DU$3)-COLUMN($N$3))&gt;='KALENDER MINGGU'!$B$7)*(($I105+COLUMN($N$3:$DU$3)-COLUMN($N$3))&lt;='KALENDER MINGGU'!$C$7)*(N105:DU105))/F105*H105</f>
        <v>0</v>
      </c>
      <c r="DX105" s="210">
        <f>SUMPRODUCT((($I105+COLUMN($N$3:$DU$3)-COLUMN($N$3))&gt;='KALENDER MINGGU'!$B$8)*(($I105+COLUMN($N$3:$DU$3)-COLUMN($N$3))&lt;='KALENDER MINGGU'!$C$8)*(N105:DU105))/F105*H105</f>
        <v>0</v>
      </c>
      <c r="DY105" s="210">
        <f>SUMPRODUCT((($I105+COLUMN($N$3:$DU$3)-COLUMN($N$3))&gt;='KALENDER MINGGU'!$B$9)*(($I105+COLUMN($N$3:$DU$3)-COLUMN($N$3))&lt;='KALENDER MINGGU'!$C$9)*(N105:DU105))/F105*H105</f>
        <v>0</v>
      </c>
      <c r="DZ105" s="210">
        <f>SUMPRODUCT((($I105+COLUMN($N$3:$DU$3)-COLUMN($N$3))&gt;='KALENDER MINGGU'!$B$10)*(($I105+COLUMN($N$3:$DU$3)-COLUMN($N$3))&lt;='KALENDER MINGGU'!$C$10)*(N105:DU105))/F105*H105</f>
        <v>0</v>
      </c>
      <c r="EA105" s="210">
        <f>SUMPRODUCT((($I105+COLUMN($N$3:$DU$3)-COLUMN($N$3))&gt;='KALENDER MINGGU'!$B$11)*(($I105+COLUMN($N$3:$DU$3)-COLUMN($N$3))&lt;='KALENDER MINGGU'!$C$11)*(N105:DU105))/F105*H105</f>
        <v>0</v>
      </c>
      <c r="EB105" s="210">
        <f>SUMPRODUCT((($I105+COLUMN($N$3:$DU$3)-COLUMN($N$3))&gt;='KALENDER MINGGU'!$B$12)*(($I105+COLUMN($N$3:$DU$3)-COLUMN($N$3))&lt;='KALENDER MINGGU'!$C$12)*(N105:DU105))/F105*H105</f>
        <v>0</v>
      </c>
      <c r="EC105" s="210">
        <f>SUMPRODUCT((($I105+COLUMN($N$3:$DU$3)-COLUMN($N$3))&gt;='KALENDER MINGGU'!$B$13)*(($I105+COLUMN($N$3:$DU$3)-COLUMN($N$3))&lt;='KALENDER MINGGU'!$C$13)*(N105:DU105))/F105*H105</f>
        <v>0</v>
      </c>
      <c r="ED105" s="210">
        <f>SUMPRODUCT((($I105+COLUMN($N$3:$DU$3)-COLUMN($N$3))&gt;='KALENDER MINGGU'!$B$14)*(($I105+COLUMN($N$3:$DU$3)-COLUMN($N$3))&lt;='KALENDER MINGGU'!$C$14)*(N105:DU105))/F105*H105</f>
        <v>0</v>
      </c>
      <c r="EE105" s="210">
        <f>SUMPRODUCT((($I105+COLUMN($N$3:$DU$3)-COLUMN($N$3))&gt;='KALENDER MINGGU'!$B$15)*(($I105+COLUMN($N$3:$DU$3)-COLUMN($N$3))&lt;='KALENDER MINGGU'!$C$15)*(N105:DU105))/F105*H105</f>
        <v>0</v>
      </c>
      <c r="EF105" s="210">
        <f>SUMPRODUCT((($I105+COLUMN($N$3:$DU$3)-COLUMN($N$3))&gt;='KALENDER MINGGU'!$B$16)*(($I105+COLUMN($N$3:$DU$3)-COLUMN($N$3))&lt;='KALENDER MINGGU'!$C$16)*(N105:DU105))/F105*H105</f>
        <v>0</v>
      </c>
      <c r="EG105" s="210">
        <f>SUMPRODUCT((($I105+COLUMN($N$3:$DU$3)-COLUMN($N$3))&gt;='KALENDER MINGGU'!$B$17)*(($I105+COLUMN($N$3:$DU$3)-COLUMN($N$3))&lt;='KALENDER MINGGU'!$C$17)*(N105:DU105))/F105*H105</f>
        <v>0</v>
      </c>
      <c r="EH105" s="210">
        <f>SUMPRODUCT((($I105+COLUMN($N$3:$DU$3)-COLUMN($N$3))&gt;='KALENDER MINGGU'!$B$18)*(($I105+COLUMN($N$3:$DU$3)-COLUMN($N$3))&lt;='KALENDER MINGGU'!$C$18)*(N105:DU105))/F105*H105</f>
        <v>0</v>
      </c>
      <c r="EI105" s="210">
        <f>SUMPRODUCT((($I105+COLUMN($N$3:$DU$3)-COLUMN($N$3))&gt;='KALENDER MINGGU'!$B$19)*(($I105+COLUMN($N$3:$DU$3)-COLUMN($N$3))&lt;='KALENDER MINGGU'!$C$19)*(N105:DU105))/F105*H105</f>
        <v>0</v>
      </c>
      <c r="EJ105" s="210">
        <f>SUMPRODUCT((($I105+COLUMN($N$3:$DU$3)-COLUMN($N$3))&gt;='KALENDER MINGGU'!$B$20)*(($I105+COLUMN($N$3:$DU$3)-COLUMN($N$3))&lt;='KALENDER MINGGU'!$C$20)*(N105:DU105))/F105*H105</f>
        <v>0</v>
      </c>
      <c r="EK105" s="210">
        <f>SUMPRODUCT((($I105+COLUMN($N$3:$DU$3)-COLUMN($N$3))&gt;='KALENDER MINGGU'!$B$21)*(($I105+COLUMN($N$3:$DU$3)-COLUMN($N$3))&lt;='KALENDER MINGGU'!$C$21)*(N105:DU105))/F105*H105</f>
        <v>0</v>
      </c>
    </row>
    <row r="106" spans="1:141" ht="15" customHeight="1" x14ac:dyDescent="0.2">
      <c r="A106" s="208">
        <v>102</v>
      </c>
      <c r="B106" s="208">
        <v>179</v>
      </c>
      <c r="C106" s="208" t="str">
        <f>IF(B106&lt;160,'BOBOT PEK'!$B$4,IF(B106&lt;207,'BOBOT PEK'!$B$160,'BOBOT PEK'!$B$207))</f>
        <v>Pekerjaan Gudang Atas</v>
      </c>
      <c r="D106" s="208" t="s">
        <v>49</v>
      </c>
      <c r="E106" s="208" t="str">
        <f>'BOBOT PEK'!C179</f>
        <v>marking garis</v>
      </c>
      <c r="F106" s="209">
        <f>IF(OR('BOBOT PEK'!E179="",'BOBOT PEK'!E179=0),1,'BOBOT PEK'!E179)</f>
        <v>0.5</v>
      </c>
      <c r="G106" s="208" t="str">
        <f>IF('BOBOT PEK'!F179="","ls",'BOBOT PEK'!F179)</f>
        <v>ls</v>
      </c>
      <c r="H106" s="210">
        <f>'BOBOT PEK'!J179</f>
        <v>1.9187809722301191E-2</v>
      </c>
      <c r="I106" s="211">
        <f>'KALENDER MINGGU'!$B$3</f>
        <v>46226</v>
      </c>
      <c r="J106" s="209">
        <f t="shared" si="12"/>
        <v>0</v>
      </c>
      <c r="K106" s="209">
        <f t="shared" si="13"/>
        <v>0.5</v>
      </c>
      <c r="L106" s="212">
        <f t="shared" si="14"/>
        <v>0</v>
      </c>
      <c r="M106" s="208" t="str">
        <f t="shared" si="15"/>
        <v>OK</v>
      </c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3"/>
      <c r="AC106" s="213"/>
      <c r="AD106" s="213"/>
      <c r="AE106" s="213"/>
      <c r="AF106" s="213"/>
      <c r="AG106" s="213"/>
      <c r="AH106" s="213"/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13"/>
      <c r="AT106" s="213"/>
      <c r="AU106" s="213"/>
      <c r="AV106" s="213"/>
      <c r="AW106" s="213"/>
      <c r="AX106" s="213"/>
      <c r="AY106" s="213"/>
      <c r="AZ106" s="213"/>
      <c r="BA106" s="213"/>
      <c r="BB106" s="213"/>
      <c r="BC106" s="213"/>
      <c r="BD106" s="213"/>
      <c r="BE106" s="213"/>
      <c r="BF106" s="213"/>
      <c r="BG106" s="213"/>
      <c r="BH106" s="213"/>
      <c r="BI106" s="213"/>
      <c r="BJ106" s="213"/>
      <c r="BK106" s="213"/>
      <c r="BL106" s="213"/>
      <c r="BM106" s="213"/>
      <c r="BN106" s="213"/>
      <c r="BO106" s="213"/>
      <c r="BP106" s="213"/>
      <c r="BQ106" s="213"/>
      <c r="BR106" s="213"/>
      <c r="BS106" s="213"/>
      <c r="BT106" s="213"/>
      <c r="BU106" s="213"/>
      <c r="BV106" s="213"/>
      <c r="BW106" s="213"/>
      <c r="BX106" s="213"/>
      <c r="BY106" s="213"/>
      <c r="BZ106" s="213"/>
      <c r="CA106" s="213"/>
      <c r="CB106" s="213"/>
      <c r="CC106" s="213"/>
      <c r="CD106" s="213"/>
      <c r="CE106" s="213"/>
      <c r="CF106" s="213"/>
      <c r="CG106" s="213"/>
      <c r="CH106" s="213"/>
      <c r="CI106" s="213"/>
      <c r="CJ106" s="213"/>
      <c r="CK106" s="213"/>
      <c r="CL106" s="213"/>
      <c r="CM106" s="213"/>
      <c r="CN106" s="213"/>
      <c r="CO106" s="213"/>
      <c r="CP106" s="213"/>
      <c r="CQ106" s="213"/>
      <c r="CR106" s="213"/>
      <c r="CS106" s="213"/>
      <c r="CT106" s="213"/>
      <c r="CU106" s="213"/>
      <c r="CV106" s="213"/>
      <c r="CW106" s="213"/>
      <c r="CX106" s="213"/>
      <c r="CY106" s="213"/>
      <c r="CZ106" s="213"/>
      <c r="DA106" s="213"/>
      <c r="DB106" s="213"/>
      <c r="DC106" s="213"/>
      <c r="DD106" s="213"/>
      <c r="DE106" s="213"/>
      <c r="DF106" s="213"/>
      <c r="DG106" s="213"/>
      <c r="DH106" s="213"/>
      <c r="DI106" s="213"/>
      <c r="DJ106" s="213"/>
      <c r="DK106" s="213"/>
      <c r="DL106" s="213"/>
      <c r="DM106" s="213"/>
      <c r="DN106" s="213"/>
      <c r="DO106" s="213"/>
      <c r="DP106" s="213"/>
      <c r="DQ106" s="213"/>
      <c r="DR106" s="213"/>
      <c r="DS106" s="213"/>
      <c r="DT106" s="213"/>
      <c r="DU106" s="213"/>
      <c r="DV106" s="210">
        <f>SUMPRODUCT((($I106+COLUMN($N$3:$DU$3)-COLUMN($N$3))&gt;='KALENDER MINGGU'!$B$6)*(($I106+COLUMN($N$3:$DU$3)-COLUMN($N$3))&lt;='KALENDER MINGGU'!$C$6)*(N106:DU106))/F106*H106</f>
        <v>0</v>
      </c>
      <c r="DW106" s="210">
        <f>SUMPRODUCT((($I106+COLUMN($N$3:$DU$3)-COLUMN($N$3))&gt;='KALENDER MINGGU'!$B$7)*(($I106+COLUMN($N$3:$DU$3)-COLUMN($N$3))&lt;='KALENDER MINGGU'!$C$7)*(N106:DU106))/F106*H106</f>
        <v>0</v>
      </c>
      <c r="DX106" s="210">
        <f>SUMPRODUCT((($I106+COLUMN($N$3:$DU$3)-COLUMN($N$3))&gt;='KALENDER MINGGU'!$B$8)*(($I106+COLUMN($N$3:$DU$3)-COLUMN($N$3))&lt;='KALENDER MINGGU'!$C$8)*(N106:DU106))/F106*H106</f>
        <v>0</v>
      </c>
      <c r="DY106" s="210">
        <f>SUMPRODUCT((($I106+COLUMN($N$3:$DU$3)-COLUMN($N$3))&gt;='KALENDER MINGGU'!$B$9)*(($I106+COLUMN($N$3:$DU$3)-COLUMN($N$3))&lt;='KALENDER MINGGU'!$C$9)*(N106:DU106))/F106*H106</f>
        <v>0</v>
      </c>
      <c r="DZ106" s="210">
        <f>SUMPRODUCT((($I106+COLUMN($N$3:$DU$3)-COLUMN($N$3))&gt;='KALENDER MINGGU'!$B$10)*(($I106+COLUMN($N$3:$DU$3)-COLUMN($N$3))&lt;='KALENDER MINGGU'!$C$10)*(N106:DU106))/F106*H106</f>
        <v>0</v>
      </c>
      <c r="EA106" s="210">
        <f>SUMPRODUCT((($I106+COLUMN($N$3:$DU$3)-COLUMN($N$3))&gt;='KALENDER MINGGU'!$B$11)*(($I106+COLUMN($N$3:$DU$3)-COLUMN($N$3))&lt;='KALENDER MINGGU'!$C$11)*(N106:DU106))/F106*H106</f>
        <v>0</v>
      </c>
      <c r="EB106" s="210">
        <f>SUMPRODUCT((($I106+COLUMN($N$3:$DU$3)-COLUMN($N$3))&gt;='KALENDER MINGGU'!$B$12)*(($I106+COLUMN($N$3:$DU$3)-COLUMN($N$3))&lt;='KALENDER MINGGU'!$C$12)*(N106:DU106))/F106*H106</f>
        <v>0</v>
      </c>
      <c r="EC106" s="210">
        <f>SUMPRODUCT((($I106+COLUMN($N$3:$DU$3)-COLUMN($N$3))&gt;='KALENDER MINGGU'!$B$13)*(($I106+COLUMN($N$3:$DU$3)-COLUMN($N$3))&lt;='KALENDER MINGGU'!$C$13)*(N106:DU106))/F106*H106</f>
        <v>0</v>
      </c>
      <c r="ED106" s="210">
        <f>SUMPRODUCT((($I106+COLUMN($N$3:$DU$3)-COLUMN($N$3))&gt;='KALENDER MINGGU'!$B$14)*(($I106+COLUMN($N$3:$DU$3)-COLUMN($N$3))&lt;='KALENDER MINGGU'!$C$14)*(N106:DU106))/F106*H106</f>
        <v>0</v>
      </c>
      <c r="EE106" s="210">
        <f>SUMPRODUCT((($I106+COLUMN($N$3:$DU$3)-COLUMN($N$3))&gt;='KALENDER MINGGU'!$B$15)*(($I106+COLUMN($N$3:$DU$3)-COLUMN($N$3))&lt;='KALENDER MINGGU'!$C$15)*(N106:DU106))/F106*H106</f>
        <v>0</v>
      </c>
      <c r="EF106" s="210">
        <f>SUMPRODUCT((($I106+COLUMN($N$3:$DU$3)-COLUMN($N$3))&gt;='KALENDER MINGGU'!$B$16)*(($I106+COLUMN($N$3:$DU$3)-COLUMN($N$3))&lt;='KALENDER MINGGU'!$C$16)*(N106:DU106))/F106*H106</f>
        <v>0</v>
      </c>
      <c r="EG106" s="210">
        <f>SUMPRODUCT((($I106+COLUMN($N$3:$DU$3)-COLUMN($N$3))&gt;='KALENDER MINGGU'!$B$17)*(($I106+COLUMN($N$3:$DU$3)-COLUMN($N$3))&lt;='KALENDER MINGGU'!$C$17)*(N106:DU106))/F106*H106</f>
        <v>0</v>
      </c>
      <c r="EH106" s="210">
        <f>SUMPRODUCT((($I106+COLUMN($N$3:$DU$3)-COLUMN($N$3))&gt;='KALENDER MINGGU'!$B$18)*(($I106+COLUMN($N$3:$DU$3)-COLUMN($N$3))&lt;='KALENDER MINGGU'!$C$18)*(N106:DU106))/F106*H106</f>
        <v>0</v>
      </c>
      <c r="EI106" s="210">
        <f>SUMPRODUCT((($I106+COLUMN($N$3:$DU$3)-COLUMN($N$3))&gt;='KALENDER MINGGU'!$B$19)*(($I106+COLUMN($N$3:$DU$3)-COLUMN($N$3))&lt;='KALENDER MINGGU'!$C$19)*(N106:DU106))/F106*H106</f>
        <v>0</v>
      </c>
      <c r="EJ106" s="210">
        <f>SUMPRODUCT((($I106+COLUMN($N$3:$DU$3)-COLUMN($N$3))&gt;='KALENDER MINGGU'!$B$20)*(($I106+COLUMN($N$3:$DU$3)-COLUMN($N$3))&lt;='KALENDER MINGGU'!$C$20)*(N106:DU106))/F106*H106</f>
        <v>0</v>
      </c>
      <c r="EK106" s="210">
        <f>SUMPRODUCT((($I106+COLUMN($N$3:$DU$3)-COLUMN($N$3))&gt;='KALENDER MINGGU'!$B$21)*(($I106+COLUMN($N$3:$DU$3)-COLUMN($N$3))&lt;='KALENDER MINGGU'!$C$21)*(N106:DU106))/F106*H106</f>
        <v>0</v>
      </c>
    </row>
    <row r="107" spans="1:141" ht="15" customHeight="1" x14ac:dyDescent="0.2">
      <c r="A107" s="208">
        <v>103</v>
      </c>
      <c r="B107" s="208">
        <v>193</v>
      </c>
      <c r="C107" s="208" t="str">
        <f>IF(B107&lt;160,'BOBOT PEK'!$B$4,IF(B107&lt;207,'BOBOT PEK'!$B$160,'BOBOT PEK'!$B$207))</f>
        <v>Pekerjaan Gudang Atas</v>
      </c>
      <c r="D107" s="208" t="s">
        <v>80</v>
      </c>
      <c r="E107" s="208" t="str">
        <f>'BOBOT PEK'!C193</f>
        <v>Pembuatan partisi gudang</v>
      </c>
      <c r="F107" s="209">
        <f>IF(OR('BOBOT PEK'!E193="",'BOBOT PEK'!E193=0),1,'BOBOT PEK'!E193)</f>
        <v>39</v>
      </c>
      <c r="G107" s="208" t="str">
        <f>IF('BOBOT PEK'!F193="","ls",'BOBOT PEK'!F193)</f>
        <v>m2</v>
      </c>
      <c r="H107" s="210">
        <f>'BOBOT PEK'!J193</f>
        <v>0.34921813694588166</v>
      </c>
      <c r="I107" s="211">
        <f>'KALENDER MINGGU'!$B$3</f>
        <v>46226</v>
      </c>
      <c r="J107" s="209">
        <f t="shared" si="12"/>
        <v>22.8</v>
      </c>
      <c r="K107" s="209">
        <f t="shared" si="13"/>
        <v>16.2</v>
      </c>
      <c r="L107" s="212">
        <f t="shared" si="14"/>
        <v>0.58461538461538465</v>
      </c>
      <c r="M107" s="208" t="str">
        <f t="shared" si="15"/>
        <v>OK</v>
      </c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>
        <f>20%*F107</f>
        <v>7.8000000000000007</v>
      </c>
      <c r="AV107" s="213"/>
      <c r="AW107" s="213"/>
      <c r="AX107" s="213"/>
      <c r="AY107" s="213"/>
      <c r="AZ107" s="213"/>
      <c r="BA107" s="213"/>
      <c r="BB107" s="213"/>
      <c r="BC107" s="213"/>
      <c r="BD107" s="213"/>
      <c r="BE107" s="213"/>
      <c r="BF107" s="213"/>
      <c r="BG107" s="213"/>
      <c r="BH107" s="213"/>
      <c r="BI107" s="213"/>
      <c r="BJ107" s="213"/>
      <c r="BK107" s="213"/>
      <c r="BL107" s="213"/>
      <c r="BM107" s="213"/>
      <c r="BN107" s="213"/>
      <c r="BO107" s="213"/>
      <c r="BP107" s="213"/>
      <c r="BQ107" s="213"/>
      <c r="BR107" s="213"/>
      <c r="BS107" s="213"/>
      <c r="BT107" s="213"/>
      <c r="BU107" s="213"/>
      <c r="BV107" s="213"/>
      <c r="BW107" s="213"/>
      <c r="BX107" s="213"/>
      <c r="BY107" s="213"/>
      <c r="BZ107" s="213"/>
      <c r="CA107" s="213">
        <v>5</v>
      </c>
      <c r="CB107" s="213">
        <v>5</v>
      </c>
      <c r="CC107" s="213">
        <v>5</v>
      </c>
      <c r="CD107" s="213"/>
      <c r="CE107" s="213"/>
      <c r="CF107" s="213"/>
      <c r="CG107" s="213"/>
      <c r="CH107" s="213"/>
      <c r="CI107" s="213"/>
      <c r="CJ107" s="213"/>
      <c r="CK107" s="213"/>
      <c r="CL107" s="213"/>
      <c r="CM107" s="213"/>
      <c r="CN107" s="213"/>
      <c r="CO107" s="213"/>
      <c r="CP107" s="213"/>
      <c r="CQ107" s="213"/>
      <c r="CR107" s="213"/>
      <c r="CS107" s="213"/>
      <c r="CT107" s="213"/>
      <c r="CU107" s="213"/>
      <c r="CV107" s="213"/>
      <c r="CW107" s="213"/>
      <c r="CX107" s="213"/>
      <c r="CY107" s="213"/>
      <c r="CZ107" s="213"/>
      <c r="DA107" s="213"/>
      <c r="DB107" s="213"/>
      <c r="DC107" s="213"/>
      <c r="DD107" s="213"/>
      <c r="DE107" s="213"/>
      <c r="DF107" s="213"/>
      <c r="DG107" s="213"/>
      <c r="DH107" s="213"/>
      <c r="DI107" s="213"/>
      <c r="DJ107" s="213"/>
      <c r="DK107" s="213"/>
      <c r="DL107" s="213"/>
      <c r="DM107" s="213"/>
      <c r="DN107" s="213"/>
      <c r="DO107" s="213"/>
      <c r="DP107" s="213"/>
      <c r="DQ107" s="213"/>
      <c r="DR107" s="213"/>
      <c r="DS107" s="213"/>
      <c r="DT107" s="213"/>
      <c r="DU107" s="213"/>
      <c r="DV107" s="210">
        <f>SUMPRODUCT((($I107+COLUMN($N$3:$DU$3)-COLUMN($N$3))&gt;='KALENDER MINGGU'!$B$6)*(($I107+COLUMN($N$3:$DU$3)-COLUMN($N$3))&lt;='KALENDER MINGGU'!$C$6)*(N107:DU107))/F107*H107</f>
        <v>0</v>
      </c>
      <c r="DW107" s="210">
        <f>SUMPRODUCT((($I107+COLUMN($N$3:$DU$3)-COLUMN($N$3))&gt;='KALENDER MINGGU'!$B$7)*(($I107+COLUMN($N$3:$DU$3)-COLUMN($N$3))&lt;='KALENDER MINGGU'!$C$7)*(N107:DU107))/F107*H107</f>
        <v>0</v>
      </c>
      <c r="DX107" s="210">
        <f>SUMPRODUCT((($I107+COLUMN($N$3:$DU$3)-COLUMN($N$3))&gt;='KALENDER MINGGU'!$B$8)*(($I107+COLUMN($N$3:$DU$3)-COLUMN($N$3))&lt;='KALENDER MINGGU'!$C$8)*(N107:DU107))/F107*H107</f>
        <v>0</v>
      </c>
      <c r="DY107" s="210">
        <f>SUMPRODUCT((($I107+COLUMN($N$3:$DU$3)-COLUMN($N$3))&gt;='KALENDER MINGGU'!$B$9)*(($I107+COLUMN($N$3:$DU$3)-COLUMN($N$3))&lt;='KALENDER MINGGU'!$C$9)*(N107:DU107))/F107*H107</f>
        <v>0</v>
      </c>
      <c r="DZ107" s="210">
        <f>SUMPRODUCT((($I107+COLUMN($N$3:$DU$3)-COLUMN($N$3))&gt;='KALENDER MINGGU'!$B$10)*(($I107+COLUMN($N$3:$DU$3)-COLUMN($N$3))&lt;='KALENDER MINGGU'!$C$10)*(N107:DU107))/F107*H107</f>
        <v>6.9843627389176335E-2</v>
      </c>
      <c r="EA107" s="210">
        <f>SUMPRODUCT((($I107+COLUMN($N$3:$DU$3)-COLUMN($N$3))&gt;='KALENDER MINGGU'!$B$11)*(($I107+COLUMN($N$3:$DU$3)-COLUMN($N$3))&lt;='KALENDER MINGGU'!$C$11)*(N107:DU107))/F107*H107</f>
        <v>0</v>
      </c>
      <c r="EB107" s="210">
        <f>SUMPRODUCT((($I107+COLUMN($N$3:$DU$3)-COLUMN($N$3))&gt;='KALENDER MINGGU'!$B$12)*(($I107+COLUMN($N$3:$DU$3)-COLUMN($N$3))&lt;='KALENDER MINGGU'!$C$12)*(N107:DU107))/F107*H107</f>
        <v>0</v>
      </c>
      <c r="EC107" s="210">
        <f>SUMPRODUCT((($I107+COLUMN($N$3:$DU$3)-COLUMN($N$3))&gt;='KALENDER MINGGU'!$B$13)*(($I107+COLUMN($N$3:$DU$3)-COLUMN($N$3))&lt;='KALENDER MINGGU'!$C$13)*(N107:DU107))/F107*H107</f>
        <v>0</v>
      </c>
      <c r="ED107" s="210">
        <f>SUMPRODUCT((($I107+COLUMN($N$3:$DU$3)-COLUMN($N$3))&gt;='KALENDER MINGGU'!$B$14)*(($I107+COLUMN($N$3:$DU$3)-COLUMN($N$3))&lt;='KALENDER MINGGU'!$C$14)*(N107:DU107))/F107*H107</f>
        <v>0</v>
      </c>
      <c r="EE107" s="210">
        <f>SUMPRODUCT((($I107+COLUMN($N$3:$DU$3)-COLUMN($N$3))&gt;='KALENDER MINGGU'!$B$15)*(($I107+COLUMN($N$3:$DU$3)-COLUMN($N$3))&lt;='KALENDER MINGGU'!$C$15)*(N107:DU107))/F107*H107</f>
        <v>0.13431466805610834</v>
      </c>
      <c r="EF107" s="210">
        <f>SUMPRODUCT((($I107+COLUMN($N$3:$DU$3)-COLUMN($N$3))&gt;='KALENDER MINGGU'!$B$16)*(($I107+COLUMN($N$3:$DU$3)-COLUMN($N$3))&lt;='KALENDER MINGGU'!$C$16)*(N107:DU107))/F107*H107</f>
        <v>0</v>
      </c>
      <c r="EG107" s="210">
        <f>SUMPRODUCT((($I107+COLUMN($N$3:$DU$3)-COLUMN($N$3))&gt;='KALENDER MINGGU'!$B$17)*(($I107+COLUMN($N$3:$DU$3)-COLUMN($N$3))&lt;='KALENDER MINGGU'!$C$17)*(N107:DU107))/F107*H107</f>
        <v>0</v>
      </c>
      <c r="EH107" s="210">
        <f>SUMPRODUCT((($I107+COLUMN($N$3:$DU$3)-COLUMN($N$3))&gt;='KALENDER MINGGU'!$B$18)*(($I107+COLUMN($N$3:$DU$3)-COLUMN($N$3))&lt;='KALENDER MINGGU'!$C$18)*(N107:DU107))/F107*H107</f>
        <v>0</v>
      </c>
      <c r="EI107" s="210">
        <f>SUMPRODUCT((($I107+COLUMN($N$3:$DU$3)-COLUMN($N$3))&gt;='KALENDER MINGGU'!$B$19)*(($I107+COLUMN($N$3:$DU$3)-COLUMN($N$3))&lt;='KALENDER MINGGU'!$C$19)*(N107:DU107))/F107*H107</f>
        <v>0</v>
      </c>
      <c r="EJ107" s="210">
        <f>SUMPRODUCT((($I107+COLUMN($N$3:$DU$3)-COLUMN($N$3))&gt;='KALENDER MINGGU'!$B$20)*(($I107+COLUMN($N$3:$DU$3)-COLUMN($N$3))&lt;='KALENDER MINGGU'!$C$20)*(N107:DU107))/F107*H107</f>
        <v>0</v>
      </c>
      <c r="EK107" s="210">
        <f>SUMPRODUCT((($I107+COLUMN($N$3:$DU$3)-COLUMN($N$3))&gt;='KALENDER MINGGU'!$B$21)*(($I107+COLUMN($N$3:$DU$3)-COLUMN($N$3))&lt;='KALENDER MINGGU'!$C$21)*(N107:DU107))/F107*H107</f>
        <v>0</v>
      </c>
    </row>
    <row r="108" spans="1:141" ht="15" customHeight="1" x14ac:dyDescent="0.2">
      <c r="A108" s="208">
        <v>104</v>
      </c>
      <c r="B108" s="208">
        <v>194</v>
      </c>
      <c r="C108" s="208" t="str">
        <f>IF(B108&lt;160,'BOBOT PEK'!$B$4,IF(B108&lt;207,'BOBOT PEK'!$B$160,'BOBOT PEK'!$B$207))</f>
        <v>Pekerjaan Gudang Atas</v>
      </c>
      <c r="D108" s="208" t="s">
        <v>80</v>
      </c>
      <c r="E108" s="208" t="str">
        <f>'BOBOT PEK'!C194</f>
        <v>Pembuatan pintu gudang (kupu tarung)</v>
      </c>
      <c r="F108" s="209">
        <f>IF(OR('BOBOT PEK'!E194="",'BOBOT PEK'!E194=0),1,'BOBOT PEK'!E194)</f>
        <v>1</v>
      </c>
      <c r="G108" s="208" t="str">
        <f>IF('BOBOT PEK'!F194="","ls",'BOBOT PEK'!F194)</f>
        <v>ls</v>
      </c>
      <c r="H108" s="210">
        <f>'BOBOT PEK'!J194</f>
        <v>7.6751238889204765E-2</v>
      </c>
      <c r="I108" s="211">
        <f>'KALENDER MINGGU'!$B$3</f>
        <v>46226</v>
      </c>
      <c r="J108" s="209">
        <f t="shared" si="12"/>
        <v>0</v>
      </c>
      <c r="K108" s="209">
        <f t="shared" si="13"/>
        <v>1</v>
      </c>
      <c r="L108" s="212">
        <f t="shared" si="14"/>
        <v>0</v>
      </c>
      <c r="M108" s="208" t="str">
        <f t="shared" si="15"/>
        <v>OK</v>
      </c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213"/>
      <c r="AE108" s="213"/>
      <c r="AF108" s="213"/>
      <c r="AG108" s="213"/>
      <c r="AH108" s="213"/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  <c r="BC108" s="213"/>
      <c r="BD108" s="213"/>
      <c r="BE108" s="213"/>
      <c r="BF108" s="213"/>
      <c r="BG108" s="213"/>
      <c r="BH108" s="213"/>
      <c r="BI108" s="213"/>
      <c r="BJ108" s="213"/>
      <c r="BK108" s="213"/>
      <c r="BL108" s="213"/>
      <c r="BM108" s="213"/>
      <c r="BN108" s="213"/>
      <c r="BO108" s="213"/>
      <c r="BP108" s="213"/>
      <c r="BQ108" s="213"/>
      <c r="BR108" s="213"/>
      <c r="BS108" s="213"/>
      <c r="BT108" s="213"/>
      <c r="BU108" s="213"/>
      <c r="BV108" s="213"/>
      <c r="BW108" s="213"/>
      <c r="BX108" s="213"/>
      <c r="BY108" s="213"/>
      <c r="BZ108" s="213"/>
      <c r="CA108" s="213"/>
      <c r="CB108" s="213"/>
      <c r="CC108" s="213"/>
      <c r="CD108" s="213"/>
      <c r="CE108" s="213"/>
      <c r="CF108" s="213"/>
      <c r="CG108" s="213"/>
      <c r="CH108" s="213"/>
      <c r="CI108" s="213"/>
      <c r="CJ108" s="213"/>
      <c r="CK108" s="213"/>
      <c r="CL108" s="213"/>
      <c r="CM108" s="213"/>
      <c r="CN108" s="213"/>
      <c r="CO108" s="213"/>
      <c r="CP108" s="213"/>
      <c r="CQ108" s="213"/>
      <c r="CR108" s="213"/>
      <c r="CS108" s="213"/>
      <c r="CT108" s="213"/>
      <c r="CU108" s="213"/>
      <c r="CV108" s="213"/>
      <c r="CW108" s="213"/>
      <c r="CX108" s="213"/>
      <c r="CY108" s="213"/>
      <c r="CZ108" s="213"/>
      <c r="DA108" s="213"/>
      <c r="DB108" s="213"/>
      <c r="DC108" s="213"/>
      <c r="DD108" s="213"/>
      <c r="DE108" s="213"/>
      <c r="DF108" s="213"/>
      <c r="DG108" s="213"/>
      <c r="DH108" s="213"/>
      <c r="DI108" s="213"/>
      <c r="DJ108" s="213"/>
      <c r="DK108" s="213"/>
      <c r="DL108" s="213"/>
      <c r="DM108" s="213"/>
      <c r="DN108" s="213"/>
      <c r="DO108" s="213"/>
      <c r="DP108" s="213"/>
      <c r="DQ108" s="213"/>
      <c r="DR108" s="213"/>
      <c r="DS108" s="213"/>
      <c r="DT108" s="213"/>
      <c r="DU108" s="213"/>
      <c r="DV108" s="210">
        <f>SUMPRODUCT((($I108+COLUMN($N$3:$DU$3)-COLUMN($N$3))&gt;='KALENDER MINGGU'!$B$6)*(($I108+COLUMN($N$3:$DU$3)-COLUMN($N$3))&lt;='KALENDER MINGGU'!$C$6)*(N108:DU108))/F108*H108</f>
        <v>0</v>
      </c>
      <c r="DW108" s="210">
        <f>SUMPRODUCT((($I108+COLUMN($N$3:$DU$3)-COLUMN($N$3))&gt;='KALENDER MINGGU'!$B$7)*(($I108+COLUMN($N$3:$DU$3)-COLUMN($N$3))&lt;='KALENDER MINGGU'!$C$7)*(N108:DU108))/F108*H108</f>
        <v>0</v>
      </c>
      <c r="DX108" s="210">
        <f>SUMPRODUCT((($I108+COLUMN($N$3:$DU$3)-COLUMN($N$3))&gt;='KALENDER MINGGU'!$B$8)*(($I108+COLUMN($N$3:$DU$3)-COLUMN($N$3))&lt;='KALENDER MINGGU'!$C$8)*(N108:DU108))/F108*H108</f>
        <v>0</v>
      </c>
      <c r="DY108" s="210">
        <f>SUMPRODUCT((($I108+COLUMN($N$3:$DU$3)-COLUMN($N$3))&gt;='KALENDER MINGGU'!$B$9)*(($I108+COLUMN($N$3:$DU$3)-COLUMN($N$3))&lt;='KALENDER MINGGU'!$C$9)*(N108:DU108))/F108*H108</f>
        <v>0</v>
      </c>
      <c r="DZ108" s="210">
        <f>SUMPRODUCT((($I108+COLUMN($N$3:$DU$3)-COLUMN($N$3))&gt;='KALENDER MINGGU'!$B$10)*(($I108+COLUMN($N$3:$DU$3)-COLUMN($N$3))&lt;='KALENDER MINGGU'!$C$10)*(N108:DU108))/F108*H108</f>
        <v>0</v>
      </c>
      <c r="EA108" s="210">
        <f>SUMPRODUCT((($I108+COLUMN($N$3:$DU$3)-COLUMN($N$3))&gt;='KALENDER MINGGU'!$B$11)*(($I108+COLUMN($N$3:$DU$3)-COLUMN($N$3))&lt;='KALENDER MINGGU'!$C$11)*(N108:DU108))/F108*H108</f>
        <v>0</v>
      </c>
      <c r="EB108" s="210">
        <f>SUMPRODUCT((($I108+COLUMN($N$3:$DU$3)-COLUMN($N$3))&gt;='KALENDER MINGGU'!$B$12)*(($I108+COLUMN($N$3:$DU$3)-COLUMN($N$3))&lt;='KALENDER MINGGU'!$C$12)*(N108:DU108))/F108*H108</f>
        <v>0</v>
      </c>
      <c r="EC108" s="210">
        <f>SUMPRODUCT((($I108+COLUMN($N$3:$DU$3)-COLUMN($N$3))&gt;='KALENDER MINGGU'!$B$13)*(($I108+COLUMN($N$3:$DU$3)-COLUMN($N$3))&lt;='KALENDER MINGGU'!$C$13)*(N108:DU108))/F108*H108</f>
        <v>0</v>
      </c>
      <c r="ED108" s="210">
        <f>SUMPRODUCT((($I108+COLUMN($N$3:$DU$3)-COLUMN($N$3))&gt;='KALENDER MINGGU'!$B$14)*(($I108+COLUMN($N$3:$DU$3)-COLUMN($N$3))&lt;='KALENDER MINGGU'!$C$14)*(N108:DU108))/F108*H108</f>
        <v>0</v>
      </c>
      <c r="EE108" s="210">
        <f>SUMPRODUCT((($I108+COLUMN($N$3:$DU$3)-COLUMN($N$3))&gt;='KALENDER MINGGU'!$B$15)*(($I108+COLUMN($N$3:$DU$3)-COLUMN($N$3))&lt;='KALENDER MINGGU'!$C$15)*(N108:DU108))/F108*H108</f>
        <v>0</v>
      </c>
      <c r="EF108" s="210">
        <f>SUMPRODUCT((($I108+COLUMN($N$3:$DU$3)-COLUMN($N$3))&gt;='KALENDER MINGGU'!$B$16)*(($I108+COLUMN($N$3:$DU$3)-COLUMN($N$3))&lt;='KALENDER MINGGU'!$C$16)*(N108:DU108))/F108*H108</f>
        <v>0</v>
      </c>
      <c r="EG108" s="210">
        <f>SUMPRODUCT((($I108+COLUMN($N$3:$DU$3)-COLUMN($N$3))&gt;='KALENDER MINGGU'!$B$17)*(($I108+COLUMN($N$3:$DU$3)-COLUMN($N$3))&lt;='KALENDER MINGGU'!$C$17)*(N108:DU108))/F108*H108</f>
        <v>0</v>
      </c>
      <c r="EH108" s="210">
        <f>SUMPRODUCT((($I108+COLUMN($N$3:$DU$3)-COLUMN($N$3))&gt;='KALENDER MINGGU'!$B$18)*(($I108+COLUMN($N$3:$DU$3)-COLUMN($N$3))&lt;='KALENDER MINGGU'!$C$18)*(N108:DU108))/F108*H108</f>
        <v>0</v>
      </c>
      <c r="EI108" s="210">
        <f>SUMPRODUCT((($I108+COLUMN($N$3:$DU$3)-COLUMN($N$3))&gt;='KALENDER MINGGU'!$B$19)*(($I108+COLUMN($N$3:$DU$3)-COLUMN($N$3))&lt;='KALENDER MINGGU'!$C$19)*(N108:DU108))/F108*H108</f>
        <v>0</v>
      </c>
      <c r="EJ108" s="210">
        <f>SUMPRODUCT((($I108+COLUMN($N$3:$DU$3)-COLUMN($N$3))&gt;='KALENDER MINGGU'!$B$20)*(($I108+COLUMN($N$3:$DU$3)-COLUMN($N$3))&lt;='KALENDER MINGGU'!$C$20)*(N108:DU108))/F108*H108</f>
        <v>0</v>
      </c>
      <c r="EK108" s="210">
        <f>SUMPRODUCT((($I108+COLUMN($N$3:$DU$3)-COLUMN($N$3))&gt;='KALENDER MINGGU'!$B$21)*(($I108+COLUMN($N$3:$DU$3)-COLUMN($N$3))&lt;='KALENDER MINGGU'!$C$21)*(N108:DU108))/F108*H108</f>
        <v>0</v>
      </c>
    </row>
    <row r="109" spans="1:141" ht="15" customHeight="1" x14ac:dyDescent="0.2">
      <c r="A109" s="208">
        <v>105</v>
      </c>
      <c r="B109" s="208">
        <v>195</v>
      </c>
      <c r="C109" s="208" t="str">
        <f>IF(B109&lt;160,'BOBOT PEK'!$B$4,IF(B109&lt;207,'BOBOT PEK'!$B$160,'BOBOT PEK'!$B$207))</f>
        <v>Pekerjaan Gudang Atas</v>
      </c>
      <c r="D109" s="208" t="s">
        <v>80</v>
      </c>
      <c r="E109" s="208" t="str">
        <f>'BOBOT PEK'!C195</f>
        <v>Pemasangan gypsum 1 sisi</v>
      </c>
      <c r="F109" s="209">
        <f>IF(OR('BOBOT PEK'!E195="",'BOBOT PEK'!E195=0),1,'BOBOT PEK'!E195)</f>
        <v>110</v>
      </c>
      <c r="G109" s="208" t="str">
        <f>IF('BOBOT PEK'!F195="","ls",'BOBOT PEK'!F195)</f>
        <v>m2</v>
      </c>
      <c r="H109" s="210">
        <f>'BOBOT PEK'!J195</f>
        <v>0.52062923713177223</v>
      </c>
      <c r="I109" s="211">
        <f>'KALENDER MINGGU'!$B$3</f>
        <v>46226</v>
      </c>
      <c r="J109" s="209">
        <f t="shared" si="12"/>
        <v>110</v>
      </c>
      <c r="K109" s="209">
        <f t="shared" si="13"/>
        <v>0</v>
      </c>
      <c r="L109" s="212">
        <f t="shared" si="14"/>
        <v>1</v>
      </c>
      <c r="M109" s="208" t="str">
        <f t="shared" si="15"/>
        <v>OK</v>
      </c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3"/>
      <c r="AD109" s="213"/>
      <c r="AE109" s="213"/>
      <c r="AF109" s="213"/>
      <c r="AG109" s="213"/>
      <c r="AH109" s="213"/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>
        <f>20%*F109</f>
        <v>22</v>
      </c>
      <c r="AV109" s="213"/>
      <c r="AW109" s="213"/>
      <c r="AX109" s="213">
        <v>20</v>
      </c>
      <c r="AY109" s="213">
        <v>25</v>
      </c>
      <c r="AZ109" s="213">
        <v>25</v>
      </c>
      <c r="BA109" s="213">
        <v>5</v>
      </c>
      <c r="BB109" s="213"/>
      <c r="BC109" s="213"/>
      <c r="BD109" s="213"/>
      <c r="BE109" s="213"/>
      <c r="BF109" s="213"/>
      <c r="BG109" s="213"/>
      <c r="BH109" s="213">
        <v>13</v>
      </c>
      <c r="BI109" s="213"/>
      <c r="BJ109" s="213"/>
      <c r="BK109" s="213"/>
      <c r="BL109" s="213"/>
      <c r="BM109" s="213"/>
      <c r="BN109" s="213"/>
      <c r="BO109" s="213"/>
      <c r="BP109" s="213"/>
      <c r="BQ109" s="213"/>
      <c r="BR109" s="213"/>
      <c r="BS109" s="213"/>
      <c r="BT109" s="213"/>
      <c r="BU109" s="213"/>
      <c r="BV109" s="213"/>
      <c r="BW109" s="213"/>
      <c r="BX109" s="213"/>
      <c r="BY109" s="213"/>
      <c r="BZ109" s="213"/>
      <c r="CA109" s="213"/>
      <c r="CB109" s="213"/>
      <c r="CC109" s="213"/>
      <c r="CD109" s="213"/>
      <c r="CE109" s="213"/>
      <c r="CF109" s="213"/>
      <c r="CG109" s="213"/>
      <c r="CH109" s="213"/>
      <c r="CI109" s="213"/>
      <c r="CJ109" s="213"/>
      <c r="CK109" s="213"/>
      <c r="CL109" s="213"/>
      <c r="CM109" s="213"/>
      <c r="CN109" s="213"/>
      <c r="CO109" s="213"/>
      <c r="CP109" s="213"/>
      <c r="CQ109" s="213"/>
      <c r="CR109" s="213"/>
      <c r="CS109" s="213"/>
      <c r="CT109" s="213"/>
      <c r="CU109" s="213"/>
      <c r="CV109" s="213"/>
      <c r="CW109" s="213"/>
      <c r="CX109" s="213"/>
      <c r="CY109" s="213"/>
      <c r="CZ109" s="213"/>
      <c r="DA109" s="213"/>
      <c r="DB109" s="213"/>
      <c r="DC109" s="213"/>
      <c r="DD109" s="213"/>
      <c r="DE109" s="213"/>
      <c r="DF109" s="213"/>
      <c r="DG109" s="213"/>
      <c r="DH109" s="213"/>
      <c r="DI109" s="213"/>
      <c r="DJ109" s="213"/>
      <c r="DK109" s="213"/>
      <c r="DL109" s="213"/>
      <c r="DM109" s="213"/>
      <c r="DN109" s="213"/>
      <c r="DO109" s="213"/>
      <c r="DP109" s="213"/>
      <c r="DQ109" s="213"/>
      <c r="DR109" s="213"/>
      <c r="DS109" s="213"/>
      <c r="DT109" s="213"/>
      <c r="DU109" s="213"/>
      <c r="DV109" s="210">
        <f>SUMPRODUCT((($I109+COLUMN($N$3:$DU$3)-COLUMN($N$3))&gt;='KALENDER MINGGU'!$B$6)*(($I109+COLUMN($N$3:$DU$3)-COLUMN($N$3))&lt;='KALENDER MINGGU'!$C$6)*(N109:DU109))/F109*H109</f>
        <v>0</v>
      </c>
      <c r="DW109" s="210">
        <f>SUMPRODUCT((($I109+COLUMN($N$3:$DU$3)-COLUMN($N$3))&gt;='KALENDER MINGGU'!$B$7)*(($I109+COLUMN($N$3:$DU$3)-COLUMN($N$3))&lt;='KALENDER MINGGU'!$C$7)*(N109:DU109))/F109*H109</f>
        <v>0</v>
      </c>
      <c r="DX109" s="210">
        <f>SUMPRODUCT((($I109+COLUMN($N$3:$DU$3)-COLUMN($N$3))&gt;='KALENDER MINGGU'!$B$8)*(($I109+COLUMN($N$3:$DU$3)-COLUMN($N$3))&lt;='KALENDER MINGGU'!$C$8)*(N109:DU109))/F109*H109</f>
        <v>0</v>
      </c>
      <c r="DY109" s="210">
        <f>SUMPRODUCT((($I109+COLUMN($N$3:$DU$3)-COLUMN($N$3))&gt;='KALENDER MINGGU'!$B$9)*(($I109+COLUMN($N$3:$DU$3)-COLUMN($N$3))&lt;='KALENDER MINGGU'!$C$9)*(N109:DU109))/F109*H109</f>
        <v>0</v>
      </c>
      <c r="DZ109" s="210">
        <f>SUMPRODUCT((($I109+COLUMN($N$3:$DU$3)-COLUMN($N$3))&gt;='KALENDER MINGGU'!$B$10)*(($I109+COLUMN($N$3:$DU$3)-COLUMN($N$3))&lt;='KALENDER MINGGU'!$C$10)*(N109:DU109))/F109*H109</f>
        <v>0.10412584742635445</v>
      </c>
      <c r="EA109" s="210">
        <f>SUMPRODUCT((($I109+COLUMN($N$3:$DU$3)-COLUMN($N$3))&gt;='KALENDER MINGGU'!$B$11)*(($I109+COLUMN($N$3:$DU$3)-COLUMN($N$3))&lt;='KALENDER MINGGU'!$C$11)*(N109:DU109))/F109*H109</f>
        <v>0.35497447986257197</v>
      </c>
      <c r="EB109" s="210">
        <f>SUMPRODUCT((($I109+COLUMN($N$3:$DU$3)-COLUMN($N$3))&gt;='KALENDER MINGGU'!$B$12)*(($I109+COLUMN($N$3:$DU$3)-COLUMN($N$3))&lt;='KALENDER MINGGU'!$C$12)*(N109:DU109))/F109*H109</f>
        <v>6.1528909842845807E-2</v>
      </c>
      <c r="EC109" s="210">
        <f>SUMPRODUCT((($I109+COLUMN($N$3:$DU$3)-COLUMN($N$3))&gt;='KALENDER MINGGU'!$B$13)*(($I109+COLUMN($N$3:$DU$3)-COLUMN($N$3))&lt;='KALENDER MINGGU'!$C$13)*(N109:DU109))/F109*H109</f>
        <v>0</v>
      </c>
      <c r="ED109" s="210">
        <f>SUMPRODUCT((($I109+COLUMN($N$3:$DU$3)-COLUMN($N$3))&gt;='KALENDER MINGGU'!$B$14)*(($I109+COLUMN($N$3:$DU$3)-COLUMN($N$3))&lt;='KALENDER MINGGU'!$C$14)*(N109:DU109))/F109*H109</f>
        <v>0</v>
      </c>
      <c r="EE109" s="210">
        <f>SUMPRODUCT((($I109+COLUMN($N$3:$DU$3)-COLUMN($N$3))&gt;='KALENDER MINGGU'!$B$15)*(($I109+COLUMN($N$3:$DU$3)-COLUMN($N$3))&lt;='KALENDER MINGGU'!$C$15)*(N109:DU109))/F109*H109</f>
        <v>0</v>
      </c>
      <c r="EF109" s="210">
        <f>SUMPRODUCT((($I109+COLUMN($N$3:$DU$3)-COLUMN($N$3))&gt;='KALENDER MINGGU'!$B$16)*(($I109+COLUMN($N$3:$DU$3)-COLUMN($N$3))&lt;='KALENDER MINGGU'!$C$16)*(N109:DU109))/F109*H109</f>
        <v>0</v>
      </c>
      <c r="EG109" s="210">
        <f>SUMPRODUCT((($I109+COLUMN($N$3:$DU$3)-COLUMN($N$3))&gt;='KALENDER MINGGU'!$B$17)*(($I109+COLUMN($N$3:$DU$3)-COLUMN($N$3))&lt;='KALENDER MINGGU'!$C$17)*(N109:DU109))/F109*H109</f>
        <v>0</v>
      </c>
      <c r="EH109" s="210">
        <f>SUMPRODUCT((($I109+COLUMN($N$3:$DU$3)-COLUMN($N$3))&gt;='KALENDER MINGGU'!$B$18)*(($I109+COLUMN($N$3:$DU$3)-COLUMN($N$3))&lt;='KALENDER MINGGU'!$C$18)*(N109:DU109))/F109*H109</f>
        <v>0</v>
      </c>
      <c r="EI109" s="210">
        <f>SUMPRODUCT((($I109+COLUMN($N$3:$DU$3)-COLUMN($N$3))&gt;='KALENDER MINGGU'!$B$19)*(($I109+COLUMN($N$3:$DU$3)-COLUMN($N$3))&lt;='KALENDER MINGGU'!$C$19)*(N109:DU109))/F109*H109</f>
        <v>0</v>
      </c>
      <c r="EJ109" s="210">
        <f>SUMPRODUCT((($I109+COLUMN($N$3:$DU$3)-COLUMN($N$3))&gt;='KALENDER MINGGU'!$B$20)*(($I109+COLUMN($N$3:$DU$3)-COLUMN($N$3))&lt;='KALENDER MINGGU'!$C$20)*(N109:DU109))/F109*H109</f>
        <v>0</v>
      </c>
      <c r="EK109" s="210">
        <f>SUMPRODUCT((($I109+COLUMN($N$3:$DU$3)-COLUMN($N$3))&gt;='KALENDER MINGGU'!$B$21)*(($I109+COLUMN($N$3:$DU$3)-COLUMN($N$3))&lt;='KALENDER MINGGU'!$C$21)*(N109:DU109))/F109*H109</f>
        <v>0</v>
      </c>
    </row>
    <row r="110" spans="1:141" ht="15" customHeight="1" x14ac:dyDescent="0.2">
      <c r="A110" s="208">
        <v>106</v>
      </c>
      <c r="B110" s="208">
        <v>196</v>
      </c>
      <c r="C110" s="208" t="str">
        <f>IF(B110&lt;160,'BOBOT PEK'!$B$4,IF(B110&lt;207,'BOBOT PEK'!$B$160,'BOBOT PEK'!$B$207))</f>
        <v>Pekerjaan Gudang Atas</v>
      </c>
      <c r="D110" s="208" t="s">
        <v>80</v>
      </c>
      <c r="E110" s="208" t="str">
        <f>'BOBOT PEK'!C196</f>
        <v>Pemasangan gypsum 1 sisi</v>
      </c>
      <c r="F110" s="209">
        <f>IF(OR('BOBOT PEK'!E196="",'BOBOT PEK'!E196=0),1,'BOBOT PEK'!E196)</f>
        <v>160</v>
      </c>
      <c r="G110" s="208" t="str">
        <f>IF('BOBOT PEK'!F196="","ls",'BOBOT PEK'!F196)</f>
        <v>m2</v>
      </c>
      <c r="H110" s="210">
        <f>'BOBOT PEK'!J196</f>
        <v>0</v>
      </c>
      <c r="I110" s="211">
        <f>'KALENDER MINGGU'!$B$3</f>
        <v>46226</v>
      </c>
      <c r="J110" s="209">
        <f t="shared" si="12"/>
        <v>0</v>
      </c>
      <c r="K110" s="209">
        <f t="shared" si="13"/>
        <v>160</v>
      </c>
      <c r="L110" s="212">
        <f t="shared" si="14"/>
        <v>0</v>
      </c>
      <c r="M110" s="208" t="str">
        <f t="shared" si="15"/>
        <v>OK</v>
      </c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  <c r="AA110" s="213"/>
      <c r="AB110" s="213"/>
      <c r="AC110" s="213"/>
      <c r="AD110" s="213"/>
      <c r="AE110" s="213"/>
      <c r="AF110" s="213"/>
      <c r="AG110" s="213"/>
      <c r="AH110" s="213"/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213"/>
      <c r="AT110" s="213"/>
      <c r="AU110" s="213"/>
      <c r="AV110" s="213"/>
      <c r="AW110" s="213"/>
      <c r="AX110" s="213"/>
      <c r="AY110" s="213"/>
      <c r="AZ110" s="213"/>
      <c r="BA110" s="213"/>
      <c r="BB110" s="213"/>
      <c r="BC110" s="213"/>
      <c r="BD110" s="213"/>
      <c r="BE110" s="213"/>
      <c r="BF110" s="213"/>
      <c r="BG110" s="213"/>
      <c r="BH110" s="213"/>
      <c r="BI110" s="213"/>
      <c r="BJ110" s="213"/>
      <c r="BK110" s="213"/>
      <c r="BL110" s="213"/>
      <c r="BM110" s="213"/>
      <c r="BN110" s="213"/>
      <c r="BO110" s="213"/>
      <c r="BP110" s="213"/>
      <c r="BQ110" s="213"/>
      <c r="BR110" s="213"/>
      <c r="BS110" s="213"/>
      <c r="BT110" s="213"/>
      <c r="BU110" s="213"/>
      <c r="BV110" s="213"/>
      <c r="BW110" s="213"/>
      <c r="BX110" s="213"/>
      <c r="BY110" s="213"/>
      <c r="BZ110" s="213"/>
      <c r="CA110" s="213"/>
      <c r="CB110" s="213"/>
      <c r="CC110" s="213"/>
      <c r="CD110" s="213"/>
      <c r="CE110" s="213"/>
      <c r="CF110" s="213"/>
      <c r="CG110" s="213"/>
      <c r="CH110" s="213"/>
      <c r="CI110" s="213"/>
      <c r="CJ110" s="213"/>
      <c r="CK110" s="213"/>
      <c r="CL110" s="213"/>
      <c r="CM110" s="213"/>
      <c r="CN110" s="213"/>
      <c r="CO110" s="213"/>
      <c r="CP110" s="213"/>
      <c r="CQ110" s="213"/>
      <c r="CR110" s="213"/>
      <c r="CS110" s="213"/>
      <c r="CT110" s="213"/>
      <c r="CU110" s="213"/>
      <c r="CV110" s="213"/>
      <c r="CW110" s="213"/>
      <c r="CX110" s="213"/>
      <c r="CY110" s="213"/>
      <c r="CZ110" s="213"/>
      <c r="DA110" s="213"/>
      <c r="DB110" s="213"/>
      <c r="DC110" s="213"/>
      <c r="DD110" s="213"/>
      <c r="DE110" s="213"/>
      <c r="DF110" s="213"/>
      <c r="DG110" s="213"/>
      <c r="DH110" s="213"/>
      <c r="DI110" s="213"/>
      <c r="DJ110" s="213"/>
      <c r="DK110" s="213"/>
      <c r="DL110" s="213"/>
      <c r="DM110" s="213"/>
      <c r="DN110" s="213"/>
      <c r="DO110" s="213"/>
      <c r="DP110" s="213"/>
      <c r="DQ110" s="213"/>
      <c r="DR110" s="213"/>
      <c r="DS110" s="213"/>
      <c r="DT110" s="213"/>
      <c r="DU110" s="213"/>
      <c r="DV110" s="210">
        <f>SUMPRODUCT((($I110+COLUMN($N$3:$DU$3)-COLUMN($N$3))&gt;='KALENDER MINGGU'!$B$6)*(($I110+COLUMN($N$3:$DU$3)-COLUMN($N$3))&lt;='KALENDER MINGGU'!$C$6)*(N110:DU110))/F110*H110</f>
        <v>0</v>
      </c>
      <c r="DW110" s="210">
        <f>SUMPRODUCT((($I110+COLUMN($N$3:$DU$3)-COLUMN($N$3))&gt;='KALENDER MINGGU'!$B$7)*(($I110+COLUMN($N$3:$DU$3)-COLUMN($N$3))&lt;='KALENDER MINGGU'!$C$7)*(N110:DU110))/F110*H110</f>
        <v>0</v>
      </c>
      <c r="DX110" s="210">
        <f>SUMPRODUCT((($I110+COLUMN($N$3:$DU$3)-COLUMN($N$3))&gt;='KALENDER MINGGU'!$B$8)*(($I110+COLUMN($N$3:$DU$3)-COLUMN($N$3))&lt;='KALENDER MINGGU'!$C$8)*(N110:DU110))/F110*H110</f>
        <v>0</v>
      </c>
      <c r="DY110" s="210">
        <f>SUMPRODUCT((($I110+COLUMN($N$3:$DU$3)-COLUMN($N$3))&gt;='KALENDER MINGGU'!$B$9)*(($I110+COLUMN($N$3:$DU$3)-COLUMN($N$3))&lt;='KALENDER MINGGU'!$C$9)*(N110:DU110))/F110*H110</f>
        <v>0</v>
      </c>
      <c r="DZ110" s="210">
        <f>SUMPRODUCT((($I110+COLUMN($N$3:$DU$3)-COLUMN($N$3))&gt;='KALENDER MINGGU'!$B$10)*(($I110+COLUMN($N$3:$DU$3)-COLUMN($N$3))&lt;='KALENDER MINGGU'!$C$10)*(N110:DU110))/F110*H110</f>
        <v>0</v>
      </c>
      <c r="EA110" s="210">
        <f>SUMPRODUCT((($I110+COLUMN($N$3:$DU$3)-COLUMN($N$3))&gt;='KALENDER MINGGU'!$B$11)*(($I110+COLUMN($N$3:$DU$3)-COLUMN($N$3))&lt;='KALENDER MINGGU'!$C$11)*(N110:DU110))/F110*H110</f>
        <v>0</v>
      </c>
      <c r="EB110" s="210">
        <f>SUMPRODUCT((($I110+COLUMN($N$3:$DU$3)-COLUMN($N$3))&gt;='KALENDER MINGGU'!$B$12)*(($I110+COLUMN($N$3:$DU$3)-COLUMN($N$3))&lt;='KALENDER MINGGU'!$C$12)*(N110:DU110))/F110*H110</f>
        <v>0</v>
      </c>
      <c r="EC110" s="210">
        <f>SUMPRODUCT((($I110+COLUMN($N$3:$DU$3)-COLUMN($N$3))&gt;='KALENDER MINGGU'!$B$13)*(($I110+COLUMN($N$3:$DU$3)-COLUMN($N$3))&lt;='KALENDER MINGGU'!$C$13)*(N110:DU110))/F110*H110</f>
        <v>0</v>
      </c>
      <c r="ED110" s="210">
        <f>SUMPRODUCT((($I110+COLUMN($N$3:$DU$3)-COLUMN($N$3))&gt;='KALENDER MINGGU'!$B$14)*(($I110+COLUMN($N$3:$DU$3)-COLUMN($N$3))&lt;='KALENDER MINGGU'!$C$14)*(N110:DU110))/F110*H110</f>
        <v>0</v>
      </c>
      <c r="EE110" s="210">
        <f>SUMPRODUCT((($I110+COLUMN($N$3:$DU$3)-COLUMN($N$3))&gt;='KALENDER MINGGU'!$B$15)*(($I110+COLUMN($N$3:$DU$3)-COLUMN($N$3))&lt;='KALENDER MINGGU'!$C$15)*(N110:DU110))/F110*H110</f>
        <v>0</v>
      </c>
      <c r="EF110" s="210">
        <f>SUMPRODUCT((($I110+COLUMN($N$3:$DU$3)-COLUMN($N$3))&gt;='KALENDER MINGGU'!$B$16)*(($I110+COLUMN($N$3:$DU$3)-COLUMN($N$3))&lt;='KALENDER MINGGU'!$C$16)*(N110:DU110))/F110*H110</f>
        <v>0</v>
      </c>
      <c r="EG110" s="210">
        <f>SUMPRODUCT((($I110+COLUMN($N$3:$DU$3)-COLUMN($N$3))&gt;='KALENDER MINGGU'!$B$17)*(($I110+COLUMN($N$3:$DU$3)-COLUMN($N$3))&lt;='KALENDER MINGGU'!$C$17)*(N110:DU110))/F110*H110</f>
        <v>0</v>
      </c>
      <c r="EH110" s="210">
        <f>SUMPRODUCT((($I110+COLUMN($N$3:$DU$3)-COLUMN($N$3))&gt;='KALENDER MINGGU'!$B$18)*(($I110+COLUMN($N$3:$DU$3)-COLUMN($N$3))&lt;='KALENDER MINGGU'!$C$18)*(N110:DU110))/F110*H110</f>
        <v>0</v>
      </c>
      <c r="EI110" s="210">
        <f>SUMPRODUCT((($I110+COLUMN($N$3:$DU$3)-COLUMN($N$3))&gt;='KALENDER MINGGU'!$B$19)*(($I110+COLUMN($N$3:$DU$3)-COLUMN($N$3))&lt;='KALENDER MINGGU'!$C$19)*(N110:DU110))/F110*H110</f>
        <v>0</v>
      </c>
      <c r="EJ110" s="210">
        <f>SUMPRODUCT((($I110+COLUMN($N$3:$DU$3)-COLUMN($N$3))&gt;='KALENDER MINGGU'!$B$20)*(($I110+COLUMN($N$3:$DU$3)-COLUMN($N$3))&lt;='KALENDER MINGGU'!$C$20)*(N110:DU110))/F110*H110</f>
        <v>0</v>
      </c>
      <c r="EK110" s="210">
        <f>SUMPRODUCT((($I110+COLUMN($N$3:$DU$3)-COLUMN($N$3))&gt;='KALENDER MINGGU'!$B$21)*(($I110+COLUMN($N$3:$DU$3)-COLUMN($N$3))&lt;='KALENDER MINGGU'!$C$21)*(N110:DU110))/F110*H110</f>
        <v>0</v>
      </c>
    </row>
    <row r="111" spans="1:141" ht="15" customHeight="1" x14ac:dyDescent="0.2">
      <c r="A111" s="208">
        <v>107</v>
      </c>
      <c r="B111" s="208">
        <v>197</v>
      </c>
      <c r="C111" s="208" t="str">
        <f>IF(B111&lt;160,'BOBOT PEK'!$B$4,IF(B111&lt;207,'BOBOT PEK'!$B$160,'BOBOT PEK'!$B$207))</f>
        <v>Pekerjaan Gudang Atas</v>
      </c>
      <c r="D111" s="208" t="s">
        <v>80</v>
      </c>
      <c r="E111" s="208" t="str">
        <f>'BOBOT PEK'!C197</f>
        <v>Penggantian plafon akustik + rangka</v>
      </c>
      <c r="F111" s="209">
        <f>IF(OR('BOBOT PEK'!E197="",'BOBOT PEK'!E197=0),1,'BOBOT PEK'!E197)</f>
        <v>1</v>
      </c>
      <c r="G111" s="208" t="str">
        <f>IF('BOBOT PEK'!F197="","ls",'BOBOT PEK'!F197)</f>
        <v>m2</v>
      </c>
      <c r="H111" s="210">
        <f>'BOBOT PEK'!J197</f>
        <v>0</v>
      </c>
      <c r="I111" s="211">
        <f>'KALENDER MINGGU'!$B$3</f>
        <v>46226</v>
      </c>
      <c r="J111" s="209">
        <f t="shared" si="12"/>
        <v>0</v>
      </c>
      <c r="K111" s="209">
        <f t="shared" si="13"/>
        <v>1</v>
      </c>
      <c r="L111" s="212">
        <f t="shared" si="14"/>
        <v>0</v>
      </c>
      <c r="M111" s="208" t="str">
        <f t="shared" si="15"/>
        <v>OK</v>
      </c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  <c r="AA111" s="213"/>
      <c r="AB111" s="213"/>
      <c r="AC111" s="213"/>
      <c r="AD111" s="213"/>
      <c r="AE111" s="213"/>
      <c r="AF111" s="213"/>
      <c r="AG111" s="213"/>
      <c r="AH111" s="213"/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213"/>
      <c r="AT111" s="213"/>
      <c r="AU111" s="213"/>
      <c r="AV111" s="213"/>
      <c r="AW111" s="213"/>
      <c r="AX111" s="213"/>
      <c r="AY111" s="213"/>
      <c r="AZ111" s="213"/>
      <c r="BA111" s="213"/>
      <c r="BB111" s="213"/>
      <c r="BC111" s="213"/>
      <c r="BD111" s="213"/>
      <c r="BE111" s="213"/>
      <c r="BF111" s="213"/>
      <c r="BG111" s="213"/>
      <c r="BH111" s="213"/>
      <c r="BI111" s="213"/>
      <c r="BJ111" s="213"/>
      <c r="BK111" s="213"/>
      <c r="BL111" s="213"/>
      <c r="BM111" s="213"/>
      <c r="BN111" s="213"/>
      <c r="BO111" s="213"/>
      <c r="BP111" s="213"/>
      <c r="BQ111" s="213"/>
      <c r="BR111" s="213"/>
      <c r="BS111" s="213"/>
      <c r="BT111" s="213"/>
      <c r="BU111" s="213"/>
      <c r="BV111" s="213"/>
      <c r="BW111" s="213"/>
      <c r="BX111" s="213"/>
      <c r="BY111" s="213"/>
      <c r="BZ111" s="213"/>
      <c r="CA111" s="213"/>
      <c r="CB111" s="213"/>
      <c r="CC111" s="213"/>
      <c r="CD111" s="213"/>
      <c r="CE111" s="213"/>
      <c r="CF111" s="213"/>
      <c r="CG111" s="213"/>
      <c r="CH111" s="213"/>
      <c r="CI111" s="213"/>
      <c r="CJ111" s="213"/>
      <c r="CK111" s="213"/>
      <c r="CL111" s="213"/>
      <c r="CM111" s="213"/>
      <c r="CN111" s="213"/>
      <c r="CO111" s="213"/>
      <c r="CP111" s="213"/>
      <c r="CQ111" s="213"/>
      <c r="CR111" s="213"/>
      <c r="CS111" s="213"/>
      <c r="CT111" s="213"/>
      <c r="CU111" s="213"/>
      <c r="CV111" s="213"/>
      <c r="CW111" s="213"/>
      <c r="CX111" s="213"/>
      <c r="CY111" s="213"/>
      <c r="CZ111" s="213"/>
      <c r="DA111" s="213"/>
      <c r="DB111" s="213"/>
      <c r="DC111" s="213"/>
      <c r="DD111" s="213"/>
      <c r="DE111" s="213"/>
      <c r="DF111" s="213"/>
      <c r="DG111" s="213"/>
      <c r="DH111" s="213"/>
      <c r="DI111" s="213"/>
      <c r="DJ111" s="213"/>
      <c r="DK111" s="213"/>
      <c r="DL111" s="213"/>
      <c r="DM111" s="213"/>
      <c r="DN111" s="213"/>
      <c r="DO111" s="213"/>
      <c r="DP111" s="213"/>
      <c r="DQ111" s="213"/>
      <c r="DR111" s="213"/>
      <c r="DS111" s="213"/>
      <c r="DT111" s="213"/>
      <c r="DU111" s="213"/>
      <c r="DV111" s="210">
        <f>SUMPRODUCT((($I111+COLUMN($N$3:$DU$3)-COLUMN($N$3))&gt;='KALENDER MINGGU'!$B$6)*(($I111+COLUMN($N$3:$DU$3)-COLUMN($N$3))&lt;='KALENDER MINGGU'!$C$6)*(N111:DU111))/F111*H111</f>
        <v>0</v>
      </c>
      <c r="DW111" s="210">
        <f>SUMPRODUCT((($I111+COLUMN($N$3:$DU$3)-COLUMN($N$3))&gt;='KALENDER MINGGU'!$B$7)*(($I111+COLUMN($N$3:$DU$3)-COLUMN($N$3))&lt;='KALENDER MINGGU'!$C$7)*(N111:DU111))/F111*H111</f>
        <v>0</v>
      </c>
      <c r="DX111" s="210">
        <f>SUMPRODUCT((($I111+COLUMN($N$3:$DU$3)-COLUMN($N$3))&gt;='KALENDER MINGGU'!$B$8)*(($I111+COLUMN($N$3:$DU$3)-COLUMN($N$3))&lt;='KALENDER MINGGU'!$C$8)*(N111:DU111))/F111*H111</f>
        <v>0</v>
      </c>
      <c r="DY111" s="210">
        <f>SUMPRODUCT((($I111+COLUMN($N$3:$DU$3)-COLUMN($N$3))&gt;='KALENDER MINGGU'!$B$9)*(($I111+COLUMN($N$3:$DU$3)-COLUMN($N$3))&lt;='KALENDER MINGGU'!$C$9)*(N111:DU111))/F111*H111</f>
        <v>0</v>
      </c>
      <c r="DZ111" s="210">
        <f>SUMPRODUCT((($I111+COLUMN($N$3:$DU$3)-COLUMN($N$3))&gt;='KALENDER MINGGU'!$B$10)*(($I111+COLUMN($N$3:$DU$3)-COLUMN($N$3))&lt;='KALENDER MINGGU'!$C$10)*(N111:DU111))/F111*H111</f>
        <v>0</v>
      </c>
      <c r="EA111" s="210">
        <f>SUMPRODUCT((($I111+COLUMN($N$3:$DU$3)-COLUMN($N$3))&gt;='KALENDER MINGGU'!$B$11)*(($I111+COLUMN($N$3:$DU$3)-COLUMN($N$3))&lt;='KALENDER MINGGU'!$C$11)*(N111:DU111))/F111*H111</f>
        <v>0</v>
      </c>
      <c r="EB111" s="210">
        <f>SUMPRODUCT((($I111+COLUMN($N$3:$DU$3)-COLUMN($N$3))&gt;='KALENDER MINGGU'!$B$12)*(($I111+COLUMN($N$3:$DU$3)-COLUMN($N$3))&lt;='KALENDER MINGGU'!$C$12)*(N111:DU111))/F111*H111</f>
        <v>0</v>
      </c>
      <c r="EC111" s="210">
        <f>SUMPRODUCT((($I111+COLUMN($N$3:$DU$3)-COLUMN($N$3))&gt;='KALENDER MINGGU'!$B$13)*(($I111+COLUMN($N$3:$DU$3)-COLUMN($N$3))&lt;='KALENDER MINGGU'!$C$13)*(N111:DU111))/F111*H111</f>
        <v>0</v>
      </c>
      <c r="ED111" s="210">
        <f>SUMPRODUCT((($I111+COLUMN($N$3:$DU$3)-COLUMN($N$3))&gt;='KALENDER MINGGU'!$B$14)*(($I111+COLUMN($N$3:$DU$3)-COLUMN($N$3))&lt;='KALENDER MINGGU'!$C$14)*(N111:DU111))/F111*H111</f>
        <v>0</v>
      </c>
      <c r="EE111" s="210">
        <f>SUMPRODUCT((($I111+COLUMN($N$3:$DU$3)-COLUMN($N$3))&gt;='KALENDER MINGGU'!$B$15)*(($I111+COLUMN($N$3:$DU$3)-COLUMN($N$3))&lt;='KALENDER MINGGU'!$C$15)*(N111:DU111))/F111*H111</f>
        <v>0</v>
      </c>
      <c r="EF111" s="210">
        <f>SUMPRODUCT((($I111+COLUMN($N$3:$DU$3)-COLUMN($N$3))&gt;='KALENDER MINGGU'!$B$16)*(($I111+COLUMN($N$3:$DU$3)-COLUMN($N$3))&lt;='KALENDER MINGGU'!$C$16)*(N111:DU111))/F111*H111</f>
        <v>0</v>
      </c>
      <c r="EG111" s="210">
        <f>SUMPRODUCT((($I111+COLUMN($N$3:$DU$3)-COLUMN($N$3))&gt;='KALENDER MINGGU'!$B$17)*(($I111+COLUMN($N$3:$DU$3)-COLUMN($N$3))&lt;='KALENDER MINGGU'!$C$17)*(N111:DU111))/F111*H111</f>
        <v>0</v>
      </c>
      <c r="EH111" s="210">
        <f>SUMPRODUCT((($I111+COLUMN($N$3:$DU$3)-COLUMN($N$3))&gt;='KALENDER MINGGU'!$B$18)*(($I111+COLUMN($N$3:$DU$3)-COLUMN($N$3))&lt;='KALENDER MINGGU'!$C$18)*(N111:DU111))/F111*H111</f>
        <v>0</v>
      </c>
      <c r="EI111" s="210">
        <f>SUMPRODUCT((($I111+COLUMN($N$3:$DU$3)-COLUMN($N$3))&gt;='KALENDER MINGGU'!$B$19)*(($I111+COLUMN($N$3:$DU$3)-COLUMN($N$3))&lt;='KALENDER MINGGU'!$C$19)*(N111:DU111))/F111*H111</f>
        <v>0</v>
      </c>
      <c r="EJ111" s="210">
        <f>SUMPRODUCT((($I111+COLUMN($N$3:$DU$3)-COLUMN($N$3))&gt;='KALENDER MINGGU'!$B$20)*(($I111+COLUMN($N$3:$DU$3)-COLUMN($N$3))&lt;='KALENDER MINGGU'!$C$20)*(N111:DU111))/F111*H111</f>
        <v>0</v>
      </c>
      <c r="EK111" s="210">
        <f>SUMPRODUCT((($I111+COLUMN($N$3:$DU$3)-COLUMN($N$3))&gt;='KALENDER MINGGU'!$B$21)*(($I111+COLUMN($N$3:$DU$3)-COLUMN($N$3))&lt;='KALENDER MINGGU'!$C$21)*(N111:DU111))/F111*H111</f>
        <v>0</v>
      </c>
    </row>
    <row r="112" spans="1:141" ht="15" customHeight="1" x14ac:dyDescent="0.2">
      <c r="A112" s="208">
        <v>108</v>
      </c>
      <c r="B112" s="208">
        <v>198</v>
      </c>
      <c r="C112" s="208" t="str">
        <f>IF(B112&lt;160,'BOBOT PEK'!$B$4,IF(B112&lt;207,'BOBOT PEK'!$B$160,'BOBOT PEK'!$B$207))</f>
        <v>Pekerjaan Gudang Atas</v>
      </c>
      <c r="D112" s="208" t="s">
        <v>80</v>
      </c>
      <c r="E112" s="208" t="str">
        <f>'BOBOT PEK'!C198</f>
        <v>penggantian lighting</v>
      </c>
      <c r="F112" s="209">
        <f>IF(OR('BOBOT PEK'!E198="",'BOBOT PEK'!E198=0),1,'BOBOT PEK'!E198)</f>
        <v>6</v>
      </c>
      <c r="G112" s="208" t="str">
        <f>IF('BOBOT PEK'!F198="","ls",'BOBOT PEK'!F198)</f>
        <v>pcs</v>
      </c>
      <c r="H112" s="210">
        <f>'BOBOT PEK'!J198</f>
        <v>4.5283230944630805E-2</v>
      </c>
      <c r="I112" s="211">
        <f>'KALENDER MINGGU'!$B$3</f>
        <v>46226</v>
      </c>
      <c r="J112" s="209">
        <f t="shared" si="12"/>
        <v>0</v>
      </c>
      <c r="K112" s="209">
        <f t="shared" si="13"/>
        <v>6</v>
      </c>
      <c r="L112" s="212">
        <f t="shared" si="14"/>
        <v>0</v>
      </c>
      <c r="M112" s="208" t="str">
        <f t="shared" si="15"/>
        <v>OK</v>
      </c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  <c r="AA112" s="213"/>
      <c r="AB112" s="213"/>
      <c r="AC112" s="213"/>
      <c r="AD112" s="213"/>
      <c r="AE112" s="213"/>
      <c r="AF112" s="213"/>
      <c r="AG112" s="213"/>
      <c r="AH112" s="213"/>
      <c r="AI112" s="213"/>
      <c r="AJ112" s="213"/>
      <c r="AK112" s="213"/>
      <c r="AL112" s="213"/>
      <c r="AM112" s="213"/>
      <c r="AN112" s="213"/>
      <c r="AO112" s="213"/>
      <c r="AP112" s="213"/>
      <c r="AQ112" s="213"/>
      <c r="AR112" s="213"/>
      <c r="AS112" s="213"/>
      <c r="AT112" s="213"/>
      <c r="AU112" s="213"/>
      <c r="AV112" s="213"/>
      <c r="AW112" s="213"/>
      <c r="AX112" s="213"/>
      <c r="AY112" s="213"/>
      <c r="AZ112" s="213"/>
      <c r="BA112" s="213"/>
      <c r="BB112" s="213"/>
      <c r="BC112" s="213"/>
      <c r="BD112" s="213"/>
      <c r="BE112" s="213"/>
      <c r="BF112" s="213"/>
      <c r="BG112" s="213"/>
      <c r="BH112" s="213"/>
      <c r="BI112" s="213"/>
      <c r="BJ112" s="213"/>
      <c r="BK112" s="213"/>
      <c r="BL112" s="213"/>
      <c r="BM112" s="213"/>
      <c r="BN112" s="213"/>
      <c r="BO112" s="213"/>
      <c r="BP112" s="213"/>
      <c r="BQ112" s="213"/>
      <c r="BR112" s="213"/>
      <c r="BS112" s="213"/>
      <c r="BT112" s="213"/>
      <c r="BU112" s="213"/>
      <c r="BV112" s="213"/>
      <c r="BW112" s="213"/>
      <c r="BX112" s="213"/>
      <c r="BY112" s="213"/>
      <c r="BZ112" s="213"/>
      <c r="CA112" s="213"/>
      <c r="CB112" s="213"/>
      <c r="CC112" s="213"/>
      <c r="CD112" s="213"/>
      <c r="CE112" s="213"/>
      <c r="CF112" s="213"/>
      <c r="CG112" s="213"/>
      <c r="CH112" s="213"/>
      <c r="CI112" s="213"/>
      <c r="CJ112" s="213"/>
      <c r="CK112" s="213"/>
      <c r="CL112" s="213"/>
      <c r="CM112" s="213"/>
      <c r="CN112" s="213"/>
      <c r="CO112" s="213"/>
      <c r="CP112" s="213"/>
      <c r="CQ112" s="213"/>
      <c r="CR112" s="213"/>
      <c r="CS112" s="213"/>
      <c r="CT112" s="213"/>
      <c r="CU112" s="213"/>
      <c r="CV112" s="213"/>
      <c r="CW112" s="213"/>
      <c r="CX112" s="213"/>
      <c r="CY112" s="213"/>
      <c r="CZ112" s="213"/>
      <c r="DA112" s="213"/>
      <c r="DB112" s="213"/>
      <c r="DC112" s="213"/>
      <c r="DD112" s="213"/>
      <c r="DE112" s="213"/>
      <c r="DF112" s="213"/>
      <c r="DG112" s="213"/>
      <c r="DH112" s="213"/>
      <c r="DI112" s="213"/>
      <c r="DJ112" s="213"/>
      <c r="DK112" s="213"/>
      <c r="DL112" s="213"/>
      <c r="DM112" s="213"/>
      <c r="DN112" s="213"/>
      <c r="DO112" s="213"/>
      <c r="DP112" s="213"/>
      <c r="DQ112" s="213"/>
      <c r="DR112" s="213"/>
      <c r="DS112" s="213"/>
      <c r="DT112" s="213"/>
      <c r="DU112" s="213"/>
      <c r="DV112" s="210">
        <f>SUMPRODUCT((($I112+COLUMN($N$3:$DU$3)-COLUMN($N$3))&gt;='KALENDER MINGGU'!$B$6)*(($I112+COLUMN($N$3:$DU$3)-COLUMN($N$3))&lt;='KALENDER MINGGU'!$C$6)*(N112:DU112))/F112*H112</f>
        <v>0</v>
      </c>
      <c r="DW112" s="210">
        <f>SUMPRODUCT((($I112+COLUMN($N$3:$DU$3)-COLUMN($N$3))&gt;='KALENDER MINGGU'!$B$7)*(($I112+COLUMN($N$3:$DU$3)-COLUMN($N$3))&lt;='KALENDER MINGGU'!$C$7)*(N112:DU112))/F112*H112</f>
        <v>0</v>
      </c>
      <c r="DX112" s="210">
        <f>SUMPRODUCT((($I112+COLUMN($N$3:$DU$3)-COLUMN($N$3))&gt;='KALENDER MINGGU'!$B$8)*(($I112+COLUMN($N$3:$DU$3)-COLUMN($N$3))&lt;='KALENDER MINGGU'!$C$8)*(N112:DU112))/F112*H112</f>
        <v>0</v>
      </c>
      <c r="DY112" s="210">
        <f>SUMPRODUCT((($I112+COLUMN($N$3:$DU$3)-COLUMN($N$3))&gt;='KALENDER MINGGU'!$B$9)*(($I112+COLUMN($N$3:$DU$3)-COLUMN($N$3))&lt;='KALENDER MINGGU'!$C$9)*(N112:DU112))/F112*H112</f>
        <v>0</v>
      </c>
      <c r="DZ112" s="210">
        <f>SUMPRODUCT((($I112+COLUMN($N$3:$DU$3)-COLUMN($N$3))&gt;='KALENDER MINGGU'!$B$10)*(($I112+COLUMN($N$3:$DU$3)-COLUMN($N$3))&lt;='KALENDER MINGGU'!$C$10)*(N112:DU112))/F112*H112</f>
        <v>0</v>
      </c>
      <c r="EA112" s="210">
        <f>SUMPRODUCT((($I112+COLUMN($N$3:$DU$3)-COLUMN($N$3))&gt;='KALENDER MINGGU'!$B$11)*(($I112+COLUMN($N$3:$DU$3)-COLUMN($N$3))&lt;='KALENDER MINGGU'!$C$11)*(N112:DU112))/F112*H112</f>
        <v>0</v>
      </c>
      <c r="EB112" s="210">
        <f>SUMPRODUCT((($I112+COLUMN($N$3:$DU$3)-COLUMN($N$3))&gt;='KALENDER MINGGU'!$B$12)*(($I112+COLUMN($N$3:$DU$3)-COLUMN($N$3))&lt;='KALENDER MINGGU'!$C$12)*(N112:DU112))/F112*H112</f>
        <v>0</v>
      </c>
      <c r="EC112" s="210">
        <f>SUMPRODUCT((($I112+COLUMN($N$3:$DU$3)-COLUMN($N$3))&gt;='KALENDER MINGGU'!$B$13)*(($I112+COLUMN($N$3:$DU$3)-COLUMN($N$3))&lt;='KALENDER MINGGU'!$C$13)*(N112:DU112))/F112*H112</f>
        <v>0</v>
      </c>
      <c r="ED112" s="210">
        <f>SUMPRODUCT((($I112+COLUMN($N$3:$DU$3)-COLUMN($N$3))&gt;='KALENDER MINGGU'!$B$14)*(($I112+COLUMN($N$3:$DU$3)-COLUMN($N$3))&lt;='KALENDER MINGGU'!$C$14)*(N112:DU112))/F112*H112</f>
        <v>0</v>
      </c>
      <c r="EE112" s="210">
        <f>SUMPRODUCT((($I112+COLUMN($N$3:$DU$3)-COLUMN($N$3))&gt;='KALENDER MINGGU'!$B$15)*(($I112+COLUMN($N$3:$DU$3)-COLUMN($N$3))&lt;='KALENDER MINGGU'!$C$15)*(N112:DU112))/F112*H112</f>
        <v>0</v>
      </c>
      <c r="EF112" s="210">
        <f>SUMPRODUCT((($I112+COLUMN($N$3:$DU$3)-COLUMN($N$3))&gt;='KALENDER MINGGU'!$B$16)*(($I112+COLUMN($N$3:$DU$3)-COLUMN($N$3))&lt;='KALENDER MINGGU'!$C$16)*(N112:DU112))/F112*H112</f>
        <v>0</v>
      </c>
      <c r="EG112" s="210">
        <f>SUMPRODUCT((($I112+COLUMN($N$3:$DU$3)-COLUMN($N$3))&gt;='KALENDER MINGGU'!$B$17)*(($I112+COLUMN($N$3:$DU$3)-COLUMN($N$3))&lt;='KALENDER MINGGU'!$C$17)*(N112:DU112))/F112*H112</f>
        <v>0</v>
      </c>
      <c r="EH112" s="210">
        <f>SUMPRODUCT((($I112+COLUMN($N$3:$DU$3)-COLUMN($N$3))&gt;='KALENDER MINGGU'!$B$18)*(($I112+COLUMN($N$3:$DU$3)-COLUMN($N$3))&lt;='KALENDER MINGGU'!$C$18)*(N112:DU112))/F112*H112</f>
        <v>0</v>
      </c>
      <c r="EI112" s="210">
        <f>SUMPRODUCT((($I112+COLUMN($N$3:$DU$3)-COLUMN($N$3))&gt;='KALENDER MINGGU'!$B$19)*(($I112+COLUMN($N$3:$DU$3)-COLUMN($N$3))&lt;='KALENDER MINGGU'!$C$19)*(N112:DU112))/F112*H112</f>
        <v>0</v>
      </c>
      <c r="EJ112" s="210">
        <f>SUMPRODUCT((($I112+COLUMN($N$3:$DU$3)-COLUMN($N$3))&gt;='KALENDER MINGGU'!$B$20)*(($I112+COLUMN($N$3:$DU$3)-COLUMN($N$3))&lt;='KALENDER MINGGU'!$C$20)*(N112:DU112))/F112*H112</f>
        <v>0</v>
      </c>
      <c r="EK112" s="210">
        <f>SUMPRODUCT((($I112+COLUMN($N$3:$DU$3)-COLUMN($N$3))&gt;='KALENDER MINGGU'!$B$21)*(($I112+COLUMN($N$3:$DU$3)-COLUMN($N$3))&lt;='KALENDER MINGGU'!$C$21)*(N112:DU112))/F112*H112</f>
        <v>0</v>
      </c>
    </row>
    <row r="113" spans="1:141" ht="15" customHeight="1" x14ac:dyDescent="0.2">
      <c r="A113" s="208">
        <v>109</v>
      </c>
      <c r="B113" s="208">
        <v>199</v>
      </c>
      <c r="C113" s="208" t="str">
        <f>IF(B113&lt;160,'BOBOT PEK'!$B$4,IF(B113&lt;207,'BOBOT PEK'!$B$160,'BOBOT PEK'!$B$207))</f>
        <v>Pekerjaan Gudang Atas</v>
      </c>
      <c r="D113" s="208" t="s">
        <v>80</v>
      </c>
      <c r="E113" s="208" t="str">
        <f>'BOBOT PEK'!C199</f>
        <v>penggantian lighting</v>
      </c>
      <c r="F113" s="209">
        <f>IF(OR('BOBOT PEK'!E199="",'BOBOT PEK'!E199=0),1,'BOBOT PEK'!E199)</f>
        <v>8</v>
      </c>
      <c r="G113" s="208" t="str">
        <f>IF('BOBOT PEK'!F199="","ls",'BOBOT PEK'!F199)</f>
        <v>pcs</v>
      </c>
      <c r="H113" s="210">
        <f>'BOBOT PEK'!J199</f>
        <v>0.16373597629697018</v>
      </c>
      <c r="I113" s="211">
        <f>'KALENDER MINGGU'!$B$3</f>
        <v>46226</v>
      </c>
      <c r="J113" s="209">
        <f t="shared" si="12"/>
        <v>0</v>
      </c>
      <c r="K113" s="209">
        <f t="shared" si="13"/>
        <v>8</v>
      </c>
      <c r="L113" s="212">
        <f t="shared" si="14"/>
        <v>0</v>
      </c>
      <c r="M113" s="208" t="str">
        <f t="shared" si="15"/>
        <v>OK</v>
      </c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  <c r="AA113" s="213"/>
      <c r="AB113" s="213"/>
      <c r="AC113" s="213"/>
      <c r="AD113" s="213"/>
      <c r="AE113" s="213"/>
      <c r="AF113" s="213"/>
      <c r="AG113" s="213"/>
      <c r="AH113" s="213"/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13"/>
      <c r="AT113" s="213"/>
      <c r="AU113" s="213"/>
      <c r="AV113" s="213"/>
      <c r="AW113" s="213"/>
      <c r="AX113" s="213"/>
      <c r="AY113" s="213"/>
      <c r="AZ113" s="213"/>
      <c r="BA113" s="213"/>
      <c r="BB113" s="213"/>
      <c r="BC113" s="213"/>
      <c r="BD113" s="213"/>
      <c r="BE113" s="213"/>
      <c r="BF113" s="213"/>
      <c r="BG113" s="213"/>
      <c r="BH113" s="213"/>
      <c r="BI113" s="213"/>
      <c r="BJ113" s="213"/>
      <c r="BK113" s="213"/>
      <c r="BL113" s="213"/>
      <c r="BM113" s="213"/>
      <c r="BN113" s="213"/>
      <c r="BO113" s="213"/>
      <c r="BP113" s="213"/>
      <c r="BQ113" s="213"/>
      <c r="BR113" s="213"/>
      <c r="BS113" s="213"/>
      <c r="BT113" s="213"/>
      <c r="BU113" s="213"/>
      <c r="BV113" s="213"/>
      <c r="BW113" s="213"/>
      <c r="BX113" s="213"/>
      <c r="BY113" s="213"/>
      <c r="BZ113" s="213"/>
      <c r="CA113" s="213"/>
      <c r="CB113" s="213"/>
      <c r="CC113" s="213"/>
      <c r="CD113" s="213"/>
      <c r="CE113" s="213"/>
      <c r="CF113" s="213"/>
      <c r="CG113" s="213"/>
      <c r="CH113" s="213"/>
      <c r="CI113" s="213"/>
      <c r="CJ113" s="213"/>
      <c r="CK113" s="213"/>
      <c r="CL113" s="213"/>
      <c r="CM113" s="213"/>
      <c r="CN113" s="213"/>
      <c r="CO113" s="213"/>
      <c r="CP113" s="213"/>
      <c r="CQ113" s="213"/>
      <c r="CR113" s="213"/>
      <c r="CS113" s="213"/>
      <c r="CT113" s="213"/>
      <c r="CU113" s="213"/>
      <c r="CV113" s="213"/>
      <c r="CW113" s="213"/>
      <c r="CX113" s="213"/>
      <c r="CY113" s="213"/>
      <c r="CZ113" s="213"/>
      <c r="DA113" s="213"/>
      <c r="DB113" s="213"/>
      <c r="DC113" s="213"/>
      <c r="DD113" s="213"/>
      <c r="DE113" s="213"/>
      <c r="DF113" s="213"/>
      <c r="DG113" s="213"/>
      <c r="DH113" s="213"/>
      <c r="DI113" s="213"/>
      <c r="DJ113" s="213"/>
      <c r="DK113" s="213"/>
      <c r="DL113" s="213"/>
      <c r="DM113" s="213"/>
      <c r="DN113" s="213"/>
      <c r="DO113" s="213"/>
      <c r="DP113" s="213"/>
      <c r="DQ113" s="213"/>
      <c r="DR113" s="213"/>
      <c r="DS113" s="213"/>
      <c r="DT113" s="213"/>
      <c r="DU113" s="213"/>
      <c r="DV113" s="210">
        <f>SUMPRODUCT((($I113+COLUMN($N$3:$DU$3)-COLUMN($N$3))&gt;='KALENDER MINGGU'!$B$6)*(($I113+COLUMN($N$3:$DU$3)-COLUMN($N$3))&lt;='KALENDER MINGGU'!$C$6)*(N113:DU113))/F113*H113</f>
        <v>0</v>
      </c>
      <c r="DW113" s="210">
        <f>SUMPRODUCT((($I113+COLUMN($N$3:$DU$3)-COLUMN($N$3))&gt;='KALENDER MINGGU'!$B$7)*(($I113+COLUMN($N$3:$DU$3)-COLUMN($N$3))&lt;='KALENDER MINGGU'!$C$7)*(N113:DU113))/F113*H113</f>
        <v>0</v>
      </c>
      <c r="DX113" s="210">
        <f>SUMPRODUCT((($I113+COLUMN($N$3:$DU$3)-COLUMN($N$3))&gt;='KALENDER MINGGU'!$B$8)*(($I113+COLUMN($N$3:$DU$3)-COLUMN($N$3))&lt;='KALENDER MINGGU'!$C$8)*(N113:DU113))/F113*H113</f>
        <v>0</v>
      </c>
      <c r="DY113" s="210">
        <f>SUMPRODUCT((($I113+COLUMN($N$3:$DU$3)-COLUMN($N$3))&gt;='KALENDER MINGGU'!$B$9)*(($I113+COLUMN($N$3:$DU$3)-COLUMN($N$3))&lt;='KALENDER MINGGU'!$C$9)*(N113:DU113))/F113*H113</f>
        <v>0</v>
      </c>
      <c r="DZ113" s="210">
        <f>SUMPRODUCT((($I113+COLUMN($N$3:$DU$3)-COLUMN($N$3))&gt;='KALENDER MINGGU'!$B$10)*(($I113+COLUMN($N$3:$DU$3)-COLUMN($N$3))&lt;='KALENDER MINGGU'!$C$10)*(N113:DU113))/F113*H113</f>
        <v>0</v>
      </c>
      <c r="EA113" s="210">
        <f>SUMPRODUCT((($I113+COLUMN($N$3:$DU$3)-COLUMN($N$3))&gt;='KALENDER MINGGU'!$B$11)*(($I113+COLUMN($N$3:$DU$3)-COLUMN($N$3))&lt;='KALENDER MINGGU'!$C$11)*(N113:DU113))/F113*H113</f>
        <v>0</v>
      </c>
      <c r="EB113" s="210">
        <f>SUMPRODUCT((($I113+COLUMN($N$3:$DU$3)-COLUMN($N$3))&gt;='KALENDER MINGGU'!$B$12)*(($I113+COLUMN($N$3:$DU$3)-COLUMN($N$3))&lt;='KALENDER MINGGU'!$C$12)*(N113:DU113))/F113*H113</f>
        <v>0</v>
      </c>
      <c r="EC113" s="210">
        <f>SUMPRODUCT((($I113+COLUMN($N$3:$DU$3)-COLUMN($N$3))&gt;='KALENDER MINGGU'!$B$13)*(($I113+COLUMN($N$3:$DU$3)-COLUMN($N$3))&lt;='KALENDER MINGGU'!$C$13)*(N113:DU113))/F113*H113</f>
        <v>0</v>
      </c>
      <c r="ED113" s="210">
        <f>SUMPRODUCT((($I113+COLUMN($N$3:$DU$3)-COLUMN($N$3))&gt;='KALENDER MINGGU'!$B$14)*(($I113+COLUMN($N$3:$DU$3)-COLUMN($N$3))&lt;='KALENDER MINGGU'!$C$14)*(N113:DU113))/F113*H113</f>
        <v>0</v>
      </c>
      <c r="EE113" s="210">
        <f>SUMPRODUCT((($I113+COLUMN($N$3:$DU$3)-COLUMN($N$3))&gt;='KALENDER MINGGU'!$B$15)*(($I113+COLUMN($N$3:$DU$3)-COLUMN($N$3))&lt;='KALENDER MINGGU'!$C$15)*(N113:DU113))/F113*H113</f>
        <v>0</v>
      </c>
      <c r="EF113" s="210">
        <f>SUMPRODUCT((($I113+COLUMN($N$3:$DU$3)-COLUMN($N$3))&gt;='KALENDER MINGGU'!$B$16)*(($I113+COLUMN($N$3:$DU$3)-COLUMN($N$3))&lt;='KALENDER MINGGU'!$C$16)*(N113:DU113))/F113*H113</f>
        <v>0</v>
      </c>
      <c r="EG113" s="210">
        <f>SUMPRODUCT((($I113+COLUMN($N$3:$DU$3)-COLUMN($N$3))&gt;='KALENDER MINGGU'!$B$17)*(($I113+COLUMN($N$3:$DU$3)-COLUMN($N$3))&lt;='KALENDER MINGGU'!$C$17)*(N113:DU113))/F113*H113</f>
        <v>0</v>
      </c>
      <c r="EH113" s="210">
        <f>SUMPRODUCT((($I113+COLUMN($N$3:$DU$3)-COLUMN($N$3))&gt;='KALENDER MINGGU'!$B$18)*(($I113+COLUMN($N$3:$DU$3)-COLUMN($N$3))&lt;='KALENDER MINGGU'!$C$18)*(N113:DU113))/F113*H113</f>
        <v>0</v>
      </c>
      <c r="EI113" s="210">
        <f>SUMPRODUCT((($I113+COLUMN($N$3:$DU$3)-COLUMN($N$3))&gt;='KALENDER MINGGU'!$B$19)*(($I113+COLUMN($N$3:$DU$3)-COLUMN($N$3))&lt;='KALENDER MINGGU'!$C$19)*(N113:DU113))/F113*H113</f>
        <v>0</v>
      </c>
      <c r="EJ113" s="210">
        <f>SUMPRODUCT((($I113+COLUMN($N$3:$DU$3)-COLUMN($N$3))&gt;='KALENDER MINGGU'!$B$20)*(($I113+COLUMN($N$3:$DU$3)-COLUMN($N$3))&lt;='KALENDER MINGGU'!$C$20)*(N113:DU113))/F113*H113</f>
        <v>0</v>
      </c>
      <c r="EK113" s="210">
        <f>SUMPRODUCT((($I113+COLUMN($N$3:$DU$3)-COLUMN($N$3))&gt;='KALENDER MINGGU'!$B$21)*(($I113+COLUMN($N$3:$DU$3)-COLUMN($N$3))&lt;='KALENDER MINGGU'!$C$21)*(N113:DU113))/F113*H113</f>
        <v>0</v>
      </c>
    </row>
    <row r="114" spans="1:141" ht="15" customHeight="1" x14ac:dyDescent="0.2">
      <c r="A114" s="208">
        <v>110</v>
      </c>
      <c r="B114" s="208">
        <v>201</v>
      </c>
      <c r="C114" s="208" t="str">
        <f>IF(B114&lt;160,'BOBOT PEK'!$B$4,IF(B114&lt;207,'BOBOT PEK'!$B$160,'BOBOT PEK'!$B$207))</f>
        <v>Pekerjaan Gudang Atas</v>
      </c>
      <c r="D114" s="208" t="s">
        <v>80</v>
      </c>
      <c r="E114" s="208" t="str">
        <f>'BOBOT PEK'!C201</f>
        <v>Pengadaan dan pemasangan turbin ventilator 32"</v>
      </c>
      <c r="F114" s="209">
        <f>IF(OR('BOBOT PEK'!E201="",'BOBOT PEK'!E201=0),1,'BOBOT PEK'!E201)</f>
        <v>6</v>
      </c>
      <c r="G114" s="208" t="str">
        <f>IF('BOBOT PEK'!F201="","ls",'BOBOT PEK'!F201)</f>
        <v>pcs</v>
      </c>
      <c r="H114" s="210">
        <f>'BOBOT PEK'!J201</f>
        <v>0.38375619444602382</v>
      </c>
      <c r="I114" s="211">
        <f>'KALENDER MINGGU'!$B$3</f>
        <v>46226</v>
      </c>
      <c r="J114" s="209">
        <f t="shared" si="12"/>
        <v>0</v>
      </c>
      <c r="K114" s="209">
        <f t="shared" si="13"/>
        <v>6</v>
      </c>
      <c r="L114" s="212">
        <f t="shared" si="14"/>
        <v>0</v>
      </c>
      <c r="M114" s="208" t="str">
        <f t="shared" si="15"/>
        <v>OK</v>
      </c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  <c r="AA114" s="213"/>
      <c r="AB114" s="213"/>
      <c r="AC114" s="213"/>
      <c r="AD114" s="213"/>
      <c r="AE114" s="213"/>
      <c r="AF114" s="213"/>
      <c r="AG114" s="213"/>
      <c r="AH114" s="213"/>
      <c r="AI114" s="213"/>
      <c r="AJ114" s="213"/>
      <c r="AK114" s="213"/>
      <c r="AL114" s="213"/>
      <c r="AM114" s="213"/>
      <c r="AN114" s="213"/>
      <c r="AO114" s="213"/>
      <c r="AP114" s="213"/>
      <c r="AQ114" s="213"/>
      <c r="AR114" s="213"/>
      <c r="AS114" s="213"/>
      <c r="AT114" s="213"/>
      <c r="AU114" s="213"/>
      <c r="AV114" s="213"/>
      <c r="AW114" s="213"/>
      <c r="AX114" s="213"/>
      <c r="AY114" s="213"/>
      <c r="AZ114" s="213"/>
      <c r="BA114" s="213"/>
      <c r="BB114" s="213"/>
      <c r="BC114" s="213"/>
      <c r="BD114" s="213"/>
      <c r="BE114" s="213"/>
      <c r="BF114" s="213"/>
      <c r="BG114" s="213"/>
      <c r="BH114" s="213"/>
      <c r="BI114" s="213"/>
      <c r="BJ114" s="213"/>
      <c r="BK114" s="213"/>
      <c r="BL114" s="213"/>
      <c r="BM114" s="213"/>
      <c r="BN114" s="213"/>
      <c r="BO114" s="213"/>
      <c r="BP114" s="213"/>
      <c r="BQ114" s="213"/>
      <c r="BR114" s="213"/>
      <c r="BS114" s="213"/>
      <c r="BT114" s="213"/>
      <c r="BU114" s="213"/>
      <c r="BV114" s="213"/>
      <c r="BW114" s="213"/>
      <c r="BX114" s="213"/>
      <c r="BY114" s="213"/>
      <c r="BZ114" s="213"/>
      <c r="CA114" s="213"/>
      <c r="CB114" s="213"/>
      <c r="CC114" s="213"/>
      <c r="CD114" s="213"/>
      <c r="CE114" s="213"/>
      <c r="CF114" s="213"/>
      <c r="CG114" s="213"/>
      <c r="CH114" s="213"/>
      <c r="CI114" s="213"/>
      <c r="CJ114" s="213"/>
      <c r="CK114" s="213"/>
      <c r="CL114" s="213"/>
      <c r="CM114" s="213"/>
      <c r="CN114" s="213"/>
      <c r="CO114" s="213"/>
      <c r="CP114" s="213"/>
      <c r="CQ114" s="213"/>
      <c r="CR114" s="213"/>
      <c r="CS114" s="213"/>
      <c r="CT114" s="213"/>
      <c r="CU114" s="213"/>
      <c r="CV114" s="213"/>
      <c r="CW114" s="213"/>
      <c r="CX114" s="213"/>
      <c r="CY114" s="213"/>
      <c r="CZ114" s="213"/>
      <c r="DA114" s="213"/>
      <c r="DB114" s="213"/>
      <c r="DC114" s="213"/>
      <c r="DD114" s="213"/>
      <c r="DE114" s="213"/>
      <c r="DF114" s="213"/>
      <c r="DG114" s="213"/>
      <c r="DH114" s="213"/>
      <c r="DI114" s="213"/>
      <c r="DJ114" s="213"/>
      <c r="DK114" s="213"/>
      <c r="DL114" s="213"/>
      <c r="DM114" s="213"/>
      <c r="DN114" s="213"/>
      <c r="DO114" s="213"/>
      <c r="DP114" s="213"/>
      <c r="DQ114" s="213"/>
      <c r="DR114" s="213"/>
      <c r="DS114" s="213"/>
      <c r="DT114" s="213"/>
      <c r="DU114" s="213"/>
      <c r="DV114" s="210">
        <f>SUMPRODUCT((($I114+COLUMN($N$3:$DU$3)-COLUMN($N$3))&gt;='KALENDER MINGGU'!$B$6)*(($I114+COLUMN($N$3:$DU$3)-COLUMN($N$3))&lt;='KALENDER MINGGU'!$C$6)*(N114:DU114))/F114*H114</f>
        <v>0</v>
      </c>
      <c r="DW114" s="210">
        <f>SUMPRODUCT((($I114+COLUMN($N$3:$DU$3)-COLUMN($N$3))&gt;='KALENDER MINGGU'!$B$7)*(($I114+COLUMN($N$3:$DU$3)-COLUMN($N$3))&lt;='KALENDER MINGGU'!$C$7)*(N114:DU114))/F114*H114</f>
        <v>0</v>
      </c>
      <c r="DX114" s="210">
        <f>SUMPRODUCT((($I114+COLUMN($N$3:$DU$3)-COLUMN($N$3))&gt;='KALENDER MINGGU'!$B$8)*(($I114+COLUMN($N$3:$DU$3)-COLUMN($N$3))&lt;='KALENDER MINGGU'!$C$8)*(N114:DU114))/F114*H114</f>
        <v>0</v>
      </c>
      <c r="DY114" s="210">
        <f>SUMPRODUCT((($I114+COLUMN($N$3:$DU$3)-COLUMN($N$3))&gt;='KALENDER MINGGU'!$B$9)*(($I114+COLUMN($N$3:$DU$3)-COLUMN($N$3))&lt;='KALENDER MINGGU'!$C$9)*(N114:DU114))/F114*H114</f>
        <v>0</v>
      </c>
      <c r="DZ114" s="210">
        <f>SUMPRODUCT((($I114+COLUMN($N$3:$DU$3)-COLUMN($N$3))&gt;='KALENDER MINGGU'!$B$10)*(($I114+COLUMN($N$3:$DU$3)-COLUMN($N$3))&lt;='KALENDER MINGGU'!$C$10)*(N114:DU114))/F114*H114</f>
        <v>0</v>
      </c>
      <c r="EA114" s="210">
        <f>SUMPRODUCT((($I114+COLUMN($N$3:$DU$3)-COLUMN($N$3))&gt;='KALENDER MINGGU'!$B$11)*(($I114+COLUMN($N$3:$DU$3)-COLUMN($N$3))&lt;='KALENDER MINGGU'!$C$11)*(N114:DU114))/F114*H114</f>
        <v>0</v>
      </c>
      <c r="EB114" s="210">
        <f>SUMPRODUCT((($I114+COLUMN($N$3:$DU$3)-COLUMN($N$3))&gt;='KALENDER MINGGU'!$B$12)*(($I114+COLUMN($N$3:$DU$3)-COLUMN($N$3))&lt;='KALENDER MINGGU'!$C$12)*(N114:DU114))/F114*H114</f>
        <v>0</v>
      </c>
      <c r="EC114" s="210">
        <f>SUMPRODUCT((($I114+COLUMN($N$3:$DU$3)-COLUMN($N$3))&gt;='KALENDER MINGGU'!$B$13)*(($I114+COLUMN($N$3:$DU$3)-COLUMN($N$3))&lt;='KALENDER MINGGU'!$C$13)*(N114:DU114))/F114*H114</f>
        <v>0</v>
      </c>
      <c r="ED114" s="210">
        <f>SUMPRODUCT((($I114+COLUMN($N$3:$DU$3)-COLUMN($N$3))&gt;='KALENDER MINGGU'!$B$14)*(($I114+COLUMN($N$3:$DU$3)-COLUMN($N$3))&lt;='KALENDER MINGGU'!$C$14)*(N114:DU114))/F114*H114</f>
        <v>0</v>
      </c>
      <c r="EE114" s="210">
        <f>SUMPRODUCT((($I114+COLUMN($N$3:$DU$3)-COLUMN($N$3))&gt;='KALENDER MINGGU'!$B$15)*(($I114+COLUMN($N$3:$DU$3)-COLUMN($N$3))&lt;='KALENDER MINGGU'!$C$15)*(N114:DU114))/F114*H114</f>
        <v>0</v>
      </c>
      <c r="EF114" s="210">
        <f>SUMPRODUCT((($I114+COLUMN($N$3:$DU$3)-COLUMN($N$3))&gt;='KALENDER MINGGU'!$B$16)*(($I114+COLUMN($N$3:$DU$3)-COLUMN($N$3))&lt;='KALENDER MINGGU'!$C$16)*(N114:DU114))/F114*H114</f>
        <v>0</v>
      </c>
      <c r="EG114" s="210">
        <f>SUMPRODUCT((($I114+COLUMN($N$3:$DU$3)-COLUMN($N$3))&gt;='KALENDER MINGGU'!$B$17)*(($I114+COLUMN($N$3:$DU$3)-COLUMN($N$3))&lt;='KALENDER MINGGU'!$C$17)*(N114:DU114))/F114*H114</f>
        <v>0</v>
      </c>
      <c r="EH114" s="210">
        <f>SUMPRODUCT((($I114+COLUMN($N$3:$DU$3)-COLUMN($N$3))&gt;='KALENDER MINGGU'!$B$18)*(($I114+COLUMN($N$3:$DU$3)-COLUMN($N$3))&lt;='KALENDER MINGGU'!$C$18)*(N114:DU114))/F114*H114</f>
        <v>0</v>
      </c>
      <c r="EI114" s="210">
        <f>SUMPRODUCT((($I114+COLUMN($N$3:$DU$3)-COLUMN($N$3))&gt;='KALENDER MINGGU'!$B$19)*(($I114+COLUMN($N$3:$DU$3)-COLUMN($N$3))&lt;='KALENDER MINGGU'!$C$19)*(N114:DU114))/F114*H114</f>
        <v>0</v>
      </c>
      <c r="EJ114" s="210">
        <f>SUMPRODUCT((($I114+COLUMN($N$3:$DU$3)-COLUMN($N$3))&gt;='KALENDER MINGGU'!$B$20)*(($I114+COLUMN($N$3:$DU$3)-COLUMN($N$3))&lt;='KALENDER MINGGU'!$C$20)*(N114:DU114))/F114*H114</f>
        <v>0</v>
      </c>
      <c r="EK114" s="210">
        <f>SUMPRODUCT((($I114+COLUMN($N$3:$DU$3)-COLUMN($N$3))&gt;='KALENDER MINGGU'!$B$21)*(($I114+COLUMN($N$3:$DU$3)-COLUMN($N$3))&lt;='KALENDER MINGGU'!$C$21)*(N114:DU114))/F114*H114</f>
        <v>0</v>
      </c>
    </row>
    <row r="115" spans="1:141" ht="15" customHeight="1" x14ac:dyDescent="0.2">
      <c r="A115" s="208">
        <v>111</v>
      </c>
      <c r="B115" s="208">
        <v>202</v>
      </c>
      <c r="C115" s="208" t="str">
        <f>IF(B115&lt;160,'BOBOT PEK'!$B$4,IF(B115&lt;207,'BOBOT PEK'!$B$160,'BOBOT PEK'!$B$207))</f>
        <v>Pekerjaan Gudang Atas</v>
      </c>
      <c r="D115" s="208" t="s">
        <v>80</v>
      </c>
      <c r="E115" s="208" t="str">
        <f>'BOBOT PEK'!C202</f>
        <v>Pasang aluminium bubble dibawah atap+plat strip</v>
      </c>
      <c r="F115" s="209">
        <f>IF(OR('BOBOT PEK'!E202="",'BOBOT PEK'!E202=0),1,'BOBOT PEK'!E202)</f>
        <v>1560</v>
      </c>
      <c r="G115" s="208" t="str">
        <f>IF('BOBOT PEK'!F202="","ls",'BOBOT PEK'!F202)</f>
        <v>m2</v>
      </c>
      <c r="H115" s="210">
        <f>'BOBOT PEK'!J202</f>
        <v>4.789277306686377</v>
      </c>
      <c r="I115" s="211">
        <f>'KALENDER MINGGU'!$B$3</f>
        <v>46226</v>
      </c>
      <c r="J115" s="209">
        <f t="shared" si="12"/>
        <v>1560</v>
      </c>
      <c r="K115" s="209">
        <f t="shared" si="13"/>
        <v>0</v>
      </c>
      <c r="L115" s="212">
        <f t="shared" si="14"/>
        <v>1</v>
      </c>
      <c r="M115" s="208" t="str">
        <f t="shared" si="15"/>
        <v>OK</v>
      </c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  <c r="AA115" s="213"/>
      <c r="AB115" s="213"/>
      <c r="AC115" s="213"/>
      <c r="AD115" s="213"/>
      <c r="AE115" s="213"/>
      <c r="AF115" s="213"/>
      <c r="AG115" s="213"/>
      <c r="AH115" s="213"/>
      <c r="AI115" s="213"/>
      <c r="AJ115" s="213"/>
      <c r="AK115" s="213"/>
      <c r="AL115" s="213"/>
      <c r="AM115" s="213"/>
      <c r="AN115" s="213"/>
      <c r="AO115" s="213"/>
      <c r="AP115" s="213"/>
      <c r="AQ115" s="213"/>
      <c r="AR115" s="213"/>
      <c r="AS115" s="213"/>
      <c r="AT115" s="213"/>
      <c r="AU115" s="213"/>
      <c r="AV115" s="213">
        <f>20%*F115</f>
        <v>312</v>
      </c>
      <c r="AW115" s="213"/>
      <c r="AX115" s="213"/>
      <c r="AY115" s="213"/>
      <c r="AZ115" s="213"/>
      <c r="BA115" s="213"/>
      <c r="BB115" s="213">
        <v>300</v>
      </c>
      <c r="BC115" s="213"/>
      <c r="BD115" s="213"/>
      <c r="BE115" s="213">
        <v>90</v>
      </c>
      <c r="BF115" s="213">
        <v>90</v>
      </c>
      <c r="BG115" s="213">
        <v>150</v>
      </c>
      <c r="BH115" s="213">
        <v>150</v>
      </c>
      <c r="BI115" s="213">
        <v>150</v>
      </c>
      <c r="BJ115" s="213">
        <v>150</v>
      </c>
      <c r="BK115" s="213">
        <v>168</v>
      </c>
      <c r="BL115" s="213"/>
      <c r="BM115" s="213"/>
      <c r="BN115" s="213"/>
      <c r="BO115" s="213"/>
      <c r="BP115" s="213"/>
      <c r="BQ115" s="213"/>
      <c r="BR115" s="213"/>
      <c r="BS115" s="213"/>
      <c r="BT115" s="213"/>
      <c r="BU115" s="213"/>
      <c r="BV115" s="213"/>
      <c r="BW115" s="213"/>
      <c r="BX115" s="213"/>
      <c r="BY115" s="213"/>
      <c r="BZ115" s="213"/>
      <c r="CA115" s="213"/>
      <c r="CB115" s="213"/>
      <c r="CC115" s="213"/>
      <c r="CD115" s="213"/>
      <c r="CE115" s="213"/>
      <c r="CF115" s="213"/>
      <c r="CG115" s="213"/>
      <c r="CH115" s="213"/>
      <c r="CI115" s="213"/>
      <c r="CJ115" s="213"/>
      <c r="CK115" s="213"/>
      <c r="CL115" s="213"/>
      <c r="CM115" s="213"/>
      <c r="CN115" s="213"/>
      <c r="CO115" s="213"/>
      <c r="CP115" s="213"/>
      <c r="CQ115" s="213"/>
      <c r="CR115" s="213"/>
      <c r="CS115" s="213"/>
      <c r="CT115" s="213"/>
      <c r="CU115" s="213"/>
      <c r="CV115" s="213"/>
      <c r="CW115" s="213"/>
      <c r="CX115" s="213"/>
      <c r="CY115" s="213"/>
      <c r="CZ115" s="213"/>
      <c r="DA115" s="213"/>
      <c r="DB115" s="213"/>
      <c r="DC115" s="213"/>
      <c r="DD115" s="213"/>
      <c r="DE115" s="213"/>
      <c r="DF115" s="213"/>
      <c r="DG115" s="213"/>
      <c r="DH115" s="213"/>
      <c r="DI115" s="213"/>
      <c r="DJ115" s="213"/>
      <c r="DK115" s="213"/>
      <c r="DL115" s="213"/>
      <c r="DM115" s="213"/>
      <c r="DN115" s="213"/>
      <c r="DO115" s="213"/>
      <c r="DP115" s="213"/>
      <c r="DQ115" s="213"/>
      <c r="DR115" s="213"/>
      <c r="DS115" s="213"/>
      <c r="DT115" s="213"/>
      <c r="DU115" s="213"/>
      <c r="DV115" s="210">
        <f>SUMPRODUCT((($I115+COLUMN($N$3:$DU$3)-COLUMN($N$3))&gt;='KALENDER MINGGU'!$B$6)*(($I115+COLUMN($N$3:$DU$3)-COLUMN($N$3))&lt;='KALENDER MINGGU'!$C$6)*(N115:DU115))/F115*H115</f>
        <v>0</v>
      </c>
      <c r="DW115" s="210">
        <f>SUMPRODUCT((($I115+COLUMN($N$3:$DU$3)-COLUMN($N$3))&gt;='KALENDER MINGGU'!$B$7)*(($I115+COLUMN($N$3:$DU$3)-COLUMN($N$3))&lt;='KALENDER MINGGU'!$C$7)*(N115:DU115))/F115*H115</f>
        <v>0</v>
      </c>
      <c r="DX115" s="210">
        <f>SUMPRODUCT((($I115+COLUMN($N$3:$DU$3)-COLUMN($N$3))&gt;='KALENDER MINGGU'!$B$8)*(($I115+COLUMN($N$3:$DU$3)-COLUMN($N$3))&lt;='KALENDER MINGGU'!$C$8)*(N115:DU115))/F115*H115</f>
        <v>0</v>
      </c>
      <c r="DY115" s="210">
        <f>SUMPRODUCT((($I115+COLUMN($N$3:$DU$3)-COLUMN($N$3))&gt;='KALENDER MINGGU'!$B$9)*(($I115+COLUMN($N$3:$DU$3)-COLUMN($N$3))&lt;='KALENDER MINGGU'!$C$9)*(N115:DU115))/F115*H115</f>
        <v>0</v>
      </c>
      <c r="DZ115" s="210">
        <f>SUMPRODUCT((($I115+COLUMN($N$3:$DU$3)-COLUMN($N$3))&gt;='KALENDER MINGGU'!$B$10)*(($I115+COLUMN($N$3:$DU$3)-COLUMN($N$3))&lt;='KALENDER MINGGU'!$C$10)*(N115:DU115))/F115*H115</f>
        <v>0.95785546133727539</v>
      </c>
      <c r="EA115" s="210">
        <f>SUMPRODUCT((($I115+COLUMN($N$3:$DU$3)-COLUMN($N$3))&gt;='KALENDER MINGGU'!$B$11)*(($I115+COLUMN($N$3:$DU$3)-COLUMN($N$3))&lt;='KALENDER MINGGU'!$C$11)*(N115:DU115))/F115*H115</f>
        <v>0.92101486667045718</v>
      </c>
      <c r="EB115" s="210">
        <f>SUMPRODUCT((($I115+COLUMN($N$3:$DU$3)-COLUMN($N$3))&gt;='KALENDER MINGGU'!$B$12)*(($I115+COLUMN($N$3:$DU$3)-COLUMN($N$3))&lt;='KALENDER MINGGU'!$C$12)*(N115:DU115))/F115*H115</f>
        <v>2.3946386533431885</v>
      </c>
      <c r="EC115" s="210">
        <f>SUMPRODUCT((($I115+COLUMN($N$3:$DU$3)-COLUMN($N$3))&gt;='KALENDER MINGGU'!$B$13)*(($I115+COLUMN($N$3:$DU$3)-COLUMN($N$3))&lt;='KALENDER MINGGU'!$C$13)*(N115:DU115))/F115*H115</f>
        <v>0.51576832533545602</v>
      </c>
      <c r="ED115" s="210">
        <f>SUMPRODUCT((($I115+COLUMN($N$3:$DU$3)-COLUMN($N$3))&gt;='KALENDER MINGGU'!$B$14)*(($I115+COLUMN($N$3:$DU$3)-COLUMN($N$3))&lt;='KALENDER MINGGU'!$C$14)*(N115:DU115))/F115*H115</f>
        <v>0</v>
      </c>
      <c r="EE115" s="210">
        <f>SUMPRODUCT((($I115+COLUMN($N$3:$DU$3)-COLUMN($N$3))&gt;='KALENDER MINGGU'!$B$15)*(($I115+COLUMN($N$3:$DU$3)-COLUMN($N$3))&lt;='KALENDER MINGGU'!$C$15)*(N115:DU115))/F115*H115</f>
        <v>0</v>
      </c>
      <c r="EF115" s="210">
        <f>SUMPRODUCT((($I115+COLUMN($N$3:$DU$3)-COLUMN($N$3))&gt;='KALENDER MINGGU'!$B$16)*(($I115+COLUMN($N$3:$DU$3)-COLUMN($N$3))&lt;='KALENDER MINGGU'!$C$16)*(N115:DU115))/F115*H115</f>
        <v>0</v>
      </c>
      <c r="EG115" s="210">
        <f>SUMPRODUCT((($I115+COLUMN($N$3:$DU$3)-COLUMN($N$3))&gt;='KALENDER MINGGU'!$B$17)*(($I115+COLUMN($N$3:$DU$3)-COLUMN($N$3))&lt;='KALENDER MINGGU'!$C$17)*(N115:DU115))/F115*H115</f>
        <v>0</v>
      </c>
      <c r="EH115" s="210">
        <f>SUMPRODUCT((($I115+COLUMN($N$3:$DU$3)-COLUMN($N$3))&gt;='KALENDER MINGGU'!$B$18)*(($I115+COLUMN($N$3:$DU$3)-COLUMN($N$3))&lt;='KALENDER MINGGU'!$C$18)*(N115:DU115))/F115*H115</f>
        <v>0</v>
      </c>
      <c r="EI115" s="210">
        <f>SUMPRODUCT((($I115+COLUMN($N$3:$DU$3)-COLUMN($N$3))&gt;='KALENDER MINGGU'!$B$19)*(($I115+COLUMN($N$3:$DU$3)-COLUMN($N$3))&lt;='KALENDER MINGGU'!$C$19)*(N115:DU115))/F115*H115</f>
        <v>0</v>
      </c>
      <c r="EJ115" s="210">
        <f>SUMPRODUCT((($I115+COLUMN($N$3:$DU$3)-COLUMN($N$3))&gt;='KALENDER MINGGU'!$B$20)*(($I115+COLUMN($N$3:$DU$3)-COLUMN($N$3))&lt;='KALENDER MINGGU'!$C$20)*(N115:DU115))/F115*H115</f>
        <v>0</v>
      </c>
      <c r="EK115" s="210">
        <f>SUMPRODUCT((($I115+COLUMN($N$3:$DU$3)-COLUMN($N$3))&gt;='KALENDER MINGGU'!$B$21)*(($I115+COLUMN($N$3:$DU$3)-COLUMN($N$3))&lt;='KALENDER MINGGU'!$C$21)*(N115:DU115))/F115*H115</f>
        <v>0</v>
      </c>
    </row>
    <row r="116" spans="1:141" ht="15" customHeight="1" x14ac:dyDescent="0.2">
      <c r="A116" s="208">
        <v>112</v>
      </c>
      <c r="B116" s="208">
        <v>203</v>
      </c>
      <c r="C116" s="208" t="str">
        <f>IF(B116&lt;160,'BOBOT PEK'!$B$4,IF(B116&lt;207,'BOBOT PEK'!$B$160,'BOBOT PEK'!$B$207))</f>
        <v>Pekerjaan Gudang Atas</v>
      </c>
      <c r="D116" s="208" t="s">
        <v>80</v>
      </c>
      <c r="E116" s="208" t="str">
        <f>'BOBOT PEK'!C203</f>
        <v>Pekerjaan finishing cat dinding dan partisi</v>
      </c>
      <c r="F116" s="209">
        <f>IF(OR('BOBOT PEK'!E203="",'BOBOT PEK'!E203=0),1,'BOBOT PEK'!E203)</f>
        <v>720</v>
      </c>
      <c r="G116" s="208" t="str">
        <f>IF('BOBOT PEK'!F203="","ls",'BOBOT PEK'!F203)</f>
        <v>m²</v>
      </c>
      <c r="H116" s="210">
        <f>'BOBOT PEK'!J203</f>
        <v>1.0131163533375029</v>
      </c>
      <c r="I116" s="211">
        <f>'KALENDER MINGGU'!$B$3</f>
        <v>46226</v>
      </c>
      <c r="J116" s="209">
        <f t="shared" si="12"/>
        <v>0</v>
      </c>
      <c r="K116" s="209">
        <f t="shared" si="13"/>
        <v>720</v>
      </c>
      <c r="L116" s="212">
        <f t="shared" si="14"/>
        <v>0</v>
      </c>
      <c r="M116" s="208" t="str">
        <f t="shared" si="15"/>
        <v>OK</v>
      </c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  <c r="AA116" s="213"/>
      <c r="AB116" s="213"/>
      <c r="AC116" s="213"/>
      <c r="AD116" s="213"/>
      <c r="AE116" s="213"/>
      <c r="AF116" s="213"/>
      <c r="AG116" s="213"/>
      <c r="AH116" s="213"/>
      <c r="AI116" s="213"/>
      <c r="AJ116" s="213"/>
      <c r="AK116" s="213"/>
      <c r="AL116" s="213"/>
      <c r="AM116" s="213"/>
      <c r="AN116" s="213"/>
      <c r="AO116" s="213"/>
      <c r="AP116" s="213"/>
      <c r="AQ116" s="213"/>
      <c r="AR116" s="213"/>
      <c r="AS116" s="213"/>
      <c r="AT116" s="213"/>
      <c r="AU116" s="213"/>
      <c r="AV116" s="213"/>
      <c r="AW116" s="213"/>
      <c r="AX116" s="213"/>
      <c r="AY116" s="213"/>
      <c r="AZ116" s="213"/>
      <c r="BA116" s="213"/>
      <c r="BB116" s="213"/>
      <c r="BC116" s="213"/>
      <c r="BD116" s="213"/>
      <c r="BE116" s="213"/>
      <c r="BF116" s="213"/>
      <c r="BG116" s="213"/>
      <c r="BH116" s="213"/>
      <c r="BI116" s="213"/>
      <c r="BJ116" s="213"/>
      <c r="BK116" s="213"/>
      <c r="BL116" s="213"/>
      <c r="BM116" s="213"/>
      <c r="BN116" s="213"/>
      <c r="BO116" s="213"/>
      <c r="BP116" s="213"/>
      <c r="BQ116" s="213"/>
      <c r="BR116" s="213"/>
      <c r="BS116" s="213"/>
      <c r="BT116" s="213"/>
      <c r="BU116" s="213"/>
      <c r="BV116" s="213"/>
      <c r="BW116" s="213"/>
      <c r="BX116" s="213"/>
      <c r="BY116" s="213"/>
      <c r="BZ116" s="213"/>
      <c r="CA116" s="213"/>
      <c r="CB116" s="213"/>
      <c r="CC116" s="213"/>
      <c r="CD116" s="213"/>
      <c r="CE116" s="213"/>
      <c r="CF116" s="213"/>
      <c r="CG116" s="213"/>
      <c r="CH116" s="213"/>
      <c r="CI116" s="213"/>
      <c r="CJ116" s="213"/>
      <c r="CK116" s="213"/>
      <c r="CL116" s="213"/>
      <c r="CM116" s="213"/>
      <c r="CN116" s="213"/>
      <c r="CO116" s="213"/>
      <c r="CP116" s="213"/>
      <c r="CQ116" s="213"/>
      <c r="CR116" s="213"/>
      <c r="CS116" s="213"/>
      <c r="CT116" s="213"/>
      <c r="CU116" s="213"/>
      <c r="CV116" s="213"/>
      <c r="CW116" s="213"/>
      <c r="CX116" s="213"/>
      <c r="CY116" s="213"/>
      <c r="CZ116" s="213"/>
      <c r="DA116" s="213"/>
      <c r="DB116" s="213"/>
      <c r="DC116" s="213"/>
      <c r="DD116" s="213"/>
      <c r="DE116" s="213"/>
      <c r="DF116" s="213"/>
      <c r="DG116" s="213"/>
      <c r="DH116" s="213"/>
      <c r="DI116" s="213"/>
      <c r="DJ116" s="213"/>
      <c r="DK116" s="213"/>
      <c r="DL116" s="213"/>
      <c r="DM116" s="213"/>
      <c r="DN116" s="213"/>
      <c r="DO116" s="213"/>
      <c r="DP116" s="213"/>
      <c r="DQ116" s="213"/>
      <c r="DR116" s="213"/>
      <c r="DS116" s="213"/>
      <c r="DT116" s="213"/>
      <c r="DU116" s="213"/>
      <c r="DV116" s="210">
        <f>SUMPRODUCT((($I116+COLUMN($N$3:$DU$3)-COLUMN($N$3))&gt;='KALENDER MINGGU'!$B$6)*(($I116+COLUMN($N$3:$DU$3)-COLUMN($N$3))&lt;='KALENDER MINGGU'!$C$6)*(N116:DU116))/F116*H116</f>
        <v>0</v>
      </c>
      <c r="DW116" s="210">
        <f>SUMPRODUCT((($I116+COLUMN($N$3:$DU$3)-COLUMN($N$3))&gt;='KALENDER MINGGU'!$B$7)*(($I116+COLUMN($N$3:$DU$3)-COLUMN($N$3))&lt;='KALENDER MINGGU'!$C$7)*(N116:DU116))/F116*H116</f>
        <v>0</v>
      </c>
      <c r="DX116" s="210">
        <f>SUMPRODUCT((($I116+COLUMN($N$3:$DU$3)-COLUMN($N$3))&gt;='KALENDER MINGGU'!$B$8)*(($I116+COLUMN($N$3:$DU$3)-COLUMN($N$3))&lt;='KALENDER MINGGU'!$C$8)*(N116:DU116))/F116*H116</f>
        <v>0</v>
      </c>
      <c r="DY116" s="210">
        <f>SUMPRODUCT((($I116+COLUMN($N$3:$DU$3)-COLUMN($N$3))&gt;='KALENDER MINGGU'!$B$9)*(($I116+COLUMN($N$3:$DU$3)-COLUMN($N$3))&lt;='KALENDER MINGGU'!$C$9)*(N116:DU116))/F116*H116</f>
        <v>0</v>
      </c>
      <c r="DZ116" s="210">
        <f>SUMPRODUCT((($I116+COLUMN($N$3:$DU$3)-COLUMN($N$3))&gt;='KALENDER MINGGU'!$B$10)*(($I116+COLUMN($N$3:$DU$3)-COLUMN($N$3))&lt;='KALENDER MINGGU'!$C$10)*(N116:DU116))/F116*H116</f>
        <v>0</v>
      </c>
      <c r="EA116" s="210">
        <f>SUMPRODUCT((($I116+COLUMN($N$3:$DU$3)-COLUMN($N$3))&gt;='KALENDER MINGGU'!$B$11)*(($I116+COLUMN($N$3:$DU$3)-COLUMN($N$3))&lt;='KALENDER MINGGU'!$C$11)*(N116:DU116))/F116*H116</f>
        <v>0</v>
      </c>
      <c r="EB116" s="210">
        <f>SUMPRODUCT((($I116+COLUMN($N$3:$DU$3)-COLUMN($N$3))&gt;='KALENDER MINGGU'!$B$12)*(($I116+COLUMN($N$3:$DU$3)-COLUMN($N$3))&lt;='KALENDER MINGGU'!$C$12)*(N116:DU116))/F116*H116</f>
        <v>0</v>
      </c>
      <c r="EC116" s="210">
        <f>SUMPRODUCT((($I116+COLUMN($N$3:$DU$3)-COLUMN($N$3))&gt;='KALENDER MINGGU'!$B$13)*(($I116+COLUMN($N$3:$DU$3)-COLUMN($N$3))&lt;='KALENDER MINGGU'!$C$13)*(N116:DU116))/F116*H116</f>
        <v>0</v>
      </c>
      <c r="ED116" s="210">
        <f>SUMPRODUCT((($I116+COLUMN($N$3:$DU$3)-COLUMN($N$3))&gt;='KALENDER MINGGU'!$B$14)*(($I116+COLUMN($N$3:$DU$3)-COLUMN($N$3))&lt;='KALENDER MINGGU'!$C$14)*(N116:DU116))/F116*H116</f>
        <v>0</v>
      </c>
      <c r="EE116" s="210">
        <f>SUMPRODUCT((($I116+COLUMN($N$3:$DU$3)-COLUMN($N$3))&gt;='KALENDER MINGGU'!$B$15)*(($I116+COLUMN($N$3:$DU$3)-COLUMN($N$3))&lt;='KALENDER MINGGU'!$C$15)*(N116:DU116))/F116*H116</f>
        <v>0</v>
      </c>
      <c r="EF116" s="210">
        <f>SUMPRODUCT((($I116+COLUMN($N$3:$DU$3)-COLUMN($N$3))&gt;='KALENDER MINGGU'!$B$16)*(($I116+COLUMN($N$3:$DU$3)-COLUMN($N$3))&lt;='KALENDER MINGGU'!$C$16)*(N116:DU116))/F116*H116</f>
        <v>0</v>
      </c>
      <c r="EG116" s="210">
        <f>SUMPRODUCT((($I116+COLUMN($N$3:$DU$3)-COLUMN($N$3))&gt;='KALENDER MINGGU'!$B$17)*(($I116+COLUMN($N$3:$DU$3)-COLUMN($N$3))&lt;='KALENDER MINGGU'!$C$17)*(N116:DU116))/F116*H116</f>
        <v>0</v>
      </c>
      <c r="EH116" s="210">
        <f>SUMPRODUCT((($I116+COLUMN($N$3:$DU$3)-COLUMN($N$3))&gt;='KALENDER MINGGU'!$B$18)*(($I116+COLUMN($N$3:$DU$3)-COLUMN($N$3))&lt;='KALENDER MINGGU'!$C$18)*(N116:DU116))/F116*H116</f>
        <v>0</v>
      </c>
      <c r="EI116" s="210">
        <f>SUMPRODUCT((($I116+COLUMN($N$3:$DU$3)-COLUMN($N$3))&gt;='KALENDER MINGGU'!$B$19)*(($I116+COLUMN($N$3:$DU$3)-COLUMN($N$3))&lt;='KALENDER MINGGU'!$C$19)*(N116:DU116))/F116*H116</f>
        <v>0</v>
      </c>
      <c r="EJ116" s="210">
        <f>SUMPRODUCT((($I116+COLUMN($N$3:$DU$3)-COLUMN($N$3))&gt;='KALENDER MINGGU'!$B$20)*(($I116+COLUMN($N$3:$DU$3)-COLUMN($N$3))&lt;='KALENDER MINGGU'!$C$20)*(N116:DU116))/F116*H116</f>
        <v>0</v>
      </c>
      <c r="EK116" s="210">
        <f>SUMPRODUCT((($I116+COLUMN($N$3:$DU$3)-COLUMN($N$3))&gt;='KALENDER MINGGU'!$B$21)*(($I116+COLUMN($N$3:$DU$3)-COLUMN($N$3))&lt;='KALENDER MINGGU'!$C$21)*(N116:DU116))/F116*H116</f>
        <v>0</v>
      </c>
    </row>
    <row r="117" spans="1:141" ht="15" customHeight="1" x14ac:dyDescent="0.2">
      <c r="A117" s="208">
        <v>113</v>
      </c>
      <c r="B117" s="208">
        <v>212</v>
      </c>
      <c r="C117" s="208" t="str">
        <f>IF(B117&lt;160,'BOBOT PEK'!$B$4,IF(B117&lt;207,'BOBOT PEK'!$B$160,'BOBOT PEK'!$B$207))</f>
        <v>Toko OT 24 Jam</v>
      </c>
      <c r="D117" s="208" t="s">
        <v>38</v>
      </c>
      <c r="E117" s="208" t="str">
        <f>'BOBOT PEK'!C212</f>
        <v>Pekerjaan Persiapan</v>
      </c>
      <c r="F117" s="209">
        <f>IF(OR('BOBOT PEK'!E212="",'BOBOT PEK'!E212=0),1,'BOBOT PEK'!E212)</f>
        <v>1</v>
      </c>
      <c r="G117" s="208" t="str">
        <f>IF('BOBOT PEK'!F212="","ls",'BOBOT PEK'!F212)</f>
        <v>Is</v>
      </c>
      <c r="H117" s="210">
        <f>'BOBOT PEK'!J212</f>
        <v>4.3236531240918682E-2</v>
      </c>
      <c r="I117" s="211">
        <f>'KALENDER MINGGU'!$B$3</f>
        <v>46226</v>
      </c>
      <c r="J117" s="209">
        <f t="shared" si="12"/>
        <v>1</v>
      </c>
      <c r="K117" s="209">
        <f t="shared" si="13"/>
        <v>0</v>
      </c>
      <c r="L117" s="212">
        <f t="shared" si="14"/>
        <v>1</v>
      </c>
      <c r="M117" s="208" t="str">
        <f t="shared" si="15"/>
        <v>OK</v>
      </c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  <c r="AA117" s="213"/>
      <c r="AB117" s="213"/>
      <c r="AC117" s="213">
        <v>0.1</v>
      </c>
      <c r="AD117" s="213"/>
      <c r="AE117" s="213"/>
      <c r="AF117" s="213"/>
      <c r="AG117" s="213"/>
      <c r="AH117" s="213"/>
      <c r="AI117" s="213"/>
      <c r="AJ117" s="213"/>
      <c r="AK117" s="213">
        <v>0.5</v>
      </c>
      <c r="AL117" s="213"/>
      <c r="AM117" s="213"/>
      <c r="AN117" s="213"/>
      <c r="AO117" s="213"/>
      <c r="AP117" s="213"/>
      <c r="AQ117" s="213"/>
      <c r="AR117" s="213"/>
      <c r="AS117" s="213"/>
      <c r="AT117" s="213"/>
      <c r="AU117" s="213"/>
      <c r="AV117" s="213"/>
      <c r="AW117" s="213"/>
      <c r="AX117" s="213">
        <v>0.4</v>
      </c>
      <c r="AY117" s="213"/>
      <c r="AZ117" s="213"/>
      <c r="BA117" s="213"/>
      <c r="BB117" s="213"/>
      <c r="BC117" s="213"/>
      <c r="BD117" s="213"/>
      <c r="BE117" s="213"/>
      <c r="BF117" s="213"/>
      <c r="BG117" s="213"/>
      <c r="BH117" s="213"/>
      <c r="BI117" s="213"/>
      <c r="BJ117" s="213"/>
      <c r="BK117" s="213"/>
      <c r="BL117" s="213"/>
      <c r="BM117" s="213"/>
      <c r="BN117" s="213"/>
      <c r="BO117" s="213"/>
      <c r="BP117" s="213"/>
      <c r="BQ117" s="213"/>
      <c r="BR117" s="213"/>
      <c r="BS117" s="213"/>
      <c r="BT117" s="213"/>
      <c r="BU117" s="213"/>
      <c r="BV117" s="213"/>
      <c r="BW117" s="213"/>
      <c r="BX117" s="213"/>
      <c r="BY117" s="213"/>
      <c r="BZ117" s="213"/>
      <c r="CA117" s="213"/>
      <c r="CB117" s="213"/>
      <c r="CC117" s="213"/>
      <c r="CD117" s="213"/>
      <c r="CE117" s="213"/>
      <c r="CF117" s="213"/>
      <c r="CG117" s="213"/>
      <c r="CH117" s="213"/>
      <c r="CI117" s="213"/>
      <c r="CJ117" s="213"/>
      <c r="CK117" s="213"/>
      <c r="CL117" s="213"/>
      <c r="CM117" s="213"/>
      <c r="CN117" s="213"/>
      <c r="CO117" s="213"/>
      <c r="CP117" s="213"/>
      <c r="CQ117" s="213"/>
      <c r="CR117" s="213"/>
      <c r="CS117" s="213"/>
      <c r="CT117" s="213"/>
      <c r="CU117" s="213"/>
      <c r="CV117" s="213"/>
      <c r="CW117" s="213"/>
      <c r="CX117" s="213"/>
      <c r="CY117" s="213"/>
      <c r="CZ117" s="213"/>
      <c r="DA117" s="213"/>
      <c r="DB117" s="213"/>
      <c r="DC117" s="213"/>
      <c r="DD117" s="213"/>
      <c r="DE117" s="213"/>
      <c r="DF117" s="213"/>
      <c r="DG117" s="213"/>
      <c r="DH117" s="213"/>
      <c r="DI117" s="213"/>
      <c r="DJ117" s="213"/>
      <c r="DK117" s="213"/>
      <c r="DL117" s="213"/>
      <c r="DM117" s="213"/>
      <c r="DN117" s="213"/>
      <c r="DO117" s="213"/>
      <c r="DP117" s="213"/>
      <c r="DQ117" s="213"/>
      <c r="DR117" s="213"/>
      <c r="DS117" s="213"/>
      <c r="DT117" s="213"/>
      <c r="DU117" s="213"/>
      <c r="DV117" s="210">
        <f>SUMPRODUCT((($I117+COLUMN($N$3:$DU$3)-COLUMN($N$3))&gt;='KALENDER MINGGU'!$B$6)*(($I117+COLUMN($N$3:$DU$3)-COLUMN($N$3))&lt;='KALENDER MINGGU'!$C$6)*(N117:DU117))/F117*H117</f>
        <v>0</v>
      </c>
      <c r="DW117" s="210">
        <f>SUMPRODUCT((($I117+COLUMN($N$3:$DU$3)-COLUMN($N$3))&gt;='KALENDER MINGGU'!$B$7)*(($I117+COLUMN($N$3:$DU$3)-COLUMN($N$3))&lt;='KALENDER MINGGU'!$C$7)*(N117:DU117))/F117*H117</f>
        <v>0</v>
      </c>
      <c r="DX117" s="210">
        <f>SUMPRODUCT((($I117+COLUMN($N$3:$DU$3)-COLUMN($N$3))&gt;='KALENDER MINGGU'!$B$8)*(($I117+COLUMN($N$3:$DU$3)-COLUMN($N$3))&lt;='KALENDER MINGGU'!$C$8)*(N117:DU117))/F117*H117</f>
        <v>4.3236531240918681E-3</v>
      </c>
      <c r="DY117" s="210">
        <f>SUMPRODUCT((($I117+COLUMN($N$3:$DU$3)-COLUMN($N$3))&gt;='KALENDER MINGGU'!$B$9)*(($I117+COLUMN($N$3:$DU$3)-COLUMN($N$3))&lt;='KALENDER MINGGU'!$C$9)*(N117:DU117))/F117*H117</f>
        <v>2.1618265620459341E-2</v>
      </c>
      <c r="DZ117" s="210">
        <f>SUMPRODUCT((($I117+COLUMN($N$3:$DU$3)-COLUMN($N$3))&gt;='KALENDER MINGGU'!$B$10)*(($I117+COLUMN($N$3:$DU$3)-COLUMN($N$3))&lt;='KALENDER MINGGU'!$C$10)*(N117:DU117))/F117*H117</f>
        <v>0</v>
      </c>
      <c r="EA117" s="210">
        <f>SUMPRODUCT((($I117+COLUMN($N$3:$DU$3)-COLUMN($N$3))&gt;='KALENDER MINGGU'!$B$11)*(($I117+COLUMN($N$3:$DU$3)-COLUMN($N$3))&lt;='KALENDER MINGGU'!$C$11)*(N117:DU117))/F117*H117</f>
        <v>1.7294612496367472E-2</v>
      </c>
      <c r="EB117" s="210">
        <f>SUMPRODUCT((($I117+COLUMN($N$3:$DU$3)-COLUMN($N$3))&gt;='KALENDER MINGGU'!$B$12)*(($I117+COLUMN($N$3:$DU$3)-COLUMN($N$3))&lt;='KALENDER MINGGU'!$C$12)*(N117:DU117))/F117*H117</f>
        <v>0</v>
      </c>
      <c r="EC117" s="210">
        <f>SUMPRODUCT((($I117+COLUMN($N$3:$DU$3)-COLUMN($N$3))&gt;='KALENDER MINGGU'!$B$13)*(($I117+COLUMN($N$3:$DU$3)-COLUMN($N$3))&lt;='KALENDER MINGGU'!$C$13)*(N117:DU117))/F117*H117</f>
        <v>0</v>
      </c>
      <c r="ED117" s="210">
        <f>SUMPRODUCT((($I117+COLUMN($N$3:$DU$3)-COLUMN($N$3))&gt;='KALENDER MINGGU'!$B$14)*(($I117+COLUMN($N$3:$DU$3)-COLUMN($N$3))&lt;='KALENDER MINGGU'!$C$14)*(N117:DU117))/F117*H117</f>
        <v>0</v>
      </c>
      <c r="EE117" s="210">
        <f>SUMPRODUCT((($I117+COLUMN($N$3:$DU$3)-COLUMN($N$3))&gt;='KALENDER MINGGU'!$B$15)*(($I117+COLUMN($N$3:$DU$3)-COLUMN($N$3))&lt;='KALENDER MINGGU'!$C$15)*(N117:DU117))/F117*H117</f>
        <v>0</v>
      </c>
      <c r="EF117" s="210">
        <f>SUMPRODUCT((($I117+COLUMN($N$3:$DU$3)-COLUMN($N$3))&gt;='KALENDER MINGGU'!$B$16)*(($I117+COLUMN($N$3:$DU$3)-COLUMN($N$3))&lt;='KALENDER MINGGU'!$C$16)*(N117:DU117))/F117*H117</f>
        <v>0</v>
      </c>
      <c r="EG117" s="210">
        <f>SUMPRODUCT((($I117+COLUMN($N$3:$DU$3)-COLUMN($N$3))&gt;='KALENDER MINGGU'!$B$17)*(($I117+COLUMN($N$3:$DU$3)-COLUMN($N$3))&lt;='KALENDER MINGGU'!$C$17)*(N117:DU117))/F117*H117</f>
        <v>0</v>
      </c>
      <c r="EH117" s="210">
        <f>SUMPRODUCT((($I117+COLUMN($N$3:$DU$3)-COLUMN($N$3))&gt;='KALENDER MINGGU'!$B$18)*(($I117+COLUMN($N$3:$DU$3)-COLUMN($N$3))&lt;='KALENDER MINGGU'!$C$18)*(N117:DU117))/F117*H117</f>
        <v>0</v>
      </c>
      <c r="EI117" s="210">
        <f>SUMPRODUCT((($I117+COLUMN($N$3:$DU$3)-COLUMN($N$3))&gt;='KALENDER MINGGU'!$B$19)*(($I117+COLUMN($N$3:$DU$3)-COLUMN($N$3))&lt;='KALENDER MINGGU'!$C$19)*(N117:DU117))/F117*H117</f>
        <v>0</v>
      </c>
      <c r="EJ117" s="210">
        <f>SUMPRODUCT((($I117+COLUMN($N$3:$DU$3)-COLUMN($N$3))&gt;='KALENDER MINGGU'!$B$20)*(($I117+COLUMN($N$3:$DU$3)-COLUMN($N$3))&lt;='KALENDER MINGGU'!$C$20)*(N117:DU117))/F117*H117</f>
        <v>0</v>
      </c>
      <c r="EK117" s="210">
        <f>SUMPRODUCT((($I117+COLUMN($N$3:$DU$3)-COLUMN($N$3))&gt;='KALENDER MINGGU'!$B$21)*(($I117+COLUMN($N$3:$DU$3)-COLUMN($N$3))&lt;='KALENDER MINGGU'!$C$21)*(N117:DU117))/F117*H117</f>
        <v>0</v>
      </c>
    </row>
    <row r="118" spans="1:141" ht="21.75" customHeight="1" x14ac:dyDescent="0.2">
      <c r="A118" s="208">
        <v>114</v>
      </c>
      <c r="B118" s="208">
        <v>213</v>
      </c>
      <c r="C118" s="208" t="str">
        <f>IF(B118&lt;160,'BOBOT PEK'!$B$4,IF(B118&lt;207,'BOBOT PEK'!$B$160,'BOBOT PEK'!$B$207))</f>
        <v>Toko OT 24 Jam</v>
      </c>
      <c r="D118" s="208" t="s">
        <v>38</v>
      </c>
      <c r="E118" s="214" t="str">
        <f>'BOBOT PEK'!C213</f>
        <v>Pembersihan Lahan
tebang pohon dan buang puing</v>
      </c>
      <c r="F118" s="209">
        <f>IF(OR('BOBOT PEK'!E213="",'BOBOT PEK'!E213=0),1,'BOBOT PEK'!E213)</f>
        <v>1</v>
      </c>
      <c r="G118" s="208" t="str">
        <f>IF('BOBOT PEK'!F213="","ls",'BOBOT PEK'!F213)</f>
        <v>Is</v>
      </c>
      <c r="H118" s="210">
        <f>'BOBOT PEK'!J213</f>
        <v>0.1662943509266103</v>
      </c>
      <c r="I118" s="211">
        <f>'KALENDER MINGGU'!$B$3</f>
        <v>46226</v>
      </c>
      <c r="J118" s="209">
        <f t="shared" si="12"/>
        <v>1</v>
      </c>
      <c r="K118" s="209">
        <f t="shared" si="13"/>
        <v>0</v>
      </c>
      <c r="L118" s="212">
        <f t="shared" si="14"/>
        <v>1</v>
      </c>
      <c r="M118" s="208" t="str">
        <f t="shared" si="15"/>
        <v>OK</v>
      </c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  <c r="AA118" s="213"/>
      <c r="AB118" s="213"/>
      <c r="AC118" s="213"/>
      <c r="AD118" s="213"/>
      <c r="AE118" s="213"/>
      <c r="AF118" s="213"/>
      <c r="AG118" s="213"/>
      <c r="AH118" s="213"/>
      <c r="AI118" s="213"/>
      <c r="AJ118" s="213"/>
      <c r="AK118" s="213"/>
      <c r="AL118" s="213"/>
      <c r="AM118" s="213"/>
      <c r="AN118" s="213"/>
      <c r="AO118" s="213">
        <v>0.2</v>
      </c>
      <c r="AP118" s="213"/>
      <c r="AQ118" s="213"/>
      <c r="AR118" s="213"/>
      <c r="AS118" s="213"/>
      <c r="AT118" s="213"/>
      <c r="AU118" s="213"/>
      <c r="AV118" s="213"/>
      <c r="AW118" s="213"/>
      <c r="AX118" s="213">
        <v>0.8</v>
      </c>
      <c r="AY118" s="213"/>
      <c r="AZ118" s="213"/>
      <c r="BA118" s="213"/>
      <c r="BB118" s="213"/>
      <c r="BC118" s="213"/>
      <c r="BD118" s="213"/>
      <c r="BE118" s="213"/>
      <c r="BF118" s="213"/>
      <c r="BG118" s="213"/>
      <c r="BH118" s="213"/>
      <c r="BI118" s="213"/>
      <c r="BJ118" s="213"/>
      <c r="BK118" s="213"/>
      <c r="BL118" s="213"/>
      <c r="BM118" s="213"/>
      <c r="BN118" s="213"/>
      <c r="BO118" s="213"/>
      <c r="BP118" s="213"/>
      <c r="BQ118" s="213"/>
      <c r="BR118" s="213"/>
      <c r="BS118" s="213"/>
      <c r="BT118" s="213"/>
      <c r="BU118" s="213"/>
      <c r="BV118" s="213"/>
      <c r="BW118" s="213"/>
      <c r="BX118" s="213"/>
      <c r="BY118" s="213"/>
      <c r="BZ118" s="213"/>
      <c r="CA118" s="213"/>
      <c r="CB118" s="213"/>
      <c r="CC118" s="213"/>
      <c r="CD118" s="213"/>
      <c r="CE118" s="213"/>
      <c r="CF118" s="213"/>
      <c r="CG118" s="213"/>
      <c r="CH118" s="213"/>
      <c r="CI118" s="213"/>
      <c r="CJ118" s="213"/>
      <c r="CK118" s="213"/>
      <c r="CL118" s="213"/>
      <c r="CM118" s="213"/>
      <c r="CN118" s="213"/>
      <c r="CO118" s="213"/>
      <c r="CP118" s="213"/>
      <c r="CQ118" s="213"/>
      <c r="CR118" s="213"/>
      <c r="CS118" s="213"/>
      <c r="CT118" s="213"/>
      <c r="CU118" s="213"/>
      <c r="CV118" s="213"/>
      <c r="CW118" s="213"/>
      <c r="CX118" s="213"/>
      <c r="CY118" s="213"/>
      <c r="CZ118" s="213"/>
      <c r="DA118" s="213"/>
      <c r="DB118" s="213"/>
      <c r="DC118" s="213"/>
      <c r="DD118" s="213"/>
      <c r="DE118" s="213"/>
      <c r="DF118" s="213"/>
      <c r="DG118" s="213"/>
      <c r="DH118" s="213"/>
      <c r="DI118" s="213"/>
      <c r="DJ118" s="213"/>
      <c r="DK118" s="213"/>
      <c r="DL118" s="213"/>
      <c r="DM118" s="213"/>
      <c r="DN118" s="213"/>
      <c r="DO118" s="213"/>
      <c r="DP118" s="213"/>
      <c r="DQ118" s="213"/>
      <c r="DR118" s="213"/>
      <c r="DS118" s="213"/>
      <c r="DT118" s="213"/>
      <c r="DU118" s="213"/>
      <c r="DV118" s="210">
        <f>SUMPRODUCT((($I118+COLUMN($N$3:$DU$3)-COLUMN($N$3))&gt;='KALENDER MINGGU'!$B$6)*(($I118+COLUMN($N$3:$DU$3)-COLUMN($N$3))&lt;='KALENDER MINGGU'!$C$6)*(N118:DU118))/F118*H118</f>
        <v>0</v>
      </c>
      <c r="DW118" s="210">
        <f>SUMPRODUCT((($I118+COLUMN($N$3:$DU$3)-COLUMN($N$3))&gt;='KALENDER MINGGU'!$B$7)*(($I118+COLUMN($N$3:$DU$3)-COLUMN($N$3))&lt;='KALENDER MINGGU'!$C$7)*(N118:DU118))/F118*H118</f>
        <v>0</v>
      </c>
      <c r="DX118" s="210">
        <f>SUMPRODUCT((($I118+COLUMN($N$3:$DU$3)-COLUMN($N$3))&gt;='KALENDER MINGGU'!$B$8)*(($I118+COLUMN($N$3:$DU$3)-COLUMN($N$3))&lt;='KALENDER MINGGU'!$C$8)*(N118:DU118))/F118*H118</f>
        <v>0</v>
      </c>
      <c r="DY118" s="210">
        <f>SUMPRODUCT((($I118+COLUMN($N$3:$DU$3)-COLUMN($N$3))&gt;='KALENDER MINGGU'!$B$9)*(($I118+COLUMN($N$3:$DU$3)-COLUMN($N$3))&lt;='KALENDER MINGGU'!$C$9)*(N118:DU118))/F118*H118</f>
        <v>3.3258870185322059E-2</v>
      </c>
      <c r="DZ118" s="210">
        <f>SUMPRODUCT((($I118+COLUMN($N$3:$DU$3)-COLUMN($N$3))&gt;='KALENDER MINGGU'!$B$10)*(($I118+COLUMN($N$3:$DU$3)-COLUMN($N$3))&lt;='KALENDER MINGGU'!$C$10)*(N118:DU118))/F118*H118</f>
        <v>0</v>
      </c>
      <c r="EA118" s="210">
        <f>SUMPRODUCT((($I118+COLUMN($N$3:$DU$3)-COLUMN($N$3))&gt;='KALENDER MINGGU'!$B$11)*(($I118+COLUMN($N$3:$DU$3)-COLUMN($N$3))&lt;='KALENDER MINGGU'!$C$11)*(N118:DU118))/F118*H118</f>
        <v>0.13303548074128824</v>
      </c>
      <c r="EB118" s="210">
        <f>SUMPRODUCT((($I118+COLUMN($N$3:$DU$3)-COLUMN($N$3))&gt;='KALENDER MINGGU'!$B$12)*(($I118+COLUMN($N$3:$DU$3)-COLUMN($N$3))&lt;='KALENDER MINGGU'!$C$12)*(N118:DU118))/F118*H118</f>
        <v>0</v>
      </c>
      <c r="EC118" s="210">
        <f>SUMPRODUCT((($I118+COLUMN($N$3:$DU$3)-COLUMN($N$3))&gt;='KALENDER MINGGU'!$B$13)*(($I118+COLUMN($N$3:$DU$3)-COLUMN($N$3))&lt;='KALENDER MINGGU'!$C$13)*(N118:DU118))/F118*H118</f>
        <v>0</v>
      </c>
      <c r="ED118" s="210">
        <f>SUMPRODUCT((($I118+COLUMN($N$3:$DU$3)-COLUMN($N$3))&gt;='KALENDER MINGGU'!$B$14)*(($I118+COLUMN($N$3:$DU$3)-COLUMN($N$3))&lt;='KALENDER MINGGU'!$C$14)*(N118:DU118))/F118*H118</f>
        <v>0</v>
      </c>
      <c r="EE118" s="210">
        <f>SUMPRODUCT((($I118+COLUMN($N$3:$DU$3)-COLUMN($N$3))&gt;='KALENDER MINGGU'!$B$15)*(($I118+COLUMN($N$3:$DU$3)-COLUMN($N$3))&lt;='KALENDER MINGGU'!$C$15)*(N118:DU118))/F118*H118</f>
        <v>0</v>
      </c>
      <c r="EF118" s="210">
        <f>SUMPRODUCT((($I118+COLUMN($N$3:$DU$3)-COLUMN($N$3))&gt;='KALENDER MINGGU'!$B$16)*(($I118+COLUMN($N$3:$DU$3)-COLUMN($N$3))&lt;='KALENDER MINGGU'!$C$16)*(N118:DU118))/F118*H118</f>
        <v>0</v>
      </c>
      <c r="EG118" s="210">
        <f>SUMPRODUCT((($I118+COLUMN($N$3:$DU$3)-COLUMN($N$3))&gt;='KALENDER MINGGU'!$B$17)*(($I118+COLUMN($N$3:$DU$3)-COLUMN($N$3))&lt;='KALENDER MINGGU'!$C$17)*(N118:DU118))/F118*H118</f>
        <v>0</v>
      </c>
      <c r="EH118" s="210">
        <f>SUMPRODUCT((($I118+COLUMN($N$3:$DU$3)-COLUMN($N$3))&gt;='KALENDER MINGGU'!$B$18)*(($I118+COLUMN($N$3:$DU$3)-COLUMN($N$3))&lt;='KALENDER MINGGU'!$C$18)*(N118:DU118))/F118*H118</f>
        <v>0</v>
      </c>
      <c r="EI118" s="210">
        <f>SUMPRODUCT((($I118+COLUMN($N$3:$DU$3)-COLUMN($N$3))&gt;='KALENDER MINGGU'!$B$19)*(($I118+COLUMN($N$3:$DU$3)-COLUMN($N$3))&lt;='KALENDER MINGGU'!$C$19)*(N118:DU118))/F118*H118</f>
        <v>0</v>
      </c>
      <c r="EJ118" s="210">
        <f>SUMPRODUCT((($I118+COLUMN($N$3:$DU$3)-COLUMN($N$3))&gt;='KALENDER MINGGU'!$B$20)*(($I118+COLUMN($N$3:$DU$3)-COLUMN($N$3))&lt;='KALENDER MINGGU'!$C$20)*(N118:DU118))/F118*H118</f>
        <v>0</v>
      </c>
      <c r="EK118" s="210">
        <f>SUMPRODUCT((($I118+COLUMN($N$3:$DU$3)-COLUMN($N$3))&gt;='KALENDER MINGGU'!$B$21)*(($I118+COLUMN($N$3:$DU$3)-COLUMN($N$3))&lt;='KALENDER MINGGU'!$C$21)*(N118:DU118))/F118*H118</f>
        <v>0</v>
      </c>
    </row>
    <row r="119" spans="1:141" ht="21.75" customHeight="1" x14ac:dyDescent="0.2">
      <c r="A119" s="208">
        <v>115</v>
      </c>
      <c r="B119" s="208">
        <v>214</v>
      </c>
      <c r="C119" s="208" t="str">
        <f>IF(B119&lt;160,'BOBOT PEK'!$B$4,IF(B119&lt;207,'BOBOT PEK'!$B$160,'BOBOT PEK'!$B$207))</f>
        <v>Toko OT 24 Jam</v>
      </c>
      <c r="D119" s="208" t="s">
        <v>38</v>
      </c>
      <c r="E119" s="214" t="str">
        <f>'BOBOT PEK'!C214</f>
        <v xml:space="preserve">Skafolding dan Alat Bantu Pekerjaan
</v>
      </c>
      <c r="F119" s="209">
        <f>IF(OR('BOBOT PEK'!E214="",'BOBOT PEK'!E214=0),1,'BOBOT PEK'!E214)</f>
        <v>1</v>
      </c>
      <c r="G119" s="208" t="str">
        <f>IF('BOBOT PEK'!F214="","ls",'BOBOT PEK'!F214)</f>
        <v>Is</v>
      </c>
      <c r="H119" s="210">
        <f>'BOBOT PEK'!J214</f>
        <v>6.6517740370644132E-2</v>
      </c>
      <c r="I119" s="211">
        <f>'KALENDER MINGGU'!$B$3</f>
        <v>46226</v>
      </c>
      <c r="J119" s="209">
        <f t="shared" si="12"/>
        <v>1</v>
      </c>
      <c r="K119" s="209">
        <f t="shared" si="13"/>
        <v>0</v>
      </c>
      <c r="L119" s="212">
        <f t="shared" si="14"/>
        <v>1</v>
      </c>
      <c r="M119" s="208" t="str">
        <f t="shared" si="15"/>
        <v>OK</v>
      </c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  <c r="AA119" s="213"/>
      <c r="AB119" s="213"/>
      <c r="AC119" s="213"/>
      <c r="AD119" s="213"/>
      <c r="AE119" s="213"/>
      <c r="AF119" s="213"/>
      <c r="AG119" s="213"/>
      <c r="AH119" s="213"/>
      <c r="AI119" s="213"/>
      <c r="AJ119" s="213"/>
      <c r="AK119" s="213"/>
      <c r="AL119" s="213"/>
      <c r="AM119" s="213"/>
      <c r="AN119" s="213"/>
      <c r="AO119" s="213"/>
      <c r="AP119" s="213"/>
      <c r="AQ119" s="213"/>
      <c r="AR119" s="213"/>
      <c r="AS119" s="213"/>
      <c r="AT119" s="213"/>
      <c r="AU119" s="213"/>
      <c r="AV119" s="213"/>
      <c r="AW119" s="213">
        <v>1</v>
      </c>
      <c r="AX119" s="213"/>
      <c r="AY119" s="213"/>
      <c r="AZ119" s="213"/>
      <c r="BA119" s="213"/>
      <c r="BB119" s="213"/>
      <c r="BC119" s="213"/>
      <c r="BD119" s="213"/>
      <c r="BE119" s="213"/>
      <c r="BF119" s="213"/>
      <c r="BG119" s="213"/>
      <c r="BH119" s="213"/>
      <c r="BI119" s="213"/>
      <c r="BJ119" s="213"/>
      <c r="BK119" s="213"/>
      <c r="BL119" s="213"/>
      <c r="BM119" s="213"/>
      <c r="BN119" s="213"/>
      <c r="BO119" s="213"/>
      <c r="BP119" s="213"/>
      <c r="BQ119" s="213"/>
      <c r="BR119" s="213"/>
      <c r="BS119" s="213"/>
      <c r="BT119" s="213"/>
      <c r="BU119" s="213"/>
      <c r="BV119" s="213"/>
      <c r="BW119" s="213"/>
      <c r="BX119" s="213"/>
      <c r="BY119" s="213"/>
      <c r="BZ119" s="213"/>
      <c r="CA119" s="213"/>
      <c r="CB119" s="213"/>
      <c r="CC119" s="213"/>
      <c r="CD119" s="213"/>
      <c r="CE119" s="213"/>
      <c r="CF119" s="213"/>
      <c r="CG119" s="213"/>
      <c r="CH119" s="213"/>
      <c r="CI119" s="213"/>
      <c r="CJ119" s="213"/>
      <c r="CK119" s="213"/>
      <c r="CL119" s="213"/>
      <c r="CM119" s="213"/>
      <c r="CN119" s="213"/>
      <c r="CO119" s="213"/>
      <c r="CP119" s="213"/>
      <c r="CQ119" s="213"/>
      <c r="CR119" s="213"/>
      <c r="CS119" s="213"/>
      <c r="CT119" s="213"/>
      <c r="CU119" s="213"/>
      <c r="CV119" s="213"/>
      <c r="CW119" s="213"/>
      <c r="CX119" s="213"/>
      <c r="CY119" s="213"/>
      <c r="CZ119" s="213"/>
      <c r="DA119" s="213"/>
      <c r="DB119" s="213"/>
      <c r="DC119" s="213"/>
      <c r="DD119" s="213"/>
      <c r="DE119" s="213"/>
      <c r="DF119" s="213"/>
      <c r="DG119" s="213"/>
      <c r="DH119" s="213"/>
      <c r="DI119" s="213"/>
      <c r="DJ119" s="213"/>
      <c r="DK119" s="213"/>
      <c r="DL119" s="213"/>
      <c r="DM119" s="213"/>
      <c r="DN119" s="213"/>
      <c r="DO119" s="213"/>
      <c r="DP119" s="213"/>
      <c r="DQ119" s="213"/>
      <c r="DR119" s="213"/>
      <c r="DS119" s="213"/>
      <c r="DT119" s="213"/>
      <c r="DU119" s="213"/>
      <c r="DV119" s="210">
        <f>SUMPRODUCT((($I119+COLUMN($N$3:$DU$3)-COLUMN($N$3))&gt;='KALENDER MINGGU'!$B$6)*(($I119+COLUMN($N$3:$DU$3)-COLUMN($N$3))&lt;='KALENDER MINGGU'!$C$6)*(N119:DU119))/F119*H119</f>
        <v>0</v>
      </c>
      <c r="DW119" s="210">
        <f>SUMPRODUCT((($I119+COLUMN($N$3:$DU$3)-COLUMN($N$3))&gt;='KALENDER MINGGU'!$B$7)*(($I119+COLUMN($N$3:$DU$3)-COLUMN($N$3))&lt;='KALENDER MINGGU'!$C$7)*(N119:DU119))/F119*H119</f>
        <v>0</v>
      </c>
      <c r="DX119" s="210">
        <f>SUMPRODUCT((($I119+COLUMN($N$3:$DU$3)-COLUMN($N$3))&gt;='KALENDER MINGGU'!$B$8)*(($I119+COLUMN($N$3:$DU$3)-COLUMN($N$3))&lt;='KALENDER MINGGU'!$C$8)*(N119:DU119))/F119*H119</f>
        <v>0</v>
      </c>
      <c r="DY119" s="210">
        <f>SUMPRODUCT((($I119+COLUMN($N$3:$DU$3)-COLUMN($N$3))&gt;='KALENDER MINGGU'!$B$9)*(($I119+COLUMN($N$3:$DU$3)-COLUMN($N$3))&lt;='KALENDER MINGGU'!$C$9)*(N119:DU119))/F119*H119</f>
        <v>0</v>
      </c>
      <c r="DZ119" s="210">
        <f>SUMPRODUCT((($I119+COLUMN($N$3:$DU$3)-COLUMN($N$3))&gt;='KALENDER MINGGU'!$B$10)*(($I119+COLUMN($N$3:$DU$3)-COLUMN($N$3))&lt;='KALENDER MINGGU'!$C$10)*(N119:DU119))/F119*H119</f>
        <v>0</v>
      </c>
      <c r="EA119" s="210">
        <f>SUMPRODUCT((($I119+COLUMN($N$3:$DU$3)-COLUMN($N$3))&gt;='KALENDER MINGGU'!$B$11)*(($I119+COLUMN($N$3:$DU$3)-COLUMN($N$3))&lt;='KALENDER MINGGU'!$C$11)*(N119:DU119))/F119*H119</f>
        <v>6.6517740370644132E-2</v>
      </c>
      <c r="EB119" s="210">
        <f>SUMPRODUCT((($I119+COLUMN($N$3:$DU$3)-COLUMN($N$3))&gt;='KALENDER MINGGU'!$B$12)*(($I119+COLUMN($N$3:$DU$3)-COLUMN($N$3))&lt;='KALENDER MINGGU'!$C$12)*(N119:DU119))/F119*H119</f>
        <v>0</v>
      </c>
      <c r="EC119" s="210">
        <f>SUMPRODUCT((($I119+COLUMN($N$3:$DU$3)-COLUMN($N$3))&gt;='KALENDER MINGGU'!$B$13)*(($I119+COLUMN($N$3:$DU$3)-COLUMN($N$3))&lt;='KALENDER MINGGU'!$C$13)*(N119:DU119))/F119*H119</f>
        <v>0</v>
      </c>
      <c r="ED119" s="210">
        <f>SUMPRODUCT((($I119+COLUMN($N$3:$DU$3)-COLUMN($N$3))&gt;='KALENDER MINGGU'!$B$14)*(($I119+COLUMN($N$3:$DU$3)-COLUMN($N$3))&lt;='KALENDER MINGGU'!$C$14)*(N119:DU119))/F119*H119</f>
        <v>0</v>
      </c>
      <c r="EE119" s="210">
        <f>SUMPRODUCT((($I119+COLUMN($N$3:$DU$3)-COLUMN($N$3))&gt;='KALENDER MINGGU'!$B$15)*(($I119+COLUMN($N$3:$DU$3)-COLUMN($N$3))&lt;='KALENDER MINGGU'!$C$15)*(N119:DU119))/F119*H119</f>
        <v>0</v>
      </c>
      <c r="EF119" s="210">
        <f>SUMPRODUCT((($I119+COLUMN($N$3:$DU$3)-COLUMN($N$3))&gt;='KALENDER MINGGU'!$B$16)*(($I119+COLUMN($N$3:$DU$3)-COLUMN($N$3))&lt;='KALENDER MINGGU'!$C$16)*(N119:DU119))/F119*H119</f>
        <v>0</v>
      </c>
      <c r="EG119" s="210">
        <f>SUMPRODUCT((($I119+COLUMN($N$3:$DU$3)-COLUMN($N$3))&gt;='KALENDER MINGGU'!$B$17)*(($I119+COLUMN($N$3:$DU$3)-COLUMN($N$3))&lt;='KALENDER MINGGU'!$C$17)*(N119:DU119))/F119*H119</f>
        <v>0</v>
      </c>
      <c r="EH119" s="210">
        <f>SUMPRODUCT((($I119+COLUMN($N$3:$DU$3)-COLUMN($N$3))&gt;='KALENDER MINGGU'!$B$18)*(($I119+COLUMN($N$3:$DU$3)-COLUMN($N$3))&lt;='KALENDER MINGGU'!$C$18)*(N119:DU119))/F119*H119</f>
        <v>0</v>
      </c>
      <c r="EI119" s="210">
        <f>SUMPRODUCT((($I119+COLUMN($N$3:$DU$3)-COLUMN($N$3))&gt;='KALENDER MINGGU'!$B$19)*(($I119+COLUMN($N$3:$DU$3)-COLUMN($N$3))&lt;='KALENDER MINGGU'!$C$19)*(N119:DU119))/F119*H119</f>
        <v>0</v>
      </c>
      <c r="EJ119" s="210">
        <f>SUMPRODUCT((($I119+COLUMN($N$3:$DU$3)-COLUMN($N$3))&gt;='KALENDER MINGGU'!$B$20)*(($I119+COLUMN($N$3:$DU$3)-COLUMN($N$3))&lt;='KALENDER MINGGU'!$C$20)*(N119:DU119))/F119*H119</f>
        <v>0</v>
      </c>
      <c r="EK119" s="210">
        <f>SUMPRODUCT((($I119+COLUMN($N$3:$DU$3)-COLUMN($N$3))&gt;='KALENDER MINGGU'!$B$21)*(($I119+COLUMN($N$3:$DU$3)-COLUMN($N$3))&lt;='KALENDER MINGGU'!$C$21)*(N119:DU119))/F119*H119</f>
        <v>0</v>
      </c>
    </row>
    <row r="120" spans="1:141" ht="21.75" customHeight="1" x14ac:dyDescent="0.2">
      <c r="A120" s="208">
        <v>116</v>
      </c>
      <c r="B120" s="208">
        <v>215</v>
      </c>
      <c r="C120" s="208" t="str">
        <f>IF(B120&lt;160,'BOBOT PEK'!$B$4,IF(B120&lt;207,'BOBOT PEK'!$B$160,'BOBOT PEK'!$B$207))</f>
        <v>Toko OT 24 Jam</v>
      </c>
      <c r="D120" s="208" t="s">
        <v>38</v>
      </c>
      <c r="E120" s="214" t="str">
        <f>'BOBOT PEK'!C215</f>
        <v xml:space="preserve">Biaya gambar
</v>
      </c>
      <c r="F120" s="209">
        <f>IF(OR('BOBOT PEK'!E215="",'BOBOT PEK'!E215=0),1,'BOBOT PEK'!E215)</f>
        <v>1</v>
      </c>
      <c r="G120" s="208" t="str">
        <f>IF('BOBOT PEK'!F215="","ls",'BOBOT PEK'!F215)</f>
        <v>Is</v>
      </c>
      <c r="H120" s="210">
        <f>'BOBOT PEK'!J215</f>
        <v>3.6584757203854269E-2</v>
      </c>
      <c r="I120" s="211">
        <f>'KALENDER MINGGU'!$B$3</f>
        <v>46226</v>
      </c>
      <c r="J120" s="209">
        <f t="shared" si="12"/>
        <v>1</v>
      </c>
      <c r="K120" s="209">
        <f t="shared" si="13"/>
        <v>0</v>
      </c>
      <c r="L120" s="212">
        <f t="shared" si="14"/>
        <v>1</v>
      </c>
      <c r="M120" s="208" t="str">
        <f t="shared" si="15"/>
        <v>OK</v>
      </c>
      <c r="N120" s="213">
        <v>1</v>
      </c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  <c r="AA120" s="213"/>
      <c r="AB120" s="213"/>
      <c r="AC120" s="213"/>
      <c r="AD120" s="213"/>
      <c r="AE120" s="213"/>
      <c r="AF120" s="213"/>
      <c r="AG120" s="213"/>
      <c r="AH120" s="213"/>
      <c r="AI120" s="213"/>
      <c r="AJ120" s="213"/>
      <c r="AK120" s="213"/>
      <c r="AL120" s="213"/>
      <c r="AM120" s="213"/>
      <c r="AN120" s="213"/>
      <c r="AO120" s="213"/>
      <c r="AP120" s="213"/>
      <c r="AQ120" s="213"/>
      <c r="AR120" s="213"/>
      <c r="AS120" s="213"/>
      <c r="AT120" s="213"/>
      <c r="AU120" s="213"/>
      <c r="AV120" s="213"/>
      <c r="AW120" s="213"/>
      <c r="AX120" s="213"/>
      <c r="AY120" s="213"/>
      <c r="AZ120" s="213"/>
      <c r="BA120" s="213"/>
      <c r="BB120" s="213"/>
      <c r="BC120" s="213"/>
      <c r="BD120" s="213"/>
      <c r="BE120" s="213"/>
      <c r="BF120" s="213"/>
      <c r="BG120" s="213"/>
      <c r="BH120" s="213"/>
      <c r="BI120" s="213"/>
      <c r="BJ120" s="213"/>
      <c r="BK120" s="213"/>
      <c r="BL120" s="213"/>
      <c r="BM120" s="213"/>
      <c r="BN120" s="213"/>
      <c r="BO120" s="213"/>
      <c r="BP120" s="213"/>
      <c r="BQ120" s="213"/>
      <c r="BR120" s="213"/>
      <c r="BS120" s="213"/>
      <c r="BT120" s="213"/>
      <c r="BU120" s="213"/>
      <c r="BV120" s="213"/>
      <c r="BW120" s="213"/>
      <c r="BX120" s="213"/>
      <c r="BY120" s="213"/>
      <c r="BZ120" s="213"/>
      <c r="CA120" s="213"/>
      <c r="CB120" s="213"/>
      <c r="CC120" s="213"/>
      <c r="CD120" s="213"/>
      <c r="CE120" s="213"/>
      <c r="CF120" s="213"/>
      <c r="CG120" s="213"/>
      <c r="CH120" s="213"/>
      <c r="CI120" s="213"/>
      <c r="CJ120" s="213"/>
      <c r="CK120" s="213"/>
      <c r="CL120" s="213"/>
      <c r="CM120" s="213"/>
      <c r="CN120" s="213"/>
      <c r="CO120" s="213"/>
      <c r="CP120" s="213"/>
      <c r="CQ120" s="213"/>
      <c r="CR120" s="213"/>
      <c r="CS120" s="213"/>
      <c r="CT120" s="213"/>
      <c r="CU120" s="213"/>
      <c r="CV120" s="213"/>
      <c r="CW120" s="213"/>
      <c r="CX120" s="213"/>
      <c r="CY120" s="213"/>
      <c r="CZ120" s="213"/>
      <c r="DA120" s="213"/>
      <c r="DB120" s="213"/>
      <c r="DC120" s="213"/>
      <c r="DD120" s="213"/>
      <c r="DE120" s="213"/>
      <c r="DF120" s="213"/>
      <c r="DG120" s="213"/>
      <c r="DH120" s="213"/>
      <c r="DI120" s="213"/>
      <c r="DJ120" s="213"/>
      <c r="DK120" s="213"/>
      <c r="DL120" s="213"/>
      <c r="DM120" s="213"/>
      <c r="DN120" s="213"/>
      <c r="DO120" s="213"/>
      <c r="DP120" s="213"/>
      <c r="DQ120" s="213"/>
      <c r="DR120" s="213"/>
      <c r="DS120" s="213"/>
      <c r="DT120" s="213"/>
      <c r="DU120" s="213"/>
      <c r="DV120" s="210">
        <f>SUMPRODUCT((($I120+COLUMN($N$3:$DU$3)-COLUMN($N$3))&gt;='KALENDER MINGGU'!$B$6)*(($I120+COLUMN($N$3:$DU$3)-COLUMN($N$3))&lt;='KALENDER MINGGU'!$C$6)*(N120:DU120))/F120*H120</f>
        <v>3.6584757203854269E-2</v>
      </c>
      <c r="DW120" s="210">
        <f>SUMPRODUCT((($I120+COLUMN($N$3:$DU$3)-COLUMN($N$3))&gt;='KALENDER MINGGU'!$B$7)*(($I120+COLUMN($N$3:$DU$3)-COLUMN($N$3))&lt;='KALENDER MINGGU'!$C$7)*(N120:DU120))/F120*H120</f>
        <v>0</v>
      </c>
      <c r="DX120" s="210">
        <f>SUMPRODUCT((($I120+COLUMN($N$3:$DU$3)-COLUMN($N$3))&gt;='KALENDER MINGGU'!$B$8)*(($I120+COLUMN($N$3:$DU$3)-COLUMN($N$3))&lt;='KALENDER MINGGU'!$C$8)*(N120:DU120))/F120*H120</f>
        <v>0</v>
      </c>
      <c r="DY120" s="210">
        <f>SUMPRODUCT((($I120+COLUMN($N$3:$DU$3)-COLUMN($N$3))&gt;='KALENDER MINGGU'!$B$9)*(($I120+COLUMN($N$3:$DU$3)-COLUMN($N$3))&lt;='KALENDER MINGGU'!$C$9)*(N120:DU120))/F120*H120</f>
        <v>0</v>
      </c>
      <c r="DZ120" s="210">
        <f>SUMPRODUCT((($I120+COLUMN($N$3:$DU$3)-COLUMN($N$3))&gt;='KALENDER MINGGU'!$B$10)*(($I120+COLUMN($N$3:$DU$3)-COLUMN($N$3))&lt;='KALENDER MINGGU'!$C$10)*(N120:DU120))/F120*H120</f>
        <v>0</v>
      </c>
      <c r="EA120" s="210">
        <f>SUMPRODUCT((($I120+COLUMN($N$3:$DU$3)-COLUMN($N$3))&gt;='KALENDER MINGGU'!$B$11)*(($I120+COLUMN($N$3:$DU$3)-COLUMN($N$3))&lt;='KALENDER MINGGU'!$C$11)*(N120:DU120))/F120*H120</f>
        <v>0</v>
      </c>
      <c r="EB120" s="210">
        <f>SUMPRODUCT((($I120+COLUMN($N$3:$DU$3)-COLUMN($N$3))&gt;='KALENDER MINGGU'!$B$12)*(($I120+COLUMN($N$3:$DU$3)-COLUMN($N$3))&lt;='KALENDER MINGGU'!$C$12)*(N120:DU120))/F120*H120</f>
        <v>0</v>
      </c>
      <c r="EC120" s="210">
        <f>SUMPRODUCT((($I120+COLUMN($N$3:$DU$3)-COLUMN($N$3))&gt;='KALENDER MINGGU'!$B$13)*(($I120+COLUMN($N$3:$DU$3)-COLUMN($N$3))&lt;='KALENDER MINGGU'!$C$13)*(N120:DU120))/F120*H120</f>
        <v>0</v>
      </c>
      <c r="ED120" s="210">
        <f>SUMPRODUCT((($I120+COLUMN($N$3:$DU$3)-COLUMN($N$3))&gt;='KALENDER MINGGU'!$B$14)*(($I120+COLUMN($N$3:$DU$3)-COLUMN($N$3))&lt;='KALENDER MINGGU'!$C$14)*(N120:DU120))/F120*H120</f>
        <v>0</v>
      </c>
      <c r="EE120" s="210">
        <f>SUMPRODUCT((($I120+COLUMN($N$3:$DU$3)-COLUMN($N$3))&gt;='KALENDER MINGGU'!$B$15)*(($I120+COLUMN($N$3:$DU$3)-COLUMN($N$3))&lt;='KALENDER MINGGU'!$C$15)*(N120:DU120))/F120*H120</f>
        <v>0</v>
      </c>
      <c r="EF120" s="210">
        <f>SUMPRODUCT((($I120+COLUMN($N$3:$DU$3)-COLUMN($N$3))&gt;='KALENDER MINGGU'!$B$16)*(($I120+COLUMN($N$3:$DU$3)-COLUMN($N$3))&lt;='KALENDER MINGGU'!$C$16)*(N120:DU120))/F120*H120</f>
        <v>0</v>
      </c>
      <c r="EG120" s="210">
        <f>SUMPRODUCT((($I120+COLUMN($N$3:$DU$3)-COLUMN($N$3))&gt;='KALENDER MINGGU'!$B$17)*(($I120+COLUMN($N$3:$DU$3)-COLUMN($N$3))&lt;='KALENDER MINGGU'!$C$17)*(N120:DU120))/F120*H120</f>
        <v>0</v>
      </c>
      <c r="EH120" s="210">
        <f>SUMPRODUCT((($I120+COLUMN($N$3:$DU$3)-COLUMN($N$3))&gt;='KALENDER MINGGU'!$B$18)*(($I120+COLUMN($N$3:$DU$3)-COLUMN($N$3))&lt;='KALENDER MINGGU'!$C$18)*(N120:DU120))/F120*H120</f>
        <v>0</v>
      </c>
      <c r="EI120" s="210">
        <f>SUMPRODUCT((($I120+COLUMN($N$3:$DU$3)-COLUMN($N$3))&gt;='KALENDER MINGGU'!$B$19)*(($I120+COLUMN($N$3:$DU$3)-COLUMN($N$3))&lt;='KALENDER MINGGU'!$C$19)*(N120:DU120))/F120*H120</f>
        <v>0</v>
      </c>
      <c r="EJ120" s="210">
        <f>SUMPRODUCT((($I120+COLUMN($N$3:$DU$3)-COLUMN($N$3))&gt;='KALENDER MINGGU'!$B$20)*(($I120+COLUMN($N$3:$DU$3)-COLUMN($N$3))&lt;='KALENDER MINGGU'!$C$20)*(N120:DU120))/F120*H120</f>
        <v>0</v>
      </c>
      <c r="EK120" s="210">
        <f>SUMPRODUCT((($I120+COLUMN($N$3:$DU$3)-COLUMN($N$3))&gt;='KALENDER MINGGU'!$B$21)*(($I120+COLUMN($N$3:$DU$3)-COLUMN($N$3))&lt;='KALENDER MINGGU'!$C$21)*(N120:DU120))/F120*H120</f>
        <v>0</v>
      </c>
    </row>
    <row r="121" spans="1:141" ht="15" customHeight="1" x14ac:dyDescent="0.2">
      <c r="A121" s="208">
        <v>117</v>
      </c>
      <c r="B121" s="208">
        <v>218</v>
      </c>
      <c r="C121" s="208" t="str">
        <f>IF(B121&lt;160,'BOBOT PEK'!$B$4,IF(B121&lt;207,'BOBOT PEK'!$B$160,'BOBOT PEK'!$B$207))</f>
        <v>Toko OT 24 Jam</v>
      </c>
      <c r="D121" s="208" t="s">
        <v>49</v>
      </c>
      <c r="E121" s="208" t="str">
        <f>'BOBOT PEK'!C218</f>
        <v>Galian tanah dan langsir</v>
      </c>
      <c r="F121" s="209">
        <f>IF(OR('BOBOT PEK'!E218="",'BOBOT PEK'!E218=0),1,'BOBOT PEK'!E218)</f>
        <v>3.9</v>
      </c>
      <c r="G121" s="208" t="str">
        <f>IF('BOBOT PEK'!F218="","ls",'BOBOT PEK'!F218)</f>
        <v>m3</v>
      </c>
      <c r="H121" s="210">
        <f>'BOBOT PEK'!J218</f>
        <v>1.2970959372275603E-2</v>
      </c>
      <c r="I121" s="211">
        <f>'KALENDER MINGGU'!$B$3</f>
        <v>46226</v>
      </c>
      <c r="J121" s="209">
        <f t="shared" si="12"/>
        <v>3.9000000000000004</v>
      </c>
      <c r="K121" s="209">
        <f t="shared" si="13"/>
        <v>0</v>
      </c>
      <c r="L121" s="212">
        <f t="shared" si="14"/>
        <v>1</v>
      </c>
      <c r="M121" s="208" t="str">
        <f t="shared" si="15"/>
        <v>OK</v>
      </c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  <c r="AA121" s="213"/>
      <c r="AB121" s="213"/>
      <c r="AC121" s="213"/>
      <c r="AD121" s="213"/>
      <c r="AE121" s="213"/>
      <c r="AF121" s="213"/>
      <c r="AG121" s="213"/>
      <c r="AH121" s="213"/>
      <c r="AI121" s="213"/>
      <c r="AJ121" s="213"/>
      <c r="AK121" s="213"/>
      <c r="AL121" s="213"/>
      <c r="AM121" s="213"/>
      <c r="AN121" s="213"/>
      <c r="AO121" s="213"/>
      <c r="AP121" s="213">
        <v>2.6</v>
      </c>
      <c r="AQ121" s="213"/>
      <c r="AR121" s="213"/>
      <c r="AS121" s="213">
        <v>1.3</v>
      </c>
      <c r="AT121" s="213"/>
      <c r="AU121" s="213"/>
      <c r="AV121" s="213"/>
      <c r="AW121" s="213"/>
      <c r="AX121" s="213"/>
      <c r="AY121" s="213"/>
      <c r="AZ121" s="213"/>
      <c r="BA121" s="213"/>
      <c r="BB121" s="213"/>
      <c r="BC121" s="213"/>
      <c r="BD121" s="213"/>
      <c r="BE121" s="213"/>
      <c r="BF121" s="213"/>
      <c r="BG121" s="213"/>
      <c r="BH121" s="213"/>
      <c r="BI121" s="213"/>
      <c r="BJ121" s="213"/>
      <c r="BK121" s="213"/>
      <c r="BL121" s="213"/>
      <c r="BM121" s="213"/>
      <c r="BN121" s="213"/>
      <c r="BO121" s="213"/>
      <c r="BP121" s="213"/>
      <c r="BQ121" s="213"/>
      <c r="BR121" s="213"/>
      <c r="BS121" s="213"/>
      <c r="BT121" s="213"/>
      <c r="BU121" s="213"/>
      <c r="BV121" s="213"/>
      <c r="BW121" s="213"/>
      <c r="BX121" s="213"/>
      <c r="BY121" s="213"/>
      <c r="BZ121" s="213"/>
      <c r="CA121" s="213"/>
      <c r="CB121" s="213"/>
      <c r="CC121" s="213"/>
      <c r="CD121" s="213"/>
      <c r="CE121" s="213"/>
      <c r="CF121" s="213"/>
      <c r="CG121" s="213"/>
      <c r="CH121" s="213"/>
      <c r="CI121" s="213"/>
      <c r="CJ121" s="213"/>
      <c r="CK121" s="213"/>
      <c r="CL121" s="213"/>
      <c r="CM121" s="213"/>
      <c r="CN121" s="213"/>
      <c r="CO121" s="213"/>
      <c r="CP121" s="213"/>
      <c r="CQ121" s="213"/>
      <c r="CR121" s="213"/>
      <c r="CS121" s="213"/>
      <c r="CT121" s="213"/>
      <c r="CU121" s="213"/>
      <c r="CV121" s="213"/>
      <c r="CW121" s="213"/>
      <c r="CX121" s="213"/>
      <c r="CY121" s="213"/>
      <c r="CZ121" s="213"/>
      <c r="DA121" s="213"/>
      <c r="DB121" s="213"/>
      <c r="DC121" s="213"/>
      <c r="DD121" s="213"/>
      <c r="DE121" s="213"/>
      <c r="DF121" s="213"/>
      <c r="DG121" s="213"/>
      <c r="DH121" s="213"/>
      <c r="DI121" s="213"/>
      <c r="DJ121" s="213"/>
      <c r="DK121" s="213"/>
      <c r="DL121" s="213"/>
      <c r="DM121" s="213"/>
      <c r="DN121" s="213"/>
      <c r="DO121" s="213"/>
      <c r="DP121" s="213"/>
      <c r="DQ121" s="213"/>
      <c r="DR121" s="213"/>
      <c r="DS121" s="213"/>
      <c r="DT121" s="213"/>
      <c r="DU121" s="213"/>
      <c r="DV121" s="210">
        <f>SUMPRODUCT((($I121+COLUMN($N$3:$DU$3)-COLUMN($N$3))&gt;='KALENDER MINGGU'!$B$6)*(($I121+COLUMN($N$3:$DU$3)-COLUMN($N$3))&lt;='KALENDER MINGGU'!$C$6)*(N121:DU121))/F121*H121</f>
        <v>0</v>
      </c>
      <c r="DW121" s="210">
        <f>SUMPRODUCT((($I121+COLUMN($N$3:$DU$3)-COLUMN($N$3))&gt;='KALENDER MINGGU'!$B$7)*(($I121+COLUMN($N$3:$DU$3)-COLUMN($N$3))&lt;='KALENDER MINGGU'!$C$7)*(N121:DU121))/F121*H121</f>
        <v>0</v>
      </c>
      <c r="DX121" s="210">
        <f>SUMPRODUCT((($I121+COLUMN($N$3:$DU$3)-COLUMN($N$3))&gt;='KALENDER MINGGU'!$B$8)*(($I121+COLUMN($N$3:$DU$3)-COLUMN($N$3))&lt;='KALENDER MINGGU'!$C$8)*(N121:DU121))/F121*H121</f>
        <v>0</v>
      </c>
      <c r="DY121" s="210">
        <f>SUMPRODUCT((($I121+COLUMN($N$3:$DU$3)-COLUMN($N$3))&gt;='KALENDER MINGGU'!$B$9)*(($I121+COLUMN($N$3:$DU$3)-COLUMN($N$3))&lt;='KALENDER MINGGU'!$C$9)*(N121:DU121))/F121*H121</f>
        <v>0</v>
      </c>
      <c r="DZ121" s="210">
        <f>SUMPRODUCT((($I121+COLUMN($N$3:$DU$3)-COLUMN($N$3))&gt;='KALENDER MINGGU'!$B$10)*(($I121+COLUMN($N$3:$DU$3)-COLUMN($N$3))&lt;='KALENDER MINGGU'!$C$10)*(N121:DU121))/F121*H121</f>
        <v>1.2970959372275607E-2</v>
      </c>
      <c r="EA121" s="210">
        <f>SUMPRODUCT((($I121+COLUMN($N$3:$DU$3)-COLUMN($N$3))&gt;='KALENDER MINGGU'!$B$11)*(($I121+COLUMN($N$3:$DU$3)-COLUMN($N$3))&lt;='KALENDER MINGGU'!$C$11)*(N121:DU121))/F121*H121</f>
        <v>0</v>
      </c>
      <c r="EB121" s="210">
        <f>SUMPRODUCT((($I121+COLUMN($N$3:$DU$3)-COLUMN($N$3))&gt;='KALENDER MINGGU'!$B$12)*(($I121+COLUMN($N$3:$DU$3)-COLUMN($N$3))&lt;='KALENDER MINGGU'!$C$12)*(N121:DU121))/F121*H121</f>
        <v>0</v>
      </c>
      <c r="EC121" s="210">
        <f>SUMPRODUCT((($I121+COLUMN($N$3:$DU$3)-COLUMN($N$3))&gt;='KALENDER MINGGU'!$B$13)*(($I121+COLUMN($N$3:$DU$3)-COLUMN($N$3))&lt;='KALENDER MINGGU'!$C$13)*(N121:DU121))/F121*H121</f>
        <v>0</v>
      </c>
      <c r="ED121" s="210">
        <f>SUMPRODUCT((($I121+COLUMN($N$3:$DU$3)-COLUMN($N$3))&gt;='KALENDER MINGGU'!$B$14)*(($I121+COLUMN($N$3:$DU$3)-COLUMN($N$3))&lt;='KALENDER MINGGU'!$C$14)*(N121:DU121))/F121*H121</f>
        <v>0</v>
      </c>
      <c r="EE121" s="210">
        <f>SUMPRODUCT((($I121+COLUMN($N$3:$DU$3)-COLUMN($N$3))&gt;='KALENDER MINGGU'!$B$15)*(($I121+COLUMN($N$3:$DU$3)-COLUMN($N$3))&lt;='KALENDER MINGGU'!$C$15)*(N121:DU121))/F121*H121</f>
        <v>0</v>
      </c>
      <c r="EF121" s="210">
        <f>SUMPRODUCT((($I121+COLUMN($N$3:$DU$3)-COLUMN($N$3))&gt;='KALENDER MINGGU'!$B$16)*(($I121+COLUMN($N$3:$DU$3)-COLUMN($N$3))&lt;='KALENDER MINGGU'!$C$16)*(N121:DU121))/F121*H121</f>
        <v>0</v>
      </c>
      <c r="EG121" s="210">
        <f>SUMPRODUCT((($I121+COLUMN($N$3:$DU$3)-COLUMN($N$3))&gt;='KALENDER MINGGU'!$B$17)*(($I121+COLUMN($N$3:$DU$3)-COLUMN($N$3))&lt;='KALENDER MINGGU'!$C$17)*(N121:DU121))/F121*H121</f>
        <v>0</v>
      </c>
      <c r="EH121" s="210">
        <f>SUMPRODUCT((($I121+COLUMN($N$3:$DU$3)-COLUMN($N$3))&gt;='KALENDER MINGGU'!$B$18)*(($I121+COLUMN($N$3:$DU$3)-COLUMN($N$3))&lt;='KALENDER MINGGU'!$C$18)*(N121:DU121))/F121*H121</f>
        <v>0</v>
      </c>
      <c r="EI121" s="210">
        <f>SUMPRODUCT((($I121+COLUMN($N$3:$DU$3)-COLUMN($N$3))&gt;='KALENDER MINGGU'!$B$19)*(($I121+COLUMN($N$3:$DU$3)-COLUMN($N$3))&lt;='KALENDER MINGGU'!$C$19)*(N121:DU121))/F121*H121</f>
        <v>0</v>
      </c>
      <c r="EJ121" s="210">
        <f>SUMPRODUCT((($I121+COLUMN($N$3:$DU$3)-COLUMN($N$3))&gt;='KALENDER MINGGU'!$B$20)*(($I121+COLUMN($N$3:$DU$3)-COLUMN($N$3))&lt;='KALENDER MINGGU'!$C$20)*(N121:DU121))/F121*H121</f>
        <v>0</v>
      </c>
      <c r="EK121" s="210">
        <f>SUMPRODUCT((($I121+COLUMN($N$3:$DU$3)-COLUMN($N$3))&gt;='KALENDER MINGGU'!$B$21)*(($I121+COLUMN($N$3:$DU$3)-COLUMN($N$3))&lt;='KALENDER MINGGU'!$C$21)*(N121:DU121))/F121*H121</f>
        <v>0</v>
      </c>
    </row>
    <row r="122" spans="1:141" ht="15" customHeight="1" x14ac:dyDescent="0.2">
      <c r="A122" s="208">
        <v>118</v>
      </c>
      <c r="B122" s="208">
        <v>219</v>
      </c>
      <c r="C122" s="208" t="str">
        <f>IF(B122&lt;160,'BOBOT PEK'!$B$4,IF(B122&lt;207,'BOBOT PEK'!$B$160,'BOBOT PEK'!$B$207))</f>
        <v>Toko OT 24 Jam</v>
      </c>
      <c r="D122" s="208" t="s">
        <v>49</v>
      </c>
      <c r="E122" s="208" t="str">
        <f>'BOBOT PEK'!C219</f>
        <v>urugan kembali dan pemadatan tanah</v>
      </c>
      <c r="F122" s="209">
        <f>IF(OR('BOBOT PEK'!E219="",'BOBOT PEK'!E219=0),1,'BOBOT PEK'!E219)</f>
        <v>1</v>
      </c>
      <c r="G122" s="208" t="str">
        <f>IF('BOBOT PEK'!F219="","ls",'BOBOT PEK'!F219)</f>
        <v>ls</v>
      </c>
      <c r="H122" s="210">
        <f>'BOBOT PEK'!J219</f>
        <v>1.995532211119324E-2</v>
      </c>
      <c r="I122" s="211">
        <f>'KALENDER MINGGU'!$B$3</f>
        <v>46226</v>
      </c>
      <c r="J122" s="209">
        <f t="shared" si="12"/>
        <v>1</v>
      </c>
      <c r="K122" s="209">
        <f t="shared" si="13"/>
        <v>0</v>
      </c>
      <c r="L122" s="212">
        <f t="shared" si="14"/>
        <v>1</v>
      </c>
      <c r="M122" s="208" t="str">
        <f t="shared" si="15"/>
        <v>OK</v>
      </c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  <c r="AA122" s="213"/>
      <c r="AB122" s="213"/>
      <c r="AC122" s="213"/>
      <c r="AD122" s="213"/>
      <c r="AE122" s="213"/>
      <c r="AF122" s="213"/>
      <c r="AG122" s="213"/>
      <c r="AH122" s="213"/>
      <c r="AI122" s="213"/>
      <c r="AJ122" s="213"/>
      <c r="AK122" s="213"/>
      <c r="AL122" s="213"/>
      <c r="AM122" s="213"/>
      <c r="AN122" s="213"/>
      <c r="AO122" s="213"/>
      <c r="AP122" s="213"/>
      <c r="AQ122" s="213"/>
      <c r="AR122" s="213"/>
      <c r="AS122" s="213">
        <v>1</v>
      </c>
      <c r="AT122" s="213"/>
      <c r="AU122" s="213"/>
      <c r="AV122" s="213"/>
      <c r="AW122" s="213"/>
      <c r="AX122" s="213"/>
      <c r="AY122" s="213"/>
      <c r="AZ122" s="213"/>
      <c r="BA122" s="213"/>
      <c r="BB122" s="213"/>
      <c r="BC122" s="213"/>
      <c r="BD122" s="213"/>
      <c r="BE122" s="213"/>
      <c r="BF122" s="213"/>
      <c r="BG122" s="213"/>
      <c r="BH122" s="213"/>
      <c r="BI122" s="213"/>
      <c r="BJ122" s="213"/>
      <c r="BK122" s="213"/>
      <c r="BL122" s="213"/>
      <c r="BM122" s="213"/>
      <c r="BN122" s="213"/>
      <c r="BO122" s="213"/>
      <c r="BP122" s="213"/>
      <c r="BQ122" s="213"/>
      <c r="BR122" s="213"/>
      <c r="BS122" s="213"/>
      <c r="BT122" s="213"/>
      <c r="BU122" s="213"/>
      <c r="BV122" s="213"/>
      <c r="BW122" s="213"/>
      <c r="BX122" s="213"/>
      <c r="BY122" s="213"/>
      <c r="BZ122" s="213"/>
      <c r="CA122" s="213"/>
      <c r="CB122" s="213"/>
      <c r="CC122" s="213"/>
      <c r="CD122" s="213"/>
      <c r="CE122" s="213"/>
      <c r="CF122" s="213"/>
      <c r="CG122" s="213"/>
      <c r="CH122" s="213"/>
      <c r="CI122" s="213"/>
      <c r="CJ122" s="213"/>
      <c r="CK122" s="213"/>
      <c r="CL122" s="213"/>
      <c r="CM122" s="213"/>
      <c r="CN122" s="213"/>
      <c r="CO122" s="213"/>
      <c r="CP122" s="213"/>
      <c r="CQ122" s="213"/>
      <c r="CR122" s="213"/>
      <c r="CS122" s="213"/>
      <c r="CT122" s="213"/>
      <c r="CU122" s="213"/>
      <c r="CV122" s="213"/>
      <c r="CW122" s="213"/>
      <c r="CX122" s="213"/>
      <c r="CY122" s="213"/>
      <c r="CZ122" s="213"/>
      <c r="DA122" s="213"/>
      <c r="DB122" s="213"/>
      <c r="DC122" s="213"/>
      <c r="DD122" s="213"/>
      <c r="DE122" s="213"/>
      <c r="DF122" s="213"/>
      <c r="DG122" s="213"/>
      <c r="DH122" s="213"/>
      <c r="DI122" s="213"/>
      <c r="DJ122" s="213"/>
      <c r="DK122" s="213"/>
      <c r="DL122" s="213"/>
      <c r="DM122" s="213"/>
      <c r="DN122" s="213"/>
      <c r="DO122" s="213"/>
      <c r="DP122" s="213"/>
      <c r="DQ122" s="213"/>
      <c r="DR122" s="213"/>
      <c r="DS122" s="213"/>
      <c r="DT122" s="213"/>
      <c r="DU122" s="213"/>
      <c r="DV122" s="210">
        <f>SUMPRODUCT((($I122+COLUMN($N$3:$DU$3)-COLUMN($N$3))&gt;='KALENDER MINGGU'!$B$6)*(($I122+COLUMN($N$3:$DU$3)-COLUMN($N$3))&lt;='KALENDER MINGGU'!$C$6)*(N122:DU122))/F122*H122</f>
        <v>0</v>
      </c>
      <c r="DW122" s="210">
        <f>SUMPRODUCT((($I122+COLUMN($N$3:$DU$3)-COLUMN($N$3))&gt;='KALENDER MINGGU'!$B$7)*(($I122+COLUMN($N$3:$DU$3)-COLUMN($N$3))&lt;='KALENDER MINGGU'!$C$7)*(N122:DU122))/F122*H122</f>
        <v>0</v>
      </c>
      <c r="DX122" s="210">
        <f>SUMPRODUCT((($I122+COLUMN($N$3:$DU$3)-COLUMN($N$3))&gt;='KALENDER MINGGU'!$B$8)*(($I122+COLUMN($N$3:$DU$3)-COLUMN($N$3))&lt;='KALENDER MINGGU'!$C$8)*(N122:DU122))/F122*H122</f>
        <v>0</v>
      </c>
      <c r="DY122" s="210">
        <f>SUMPRODUCT((($I122+COLUMN($N$3:$DU$3)-COLUMN($N$3))&gt;='KALENDER MINGGU'!$B$9)*(($I122+COLUMN($N$3:$DU$3)-COLUMN($N$3))&lt;='KALENDER MINGGU'!$C$9)*(N122:DU122))/F122*H122</f>
        <v>0</v>
      </c>
      <c r="DZ122" s="210">
        <f>SUMPRODUCT((($I122+COLUMN($N$3:$DU$3)-COLUMN($N$3))&gt;='KALENDER MINGGU'!$B$10)*(($I122+COLUMN($N$3:$DU$3)-COLUMN($N$3))&lt;='KALENDER MINGGU'!$C$10)*(N122:DU122))/F122*H122</f>
        <v>1.995532211119324E-2</v>
      </c>
      <c r="EA122" s="210">
        <f>SUMPRODUCT((($I122+COLUMN($N$3:$DU$3)-COLUMN($N$3))&gt;='KALENDER MINGGU'!$B$11)*(($I122+COLUMN($N$3:$DU$3)-COLUMN($N$3))&lt;='KALENDER MINGGU'!$C$11)*(N122:DU122))/F122*H122</f>
        <v>0</v>
      </c>
      <c r="EB122" s="210">
        <f>SUMPRODUCT((($I122+COLUMN($N$3:$DU$3)-COLUMN($N$3))&gt;='KALENDER MINGGU'!$B$12)*(($I122+COLUMN($N$3:$DU$3)-COLUMN($N$3))&lt;='KALENDER MINGGU'!$C$12)*(N122:DU122))/F122*H122</f>
        <v>0</v>
      </c>
      <c r="EC122" s="210">
        <f>SUMPRODUCT((($I122+COLUMN($N$3:$DU$3)-COLUMN($N$3))&gt;='KALENDER MINGGU'!$B$13)*(($I122+COLUMN($N$3:$DU$3)-COLUMN($N$3))&lt;='KALENDER MINGGU'!$C$13)*(N122:DU122))/F122*H122</f>
        <v>0</v>
      </c>
      <c r="ED122" s="210">
        <f>SUMPRODUCT((($I122+COLUMN($N$3:$DU$3)-COLUMN($N$3))&gt;='KALENDER MINGGU'!$B$14)*(($I122+COLUMN($N$3:$DU$3)-COLUMN($N$3))&lt;='KALENDER MINGGU'!$C$14)*(N122:DU122))/F122*H122</f>
        <v>0</v>
      </c>
      <c r="EE122" s="210">
        <f>SUMPRODUCT((($I122+COLUMN($N$3:$DU$3)-COLUMN($N$3))&gt;='KALENDER MINGGU'!$B$15)*(($I122+COLUMN($N$3:$DU$3)-COLUMN($N$3))&lt;='KALENDER MINGGU'!$C$15)*(N122:DU122))/F122*H122</f>
        <v>0</v>
      </c>
      <c r="EF122" s="210">
        <f>SUMPRODUCT((($I122+COLUMN($N$3:$DU$3)-COLUMN($N$3))&gt;='KALENDER MINGGU'!$B$16)*(($I122+COLUMN($N$3:$DU$3)-COLUMN($N$3))&lt;='KALENDER MINGGU'!$C$16)*(N122:DU122))/F122*H122</f>
        <v>0</v>
      </c>
      <c r="EG122" s="210">
        <f>SUMPRODUCT((($I122+COLUMN($N$3:$DU$3)-COLUMN($N$3))&gt;='KALENDER MINGGU'!$B$17)*(($I122+COLUMN($N$3:$DU$3)-COLUMN($N$3))&lt;='KALENDER MINGGU'!$C$17)*(N122:DU122))/F122*H122</f>
        <v>0</v>
      </c>
      <c r="EH122" s="210">
        <f>SUMPRODUCT((($I122+COLUMN($N$3:$DU$3)-COLUMN($N$3))&gt;='KALENDER MINGGU'!$B$18)*(($I122+COLUMN($N$3:$DU$3)-COLUMN($N$3))&lt;='KALENDER MINGGU'!$C$18)*(N122:DU122))/F122*H122</f>
        <v>0</v>
      </c>
      <c r="EI122" s="210">
        <f>SUMPRODUCT((($I122+COLUMN($N$3:$DU$3)-COLUMN($N$3))&gt;='KALENDER MINGGU'!$B$19)*(($I122+COLUMN($N$3:$DU$3)-COLUMN($N$3))&lt;='KALENDER MINGGU'!$C$19)*(N122:DU122))/F122*H122</f>
        <v>0</v>
      </c>
      <c r="EJ122" s="210">
        <f>SUMPRODUCT((($I122+COLUMN($N$3:$DU$3)-COLUMN($N$3))&gt;='KALENDER MINGGU'!$B$20)*(($I122+COLUMN($N$3:$DU$3)-COLUMN($N$3))&lt;='KALENDER MINGGU'!$C$20)*(N122:DU122))/F122*H122</f>
        <v>0</v>
      </c>
      <c r="EK122" s="210">
        <f>SUMPRODUCT((($I122+COLUMN($N$3:$DU$3)-COLUMN($N$3))&gt;='KALENDER MINGGU'!$B$21)*(($I122+COLUMN($N$3:$DU$3)-COLUMN($N$3))&lt;='KALENDER MINGGU'!$C$21)*(N122:DU122))/F122*H122</f>
        <v>0</v>
      </c>
    </row>
    <row r="123" spans="1:141" ht="15" customHeight="1" x14ac:dyDescent="0.2">
      <c r="A123" s="208">
        <v>119</v>
      </c>
      <c r="B123" s="208">
        <v>220</v>
      </c>
      <c r="C123" s="208" t="str">
        <f>IF(B123&lt;160,'BOBOT PEK'!$B$4,IF(B123&lt;207,'BOBOT PEK'!$B$160,'BOBOT PEK'!$B$207))</f>
        <v>Toko OT 24 Jam</v>
      </c>
      <c r="D123" s="208" t="s">
        <v>49</v>
      </c>
      <c r="E123" s="208" t="str">
        <f>'BOBOT PEK'!C220</f>
        <v>Cor lantai 8cm</v>
      </c>
      <c r="F123" s="209">
        <f>IF(OR('BOBOT PEK'!E220="",'BOBOT PEK'!E220=0),1,'BOBOT PEK'!E220)</f>
        <v>48</v>
      </c>
      <c r="G123" s="208" t="str">
        <f>IF('BOBOT PEK'!F220="","ls",'BOBOT PEK'!F220)</f>
        <v>m2</v>
      </c>
      <c r="H123" s="210">
        <f>'BOBOT PEK'!J220</f>
        <v>0.49120792889091047</v>
      </c>
      <c r="I123" s="211">
        <f>'KALENDER MINGGU'!$B$3</f>
        <v>46226</v>
      </c>
      <c r="J123" s="209">
        <f t="shared" si="12"/>
        <v>48</v>
      </c>
      <c r="K123" s="209">
        <f t="shared" si="13"/>
        <v>0</v>
      </c>
      <c r="L123" s="212">
        <f t="shared" si="14"/>
        <v>1</v>
      </c>
      <c r="M123" s="208" t="str">
        <f t="shared" si="15"/>
        <v>OK</v>
      </c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  <c r="AA123" s="213"/>
      <c r="AB123" s="213"/>
      <c r="AC123" s="213"/>
      <c r="AD123" s="213"/>
      <c r="AE123" s="213"/>
      <c r="AF123" s="213"/>
      <c r="AG123" s="213"/>
      <c r="AH123" s="213"/>
      <c r="AI123" s="213"/>
      <c r="AJ123" s="213"/>
      <c r="AK123" s="213"/>
      <c r="AL123" s="213"/>
      <c r="AM123" s="213"/>
      <c r="AN123" s="213"/>
      <c r="AO123" s="213"/>
      <c r="AP123" s="213"/>
      <c r="AQ123" s="213"/>
      <c r="AR123" s="213"/>
      <c r="AS123" s="213"/>
      <c r="AT123" s="213"/>
      <c r="AU123" s="213"/>
      <c r="AV123" s="213"/>
      <c r="AW123" s="213"/>
      <c r="AX123" s="213"/>
      <c r="AY123" s="213"/>
      <c r="AZ123" s="213"/>
      <c r="BA123" s="213"/>
      <c r="BB123" s="213"/>
      <c r="BC123" s="213"/>
      <c r="BD123" s="213"/>
      <c r="BE123" s="213"/>
      <c r="BF123" s="213"/>
      <c r="BG123" s="213"/>
      <c r="BH123" s="213"/>
      <c r="BI123" s="213"/>
      <c r="BJ123" s="213"/>
      <c r="BK123" s="213"/>
      <c r="BL123" s="213"/>
      <c r="BM123" s="213"/>
      <c r="BN123" s="213"/>
      <c r="BO123" s="213"/>
      <c r="BP123" s="213"/>
      <c r="BQ123" s="213"/>
      <c r="BR123" s="213"/>
      <c r="BS123" s="213"/>
      <c r="BT123" s="213"/>
      <c r="BU123" s="213"/>
      <c r="BV123" s="213"/>
      <c r="BW123" s="213"/>
      <c r="BX123" s="213"/>
      <c r="BY123" s="213"/>
      <c r="BZ123" s="213"/>
      <c r="CA123" s="213">
        <v>48</v>
      </c>
      <c r="CB123" s="213"/>
      <c r="CC123" s="213"/>
      <c r="CD123" s="213"/>
      <c r="CE123" s="213"/>
      <c r="CF123" s="213"/>
      <c r="CG123" s="213"/>
      <c r="CH123" s="213"/>
      <c r="CI123" s="213"/>
      <c r="CJ123" s="213"/>
      <c r="CK123" s="213"/>
      <c r="CL123" s="213"/>
      <c r="CM123" s="213"/>
      <c r="CN123" s="213"/>
      <c r="CO123" s="213"/>
      <c r="CP123" s="213"/>
      <c r="CQ123" s="213"/>
      <c r="CR123" s="213"/>
      <c r="CS123" s="213"/>
      <c r="CT123" s="213"/>
      <c r="CU123" s="213"/>
      <c r="CV123" s="213"/>
      <c r="CW123" s="213"/>
      <c r="CX123" s="213"/>
      <c r="CY123" s="213"/>
      <c r="CZ123" s="213"/>
      <c r="DA123" s="213"/>
      <c r="DB123" s="213"/>
      <c r="DC123" s="213"/>
      <c r="DD123" s="213"/>
      <c r="DE123" s="213"/>
      <c r="DF123" s="213"/>
      <c r="DG123" s="213"/>
      <c r="DH123" s="213"/>
      <c r="DI123" s="213"/>
      <c r="DJ123" s="213"/>
      <c r="DK123" s="213"/>
      <c r="DL123" s="213"/>
      <c r="DM123" s="213"/>
      <c r="DN123" s="213"/>
      <c r="DO123" s="213"/>
      <c r="DP123" s="213"/>
      <c r="DQ123" s="213"/>
      <c r="DR123" s="213"/>
      <c r="DS123" s="213"/>
      <c r="DT123" s="213"/>
      <c r="DU123" s="213"/>
      <c r="DV123" s="210">
        <f>SUMPRODUCT((($I123+COLUMN($N$3:$DU$3)-COLUMN($N$3))&gt;='KALENDER MINGGU'!$B$6)*(($I123+COLUMN($N$3:$DU$3)-COLUMN($N$3))&lt;='KALENDER MINGGU'!$C$6)*(N123:DU123))/F123*H123</f>
        <v>0</v>
      </c>
      <c r="DW123" s="210">
        <f>SUMPRODUCT((($I123+COLUMN($N$3:$DU$3)-COLUMN($N$3))&gt;='KALENDER MINGGU'!$B$7)*(($I123+COLUMN($N$3:$DU$3)-COLUMN($N$3))&lt;='KALENDER MINGGU'!$C$7)*(N123:DU123))/F123*H123</f>
        <v>0</v>
      </c>
      <c r="DX123" s="210">
        <f>SUMPRODUCT((($I123+COLUMN($N$3:$DU$3)-COLUMN($N$3))&gt;='KALENDER MINGGU'!$B$8)*(($I123+COLUMN($N$3:$DU$3)-COLUMN($N$3))&lt;='KALENDER MINGGU'!$C$8)*(N123:DU123))/F123*H123</f>
        <v>0</v>
      </c>
      <c r="DY123" s="210">
        <f>SUMPRODUCT((($I123+COLUMN($N$3:$DU$3)-COLUMN($N$3))&gt;='KALENDER MINGGU'!$B$9)*(($I123+COLUMN($N$3:$DU$3)-COLUMN($N$3))&lt;='KALENDER MINGGU'!$C$9)*(N123:DU123))/F123*H123</f>
        <v>0</v>
      </c>
      <c r="DZ123" s="210">
        <f>SUMPRODUCT((($I123+COLUMN($N$3:$DU$3)-COLUMN($N$3))&gt;='KALENDER MINGGU'!$B$10)*(($I123+COLUMN($N$3:$DU$3)-COLUMN($N$3))&lt;='KALENDER MINGGU'!$C$10)*(N123:DU123))/F123*H123</f>
        <v>0</v>
      </c>
      <c r="EA123" s="210">
        <f>SUMPRODUCT((($I123+COLUMN($N$3:$DU$3)-COLUMN($N$3))&gt;='KALENDER MINGGU'!$B$11)*(($I123+COLUMN($N$3:$DU$3)-COLUMN($N$3))&lt;='KALENDER MINGGU'!$C$11)*(N123:DU123))/F123*H123</f>
        <v>0</v>
      </c>
      <c r="EB123" s="210">
        <f>SUMPRODUCT((($I123+COLUMN($N$3:$DU$3)-COLUMN($N$3))&gt;='KALENDER MINGGU'!$B$12)*(($I123+COLUMN($N$3:$DU$3)-COLUMN($N$3))&lt;='KALENDER MINGGU'!$C$12)*(N123:DU123))/F123*H123</f>
        <v>0</v>
      </c>
      <c r="EC123" s="210">
        <f>SUMPRODUCT((($I123+COLUMN($N$3:$DU$3)-COLUMN($N$3))&gt;='KALENDER MINGGU'!$B$13)*(($I123+COLUMN($N$3:$DU$3)-COLUMN($N$3))&lt;='KALENDER MINGGU'!$C$13)*(N123:DU123))/F123*H123</f>
        <v>0</v>
      </c>
      <c r="ED123" s="210">
        <f>SUMPRODUCT((($I123+COLUMN($N$3:$DU$3)-COLUMN($N$3))&gt;='KALENDER MINGGU'!$B$14)*(($I123+COLUMN($N$3:$DU$3)-COLUMN($N$3))&lt;='KALENDER MINGGU'!$C$14)*(N123:DU123))/F123*H123</f>
        <v>0</v>
      </c>
      <c r="EE123" s="210">
        <f>SUMPRODUCT((($I123+COLUMN($N$3:$DU$3)-COLUMN($N$3))&gt;='KALENDER MINGGU'!$B$15)*(($I123+COLUMN($N$3:$DU$3)-COLUMN($N$3))&lt;='KALENDER MINGGU'!$C$15)*(N123:DU123))/F123*H123</f>
        <v>0.49120792889091047</v>
      </c>
      <c r="EF123" s="210">
        <f>SUMPRODUCT((($I123+COLUMN($N$3:$DU$3)-COLUMN($N$3))&gt;='KALENDER MINGGU'!$B$16)*(($I123+COLUMN($N$3:$DU$3)-COLUMN($N$3))&lt;='KALENDER MINGGU'!$C$16)*(N123:DU123))/F123*H123</f>
        <v>0</v>
      </c>
      <c r="EG123" s="210">
        <f>SUMPRODUCT((($I123+COLUMN($N$3:$DU$3)-COLUMN($N$3))&gt;='KALENDER MINGGU'!$B$17)*(($I123+COLUMN($N$3:$DU$3)-COLUMN($N$3))&lt;='KALENDER MINGGU'!$C$17)*(N123:DU123))/F123*H123</f>
        <v>0</v>
      </c>
      <c r="EH123" s="210">
        <f>SUMPRODUCT((($I123+COLUMN($N$3:$DU$3)-COLUMN($N$3))&gt;='KALENDER MINGGU'!$B$18)*(($I123+COLUMN($N$3:$DU$3)-COLUMN($N$3))&lt;='KALENDER MINGGU'!$C$18)*(N123:DU123))/F123*H123</f>
        <v>0</v>
      </c>
      <c r="EI123" s="210">
        <f>SUMPRODUCT((($I123+COLUMN($N$3:$DU$3)-COLUMN($N$3))&gt;='KALENDER MINGGU'!$B$19)*(($I123+COLUMN($N$3:$DU$3)-COLUMN($N$3))&lt;='KALENDER MINGGU'!$C$19)*(N123:DU123))/F123*H123</f>
        <v>0</v>
      </c>
      <c r="EJ123" s="210">
        <f>SUMPRODUCT((($I123+COLUMN($N$3:$DU$3)-COLUMN($N$3))&gt;='KALENDER MINGGU'!$B$20)*(($I123+COLUMN($N$3:$DU$3)-COLUMN($N$3))&lt;='KALENDER MINGGU'!$C$20)*(N123:DU123))/F123*H123</f>
        <v>0</v>
      </c>
      <c r="EK123" s="210">
        <f>SUMPRODUCT((($I123+COLUMN($N$3:$DU$3)-COLUMN($N$3))&gt;='KALENDER MINGGU'!$B$21)*(($I123+COLUMN($N$3:$DU$3)-COLUMN($N$3))&lt;='KALENDER MINGGU'!$C$21)*(N123:DU123))/F123*H123</f>
        <v>0</v>
      </c>
    </row>
    <row r="124" spans="1:141" ht="15" customHeight="1" x14ac:dyDescent="0.2">
      <c r="A124" s="208">
        <v>120</v>
      </c>
      <c r="B124" s="208">
        <v>221</v>
      </c>
      <c r="C124" s="208" t="str">
        <f>IF(B124&lt;160,'BOBOT PEK'!$B$4,IF(B124&lt;207,'BOBOT PEK'!$B$160,'BOBOT PEK'!$B$207))</f>
        <v>Toko OT 24 Jam</v>
      </c>
      <c r="D124" s="208" t="s">
        <v>49</v>
      </c>
      <c r="E124" s="208" t="str">
        <f>'BOBOT PEK'!C221</f>
        <v>bekesting</v>
      </c>
      <c r="F124" s="209">
        <f>IF(OR('BOBOT PEK'!E221="",'BOBOT PEK'!E221=0),1,'BOBOT PEK'!E221)</f>
        <v>1</v>
      </c>
      <c r="G124" s="208" t="str">
        <f>IF('BOBOT PEK'!F221="","ls",'BOBOT PEK'!F221)</f>
        <v>unit</v>
      </c>
      <c r="H124" s="210">
        <f>'BOBOT PEK'!J221</f>
        <v>3.3258870185322066E-2</v>
      </c>
      <c r="I124" s="211">
        <f>'KALENDER MINGGU'!$B$3</f>
        <v>46226</v>
      </c>
      <c r="J124" s="209">
        <f t="shared" si="12"/>
        <v>0.99999999999999989</v>
      </c>
      <c r="K124" s="209">
        <f t="shared" si="13"/>
        <v>1.1102230246251565E-16</v>
      </c>
      <c r="L124" s="212">
        <f t="shared" si="14"/>
        <v>0.99999999999999989</v>
      </c>
      <c r="M124" s="208" t="str">
        <f t="shared" si="15"/>
        <v>OK</v>
      </c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  <c r="AA124" s="213"/>
      <c r="AB124" s="213"/>
      <c r="AC124" s="213"/>
      <c r="AD124" s="213"/>
      <c r="AE124" s="213"/>
      <c r="AF124" s="213"/>
      <c r="AG124" s="213"/>
      <c r="AH124" s="213">
        <v>0.3</v>
      </c>
      <c r="AI124" s="213"/>
      <c r="AJ124" s="213"/>
      <c r="AK124" s="213"/>
      <c r="AL124" s="213"/>
      <c r="AM124" s="213"/>
      <c r="AN124" s="213"/>
      <c r="AO124" s="213"/>
      <c r="AP124" s="213"/>
      <c r="AQ124" s="213"/>
      <c r="AR124" s="213"/>
      <c r="AS124" s="213">
        <v>0.6</v>
      </c>
      <c r="AT124" s="213">
        <v>0.1</v>
      </c>
      <c r="AU124" s="213"/>
      <c r="AV124" s="213"/>
      <c r="AW124" s="213"/>
      <c r="AX124" s="213"/>
      <c r="AY124" s="213"/>
      <c r="AZ124" s="213"/>
      <c r="BA124" s="213"/>
      <c r="BB124" s="213"/>
      <c r="BC124" s="213"/>
      <c r="BD124" s="213"/>
      <c r="BE124" s="213"/>
      <c r="BF124" s="213"/>
      <c r="BG124" s="213"/>
      <c r="BH124" s="213"/>
      <c r="BI124" s="213"/>
      <c r="BJ124" s="213"/>
      <c r="BK124" s="213"/>
      <c r="BL124" s="213"/>
      <c r="BM124" s="213"/>
      <c r="BN124" s="213"/>
      <c r="BO124" s="213"/>
      <c r="BP124" s="213"/>
      <c r="BQ124" s="213"/>
      <c r="BR124" s="213"/>
      <c r="BS124" s="213"/>
      <c r="BT124" s="213"/>
      <c r="BU124" s="213"/>
      <c r="BV124" s="213"/>
      <c r="BW124" s="213"/>
      <c r="BX124" s="213"/>
      <c r="BY124" s="213"/>
      <c r="BZ124" s="213"/>
      <c r="CA124" s="213"/>
      <c r="CB124" s="213"/>
      <c r="CC124" s="213"/>
      <c r="CD124" s="213"/>
      <c r="CE124" s="213"/>
      <c r="CF124" s="213"/>
      <c r="CG124" s="213"/>
      <c r="CH124" s="213"/>
      <c r="CI124" s="213"/>
      <c r="CJ124" s="213"/>
      <c r="CK124" s="213"/>
      <c r="CL124" s="213"/>
      <c r="CM124" s="213"/>
      <c r="CN124" s="213"/>
      <c r="CO124" s="213"/>
      <c r="CP124" s="213"/>
      <c r="CQ124" s="213"/>
      <c r="CR124" s="213"/>
      <c r="CS124" s="213"/>
      <c r="CT124" s="213"/>
      <c r="CU124" s="213"/>
      <c r="CV124" s="213"/>
      <c r="CW124" s="213"/>
      <c r="CX124" s="213"/>
      <c r="CY124" s="213"/>
      <c r="CZ124" s="213"/>
      <c r="DA124" s="213"/>
      <c r="DB124" s="213"/>
      <c r="DC124" s="213"/>
      <c r="DD124" s="213"/>
      <c r="DE124" s="213"/>
      <c r="DF124" s="213"/>
      <c r="DG124" s="213"/>
      <c r="DH124" s="213"/>
      <c r="DI124" s="213"/>
      <c r="DJ124" s="213"/>
      <c r="DK124" s="213"/>
      <c r="DL124" s="213"/>
      <c r="DM124" s="213"/>
      <c r="DN124" s="213"/>
      <c r="DO124" s="213"/>
      <c r="DP124" s="213"/>
      <c r="DQ124" s="213"/>
      <c r="DR124" s="213"/>
      <c r="DS124" s="213"/>
      <c r="DT124" s="213"/>
      <c r="DU124" s="213"/>
      <c r="DV124" s="210">
        <f>SUMPRODUCT((($I124+COLUMN($N$3:$DU$3)-COLUMN($N$3))&gt;='KALENDER MINGGU'!$B$6)*(($I124+COLUMN($N$3:$DU$3)-COLUMN($N$3))&lt;='KALENDER MINGGU'!$C$6)*(N124:DU124))/F124*H124</f>
        <v>0</v>
      </c>
      <c r="DW124" s="210">
        <f>SUMPRODUCT((($I124+COLUMN($N$3:$DU$3)-COLUMN($N$3))&gt;='KALENDER MINGGU'!$B$7)*(($I124+COLUMN($N$3:$DU$3)-COLUMN($N$3))&lt;='KALENDER MINGGU'!$C$7)*(N124:DU124))/F124*H124</f>
        <v>0</v>
      </c>
      <c r="DX124" s="210">
        <f>SUMPRODUCT((($I124+COLUMN($N$3:$DU$3)-COLUMN($N$3))&gt;='KALENDER MINGGU'!$B$8)*(($I124+COLUMN($N$3:$DU$3)-COLUMN($N$3))&lt;='KALENDER MINGGU'!$C$8)*(N124:DU124))/F124*H124</f>
        <v>9.9776610555966198E-3</v>
      </c>
      <c r="DY124" s="210">
        <f>SUMPRODUCT((($I124+COLUMN($N$3:$DU$3)-COLUMN($N$3))&gt;='KALENDER MINGGU'!$B$9)*(($I124+COLUMN($N$3:$DU$3)-COLUMN($N$3))&lt;='KALENDER MINGGU'!$C$9)*(N124:DU124))/F124*H124</f>
        <v>0</v>
      </c>
      <c r="DZ124" s="210">
        <f>SUMPRODUCT((($I124+COLUMN($N$3:$DU$3)-COLUMN($N$3))&gt;='KALENDER MINGGU'!$B$10)*(($I124+COLUMN($N$3:$DU$3)-COLUMN($N$3))&lt;='KALENDER MINGGU'!$C$10)*(N124:DU124))/F124*H124</f>
        <v>2.3281209129725446E-2</v>
      </c>
      <c r="EA124" s="210">
        <f>SUMPRODUCT((($I124+COLUMN($N$3:$DU$3)-COLUMN($N$3))&gt;='KALENDER MINGGU'!$B$11)*(($I124+COLUMN($N$3:$DU$3)-COLUMN($N$3))&lt;='KALENDER MINGGU'!$C$11)*(N124:DU124))/F124*H124</f>
        <v>0</v>
      </c>
      <c r="EB124" s="210">
        <f>SUMPRODUCT((($I124+COLUMN($N$3:$DU$3)-COLUMN($N$3))&gt;='KALENDER MINGGU'!$B$12)*(($I124+COLUMN($N$3:$DU$3)-COLUMN($N$3))&lt;='KALENDER MINGGU'!$C$12)*(N124:DU124))/F124*H124</f>
        <v>0</v>
      </c>
      <c r="EC124" s="210">
        <f>SUMPRODUCT((($I124+COLUMN($N$3:$DU$3)-COLUMN($N$3))&gt;='KALENDER MINGGU'!$B$13)*(($I124+COLUMN($N$3:$DU$3)-COLUMN($N$3))&lt;='KALENDER MINGGU'!$C$13)*(N124:DU124))/F124*H124</f>
        <v>0</v>
      </c>
      <c r="ED124" s="210">
        <f>SUMPRODUCT((($I124+COLUMN($N$3:$DU$3)-COLUMN($N$3))&gt;='KALENDER MINGGU'!$B$14)*(($I124+COLUMN($N$3:$DU$3)-COLUMN($N$3))&lt;='KALENDER MINGGU'!$C$14)*(N124:DU124))/F124*H124</f>
        <v>0</v>
      </c>
      <c r="EE124" s="210">
        <f>SUMPRODUCT((($I124+COLUMN($N$3:$DU$3)-COLUMN($N$3))&gt;='KALENDER MINGGU'!$B$15)*(($I124+COLUMN($N$3:$DU$3)-COLUMN($N$3))&lt;='KALENDER MINGGU'!$C$15)*(N124:DU124))/F124*H124</f>
        <v>0</v>
      </c>
      <c r="EF124" s="210">
        <f>SUMPRODUCT((($I124+COLUMN($N$3:$DU$3)-COLUMN($N$3))&gt;='KALENDER MINGGU'!$B$16)*(($I124+COLUMN($N$3:$DU$3)-COLUMN($N$3))&lt;='KALENDER MINGGU'!$C$16)*(N124:DU124))/F124*H124</f>
        <v>0</v>
      </c>
      <c r="EG124" s="210">
        <f>SUMPRODUCT((($I124+COLUMN($N$3:$DU$3)-COLUMN($N$3))&gt;='KALENDER MINGGU'!$B$17)*(($I124+COLUMN($N$3:$DU$3)-COLUMN($N$3))&lt;='KALENDER MINGGU'!$C$17)*(N124:DU124))/F124*H124</f>
        <v>0</v>
      </c>
      <c r="EH124" s="210">
        <f>SUMPRODUCT((($I124+COLUMN($N$3:$DU$3)-COLUMN($N$3))&gt;='KALENDER MINGGU'!$B$18)*(($I124+COLUMN($N$3:$DU$3)-COLUMN($N$3))&lt;='KALENDER MINGGU'!$C$18)*(N124:DU124))/F124*H124</f>
        <v>0</v>
      </c>
      <c r="EI124" s="210">
        <f>SUMPRODUCT((($I124+COLUMN($N$3:$DU$3)-COLUMN($N$3))&gt;='KALENDER MINGGU'!$B$19)*(($I124+COLUMN($N$3:$DU$3)-COLUMN($N$3))&lt;='KALENDER MINGGU'!$C$19)*(N124:DU124))/F124*H124</f>
        <v>0</v>
      </c>
      <c r="EJ124" s="210">
        <f>SUMPRODUCT((($I124+COLUMN($N$3:$DU$3)-COLUMN($N$3))&gt;='KALENDER MINGGU'!$B$20)*(($I124+COLUMN($N$3:$DU$3)-COLUMN($N$3))&lt;='KALENDER MINGGU'!$C$20)*(N124:DU124))/F124*H124</f>
        <v>0</v>
      </c>
      <c r="EK124" s="210">
        <f>SUMPRODUCT((($I124+COLUMN($N$3:$DU$3)-COLUMN($N$3))&gt;='KALENDER MINGGU'!$B$21)*(($I124+COLUMN($N$3:$DU$3)-COLUMN($N$3))&lt;='KALENDER MINGGU'!$C$21)*(N124:DU124))/F124*H124</f>
        <v>0</v>
      </c>
    </row>
    <row r="125" spans="1:141" ht="21.75" customHeight="1" x14ac:dyDescent="0.2">
      <c r="A125" s="208">
        <v>121</v>
      </c>
      <c r="B125" s="208">
        <v>222</v>
      </c>
      <c r="C125" s="208" t="str">
        <f>IF(B125&lt;160,'BOBOT PEK'!$B$4,IF(B125&lt;207,'BOBOT PEK'!$B$160,'BOBOT PEK'!$B$207))</f>
        <v>Toko OT 24 Jam</v>
      </c>
      <c r="D125" s="208" t="s">
        <v>49</v>
      </c>
      <c r="E125" s="214" t="str">
        <f>'BOBOT PEK'!C222</f>
        <v>sloof
rolag bata</v>
      </c>
      <c r="F125" s="209">
        <f>IF(OR('BOBOT PEK'!E222="",'BOBOT PEK'!E222=0),1,'BOBOT PEK'!E222)</f>
        <v>2.2999999999999998</v>
      </c>
      <c r="G125" s="208" t="str">
        <f>IF('BOBOT PEK'!F222="","ls",'BOBOT PEK'!F222)</f>
        <v>m3</v>
      </c>
      <c r="H125" s="210">
        <f>'BOBOT PEK'!J222</f>
        <v>1.5299080285248149E-2</v>
      </c>
      <c r="I125" s="211">
        <f>'KALENDER MINGGU'!$B$3</f>
        <v>46226</v>
      </c>
      <c r="J125" s="209">
        <f t="shared" si="12"/>
        <v>2.2999999999999998</v>
      </c>
      <c r="K125" s="209">
        <f t="shared" si="13"/>
        <v>0</v>
      </c>
      <c r="L125" s="212">
        <f t="shared" si="14"/>
        <v>1</v>
      </c>
      <c r="M125" s="208" t="str">
        <f t="shared" si="15"/>
        <v>OK</v>
      </c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  <c r="AA125" s="213"/>
      <c r="AB125" s="213"/>
      <c r="AC125" s="213"/>
      <c r="AD125" s="213"/>
      <c r="AE125" s="213"/>
      <c r="AF125" s="213"/>
      <c r="AG125" s="213"/>
      <c r="AH125" s="213"/>
      <c r="AI125" s="213"/>
      <c r="AJ125" s="213"/>
      <c r="AK125" s="213"/>
      <c r="AL125" s="213"/>
      <c r="AM125" s="213"/>
      <c r="AN125" s="213"/>
      <c r="AO125" s="213"/>
      <c r="AP125" s="213"/>
      <c r="AQ125" s="213"/>
      <c r="AR125" s="213"/>
      <c r="AS125" s="213"/>
      <c r="AT125" s="213">
        <v>2.2999999999999998</v>
      </c>
      <c r="AU125" s="213"/>
      <c r="AV125" s="213"/>
      <c r="AW125" s="213"/>
      <c r="AX125" s="213"/>
      <c r="AY125" s="213"/>
      <c r="AZ125" s="213"/>
      <c r="BA125" s="213"/>
      <c r="BB125" s="213"/>
      <c r="BC125" s="213"/>
      <c r="BD125" s="213"/>
      <c r="BE125" s="213"/>
      <c r="BF125" s="213"/>
      <c r="BG125" s="213"/>
      <c r="BH125" s="213"/>
      <c r="BI125" s="213"/>
      <c r="BJ125" s="213"/>
      <c r="BK125" s="213"/>
      <c r="BL125" s="213"/>
      <c r="BM125" s="213"/>
      <c r="BN125" s="213"/>
      <c r="BO125" s="213"/>
      <c r="BP125" s="213"/>
      <c r="BQ125" s="213"/>
      <c r="BR125" s="213"/>
      <c r="BS125" s="213"/>
      <c r="BT125" s="213"/>
      <c r="BU125" s="213"/>
      <c r="BV125" s="213"/>
      <c r="BW125" s="213"/>
      <c r="BX125" s="213"/>
      <c r="BY125" s="213"/>
      <c r="BZ125" s="213"/>
      <c r="CA125" s="213"/>
      <c r="CB125" s="213"/>
      <c r="CC125" s="213"/>
      <c r="CD125" s="213"/>
      <c r="CE125" s="213"/>
      <c r="CF125" s="213"/>
      <c r="CG125" s="213"/>
      <c r="CH125" s="213"/>
      <c r="CI125" s="213"/>
      <c r="CJ125" s="213"/>
      <c r="CK125" s="213"/>
      <c r="CL125" s="213"/>
      <c r="CM125" s="213"/>
      <c r="CN125" s="213"/>
      <c r="CO125" s="213"/>
      <c r="CP125" s="213"/>
      <c r="CQ125" s="213"/>
      <c r="CR125" s="213"/>
      <c r="CS125" s="213"/>
      <c r="CT125" s="213"/>
      <c r="CU125" s="213"/>
      <c r="CV125" s="213"/>
      <c r="CW125" s="213"/>
      <c r="CX125" s="213"/>
      <c r="CY125" s="213"/>
      <c r="CZ125" s="213"/>
      <c r="DA125" s="213"/>
      <c r="DB125" s="213"/>
      <c r="DC125" s="213"/>
      <c r="DD125" s="213"/>
      <c r="DE125" s="213"/>
      <c r="DF125" s="213"/>
      <c r="DG125" s="213"/>
      <c r="DH125" s="213"/>
      <c r="DI125" s="213"/>
      <c r="DJ125" s="213"/>
      <c r="DK125" s="213"/>
      <c r="DL125" s="213"/>
      <c r="DM125" s="213"/>
      <c r="DN125" s="213"/>
      <c r="DO125" s="213"/>
      <c r="DP125" s="213"/>
      <c r="DQ125" s="213"/>
      <c r="DR125" s="213"/>
      <c r="DS125" s="213"/>
      <c r="DT125" s="213"/>
      <c r="DU125" s="213"/>
      <c r="DV125" s="210">
        <f>SUMPRODUCT((($I125+COLUMN($N$3:$DU$3)-COLUMN($N$3))&gt;='KALENDER MINGGU'!$B$6)*(($I125+COLUMN($N$3:$DU$3)-COLUMN($N$3))&lt;='KALENDER MINGGU'!$C$6)*(N125:DU125))/F125*H125</f>
        <v>0</v>
      </c>
      <c r="DW125" s="210">
        <f>SUMPRODUCT((($I125+COLUMN($N$3:$DU$3)-COLUMN($N$3))&gt;='KALENDER MINGGU'!$B$7)*(($I125+COLUMN($N$3:$DU$3)-COLUMN($N$3))&lt;='KALENDER MINGGU'!$C$7)*(N125:DU125))/F125*H125</f>
        <v>0</v>
      </c>
      <c r="DX125" s="210">
        <f>SUMPRODUCT((($I125+COLUMN($N$3:$DU$3)-COLUMN($N$3))&gt;='KALENDER MINGGU'!$B$8)*(($I125+COLUMN($N$3:$DU$3)-COLUMN($N$3))&lt;='KALENDER MINGGU'!$C$8)*(N125:DU125))/F125*H125</f>
        <v>0</v>
      </c>
      <c r="DY125" s="210">
        <f>SUMPRODUCT((($I125+COLUMN($N$3:$DU$3)-COLUMN($N$3))&gt;='KALENDER MINGGU'!$B$9)*(($I125+COLUMN($N$3:$DU$3)-COLUMN($N$3))&lt;='KALENDER MINGGU'!$C$9)*(N125:DU125))/F125*H125</f>
        <v>0</v>
      </c>
      <c r="DZ125" s="210">
        <f>SUMPRODUCT((($I125+COLUMN($N$3:$DU$3)-COLUMN($N$3))&gt;='KALENDER MINGGU'!$B$10)*(($I125+COLUMN($N$3:$DU$3)-COLUMN($N$3))&lt;='KALENDER MINGGU'!$C$10)*(N125:DU125))/F125*H125</f>
        <v>1.5299080285248149E-2</v>
      </c>
      <c r="EA125" s="210">
        <f>SUMPRODUCT((($I125+COLUMN($N$3:$DU$3)-COLUMN($N$3))&gt;='KALENDER MINGGU'!$B$11)*(($I125+COLUMN($N$3:$DU$3)-COLUMN($N$3))&lt;='KALENDER MINGGU'!$C$11)*(N125:DU125))/F125*H125</f>
        <v>0</v>
      </c>
      <c r="EB125" s="210">
        <f>SUMPRODUCT((($I125+COLUMN($N$3:$DU$3)-COLUMN($N$3))&gt;='KALENDER MINGGU'!$B$12)*(($I125+COLUMN($N$3:$DU$3)-COLUMN($N$3))&lt;='KALENDER MINGGU'!$C$12)*(N125:DU125))/F125*H125</f>
        <v>0</v>
      </c>
      <c r="EC125" s="210">
        <f>SUMPRODUCT((($I125+COLUMN($N$3:$DU$3)-COLUMN($N$3))&gt;='KALENDER MINGGU'!$B$13)*(($I125+COLUMN($N$3:$DU$3)-COLUMN($N$3))&lt;='KALENDER MINGGU'!$C$13)*(N125:DU125))/F125*H125</f>
        <v>0</v>
      </c>
      <c r="ED125" s="210">
        <f>SUMPRODUCT((($I125+COLUMN($N$3:$DU$3)-COLUMN($N$3))&gt;='KALENDER MINGGU'!$B$14)*(($I125+COLUMN($N$3:$DU$3)-COLUMN($N$3))&lt;='KALENDER MINGGU'!$C$14)*(N125:DU125))/F125*H125</f>
        <v>0</v>
      </c>
      <c r="EE125" s="210">
        <f>SUMPRODUCT((($I125+COLUMN($N$3:$DU$3)-COLUMN($N$3))&gt;='KALENDER MINGGU'!$B$15)*(($I125+COLUMN($N$3:$DU$3)-COLUMN($N$3))&lt;='KALENDER MINGGU'!$C$15)*(N125:DU125))/F125*H125</f>
        <v>0</v>
      </c>
      <c r="EF125" s="210">
        <f>SUMPRODUCT((($I125+COLUMN($N$3:$DU$3)-COLUMN($N$3))&gt;='KALENDER MINGGU'!$B$16)*(($I125+COLUMN($N$3:$DU$3)-COLUMN($N$3))&lt;='KALENDER MINGGU'!$C$16)*(N125:DU125))/F125*H125</f>
        <v>0</v>
      </c>
      <c r="EG125" s="210">
        <f>SUMPRODUCT((($I125+COLUMN($N$3:$DU$3)-COLUMN($N$3))&gt;='KALENDER MINGGU'!$B$17)*(($I125+COLUMN($N$3:$DU$3)-COLUMN($N$3))&lt;='KALENDER MINGGU'!$C$17)*(N125:DU125))/F125*H125</f>
        <v>0</v>
      </c>
      <c r="EH125" s="210">
        <f>SUMPRODUCT((($I125+COLUMN($N$3:$DU$3)-COLUMN($N$3))&gt;='KALENDER MINGGU'!$B$18)*(($I125+COLUMN($N$3:$DU$3)-COLUMN($N$3))&lt;='KALENDER MINGGU'!$C$18)*(N125:DU125))/F125*H125</f>
        <v>0</v>
      </c>
      <c r="EI125" s="210">
        <f>SUMPRODUCT((($I125+COLUMN($N$3:$DU$3)-COLUMN($N$3))&gt;='KALENDER MINGGU'!$B$19)*(($I125+COLUMN($N$3:$DU$3)-COLUMN($N$3))&lt;='KALENDER MINGGU'!$C$19)*(N125:DU125))/F125*H125</f>
        <v>0</v>
      </c>
      <c r="EJ125" s="210">
        <f>SUMPRODUCT((($I125+COLUMN($N$3:$DU$3)-COLUMN($N$3))&gt;='KALENDER MINGGU'!$B$20)*(($I125+COLUMN($N$3:$DU$3)-COLUMN($N$3))&lt;='KALENDER MINGGU'!$C$20)*(N125:DU125))/F125*H125</f>
        <v>0</v>
      </c>
      <c r="EK125" s="210">
        <f>SUMPRODUCT((($I125+COLUMN($N$3:$DU$3)-COLUMN($N$3))&gt;='KALENDER MINGGU'!$B$21)*(($I125+COLUMN($N$3:$DU$3)-COLUMN($N$3))&lt;='KALENDER MINGGU'!$C$21)*(N125:DU125))/F125*H125</f>
        <v>0</v>
      </c>
    </row>
    <row r="126" spans="1:141" ht="15" customHeight="1" x14ac:dyDescent="0.2">
      <c r="A126" s="208">
        <v>122</v>
      </c>
      <c r="B126" s="208">
        <v>225</v>
      </c>
      <c r="C126" s="208" t="str">
        <f>IF(B126&lt;160,'BOBOT PEK'!$B$4,IF(B126&lt;207,'BOBOT PEK'!$B$160,'BOBOT PEK'!$B$207))</f>
        <v>Toko OT 24 Jam</v>
      </c>
      <c r="D126" s="208" t="s">
        <v>80</v>
      </c>
      <c r="E126" s="208" t="str">
        <f>'BOBOT PEK'!C225</f>
        <v>Kolom tipe 1CNP 150 double</v>
      </c>
      <c r="F126" s="209">
        <f>IF(OR('BOBOT PEK'!E225="",'BOBOT PEK'!E225=0),1,'BOBOT PEK'!E225)</f>
        <v>280</v>
      </c>
      <c r="G126" s="208" t="str">
        <f>IF('BOBOT PEK'!F225="","ls",'BOBOT PEK'!F225)</f>
        <v>kg</v>
      </c>
      <c r="H126" s="210">
        <f>'BOBOT PEK'!J225</f>
        <v>0.17192277511181867</v>
      </c>
      <c r="I126" s="211">
        <f>'KALENDER MINGGU'!$B$3</f>
        <v>46226</v>
      </c>
      <c r="J126" s="209">
        <f t="shared" si="12"/>
        <v>280</v>
      </c>
      <c r="K126" s="209">
        <f t="shared" si="13"/>
        <v>0</v>
      </c>
      <c r="L126" s="212">
        <f t="shared" si="14"/>
        <v>1</v>
      </c>
      <c r="M126" s="208" t="str">
        <f t="shared" si="15"/>
        <v>OK</v>
      </c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  <c r="AB126" s="213"/>
      <c r="AC126" s="213"/>
      <c r="AD126" s="213"/>
      <c r="AE126" s="213"/>
      <c r="AF126" s="213"/>
      <c r="AG126" s="213"/>
      <c r="AH126" s="213"/>
      <c r="AI126" s="213">
        <v>30</v>
      </c>
      <c r="AJ126" s="213"/>
      <c r="AK126" s="213"/>
      <c r="AL126" s="213"/>
      <c r="AM126" s="213"/>
      <c r="AN126" s="213"/>
      <c r="AO126" s="213"/>
      <c r="AP126" s="213"/>
      <c r="AQ126" s="213"/>
      <c r="AR126" s="213"/>
      <c r="AS126" s="213">
        <v>30</v>
      </c>
      <c r="AT126" s="213">
        <v>50</v>
      </c>
      <c r="AU126" s="213"/>
      <c r="AV126" s="213">
        <v>40</v>
      </c>
      <c r="AW126" s="213">
        <v>30</v>
      </c>
      <c r="AX126" s="213">
        <v>30</v>
      </c>
      <c r="AY126" s="213">
        <v>35</v>
      </c>
      <c r="AZ126" s="213">
        <v>32</v>
      </c>
      <c r="BA126" s="213">
        <v>3</v>
      </c>
      <c r="BB126" s="213"/>
      <c r="BC126" s="213"/>
      <c r="BD126" s="213"/>
      <c r="BE126" s="213"/>
      <c r="BF126" s="213"/>
      <c r="BG126" s="213"/>
      <c r="BH126" s="213"/>
      <c r="BI126" s="213"/>
      <c r="BJ126" s="213"/>
      <c r="BK126" s="213"/>
      <c r="BL126" s="213"/>
      <c r="BM126" s="213"/>
      <c r="BN126" s="213"/>
      <c r="BO126" s="213"/>
      <c r="BP126" s="213"/>
      <c r="BQ126" s="213"/>
      <c r="BR126" s="213"/>
      <c r="BS126" s="213"/>
      <c r="BT126" s="213"/>
      <c r="BU126" s="213"/>
      <c r="BV126" s="213"/>
      <c r="BW126" s="213"/>
      <c r="BX126" s="213"/>
      <c r="BY126" s="213"/>
      <c r="BZ126" s="213"/>
      <c r="CA126" s="213"/>
      <c r="CB126" s="213"/>
      <c r="CC126" s="213"/>
      <c r="CD126" s="213"/>
      <c r="CE126" s="213"/>
      <c r="CF126" s="213"/>
      <c r="CG126" s="213"/>
      <c r="CH126" s="213"/>
      <c r="CI126" s="213"/>
      <c r="CJ126" s="213"/>
      <c r="CK126" s="213"/>
      <c r="CL126" s="213"/>
      <c r="CM126" s="213"/>
      <c r="CN126" s="213"/>
      <c r="CO126" s="213"/>
      <c r="CP126" s="213"/>
      <c r="CQ126" s="213"/>
      <c r="CR126" s="213"/>
      <c r="CS126" s="213"/>
      <c r="CT126" s="213"/>
      <c r="CU126" s="213"/>
      <c r="CV126" s="213"/>
      <c r="CW126" s="213"/>
      <c r="CX126" s="213"/>
      <c r="CY126" s="213"/>
      <c r="CZ126" s="213"/>
      <c r="DA126" s="213"/>
      <c r="DB126" s="213"/>
      <c r="DC126" s="213"/>
      <c r="DD126" s="213"/>
      <c r="DE126" s="213"/>
      <c r="DF126" s="213"/>
      <c r="DG126" s="213"/>
      <c r="DH126" s="213"/>
      <c r="DI126" s="213"/>
      <c r="DJ126" s="213"/>
      <c r="DK126" s="213"/>
      <c r="DL126" s="213"/>
      <c r="DM126" s="213"/>
      <c r="DN126" s="213"/>
      <c r="DO126" s="213"/>
      <c r="DP126" s="213"/>
      <c r="DQ126" s="213"/>
      <c r="DR126" s="213"/>
      <c r="DS126" s="213"/>
      <c r="DT126" s="213"/>
      <c r="DU126" s="213"/>
      <c r="DV126" s="210">
        <f>SUMPRODUCT((($I126+COLUMN($N$3:$DU$3)-COLUMN($N$3))&gt;='KALENDER MINGGU'!$B$6)*(($I126+COLUMN($N$3:$DU$3)-COLUMN($N$3))&lt;='KALENDER MINGGU'!$C$6)*(N126:DU126))/F126*H126</f>
        <v>0</v>
      </c>
      <c r="DW126" s="210">
        <f>SUMPRODUCT((($I126+COLUMN($N$3:$DU$3)-COLUMN($N$3))&gt;='KALENDER MINGGU'!$B$7)*(($I126+COLUMN($N$3:$DU$3)-COLUMN($N$3))&lt;='KALENDER MINGGU'!$C$7)*(N126:DU126))/F126*H126</f>
        <v>0</v>
      </c>
      <c r="DX126" s="210">
        <f>SUMPRODUCT((($I126+COLUMN($N$3:$DU$3)-COLUMN($N$3))&gt;='KALENDER MINGGU'!$B$8)*(($I126+COLUMN($N$3:$DU$3)-COLUMN($N$3))&lt;='KALENDER MINGGU'!$C$8)*(N126:DU126))/F126*H126</f>
        <v>0</v>
      </c>
      <c r="DY126" s="210">
        <f>SUMPRODUCT((($I126+COLUMN($N$3:$DU$3)-COLUMN($N$3))&gt;='KALENDER MINGGU'!$B$9)*(($I126+COLUMN($N$3:$DU$3)-COLUMN($N$3))&lt;='KALENDER MINGGU'!$C$9)*(N126:DU126))/F126*H126</f>
        <v>1.8420297333409143E-2</v>
      </c>
      <c r="DZ126" s="210">
        <f>SUMPRODUCT((($I126+COLUMN($N$3:$DU$3)-COLUMN($N$3))&gt;='KALENDER MINGGU'!$B$10)*(($I126+COLUMN($N$3:$DU$3)-COLUMN($N$3))&lt;='KALENDER MINGGU'!$C$10)*(N126:DU126))/F126*H126</f>
        <v>7.3681189333636571E-2</v>
      </c>
      <c r="EA126" s="210">
        <f>SUMPRODUCT((($I126+COLUMN($N$3:$DU$3)-COLUMN($N$3))&gt;='KALENDER MINGGU'!$B$11)*(($I126+COLUMN($N$3:$DU$3)-COLUMN($N$3))&lt;='KALENDER MINGGU'!$C$11)*(N126:DU126))/F126*H126</f>
        <v>7.9821288444772959E-2</v>
      </c>
      <c r="EB126" s="210">
        <f>SUMPRODUCT((($I126+COLUMN($N$3:$DU$3)-COLUMN($N$3))&gt;='KALENDER MINGGU'!$B$12)*(($I126+COLUMN($N$3:$DU$3)-COLUMN($N$3))&lt;='KALENDER MINGGU'!$C$12)*(N126:DU126))/F126*H126</f>
        <v>0</v>
      </c>
      <c r="EC126" s="210">
        <f>SUMPRODUCT((($I126+COLUMN($N$3:$DU$3)-COLUMN($N$3))&gt;='KALENDER MINGGU'!$B$13)*(($I126+COLUMN($N$3:$DU$3)-COLUMN($N$3))&lt;='KALENDER MINGGU'!$C$13)*(N126:DU126))/F126*H126</f>
        <v>0</v>
      </c>
      <c r="ED126" s="210">
        <f>SUMPRODUCT((($I126+COLUMN($N$3:$DU$3)-COLUMN($N$3))&gt;='KALENDER MINGGU'!$B$14)*(($I126+COLUMN($N$3:$DU$3)-COLUMN($N$3))&lt;='KALENDER MINGGU'!$C$14)*(N126:DU126))/F126*H126</f>
        <v>0</v>
      </c>
      <c r="EE126" s="210">
        <f>SUMPRODUCT((($I126+COLUMN($N$3:$DU$3)-COLUMN($N$3))&gt;='KALENDER MINGGU'!$B$15)*(($I126+COLUMN($N$3:$DU$3)-COLUMN($N$3))&lt;='KALENDER MINGGU'!$C$15)*(N126:DU126))/F126*H126</f>
        <v>0</v>
      </c>
      <c r="EF126" s="210">
        <f>SUMPRODUCT((($I126+COLUMN($N$3:$DU$3)-COLUMN($N$3))&gt;='KALENDER MINGGU'!$B$16)*(($I126+COLUMN($N$3:$DU$3)-COLUMN($N$3))&lt;='KALENDER MINGGU'!$C$16)*(N126:DU126))/F126*H126</f>
        <v>0</v>
      </c>
      <c r="EG126" s="210">
        <f>SUMPRODUCT((($I126+COLUMN($N$3:$DU$3)-COLUMN($N$3))&gt;='KALENDER MINGGU'!$B$17)*(($I126+COLUMN($N$3:$DU$3)-COLUMN($N$3))&lt;='KALENDER MINGGU'!$C$17)*(N126:DU126))/F126*H126</f>
        <v>0</v>
      </c>
      <c r="EH126" s="210">
        <f>SUMPRODUCT((($I126+COLUMN($N$3:$DU$3)-COLUMN($N$3))&gt;='KALENDER MINGGU'!$B$18)*(($I126+COLUMN($N$3:$DU$3)-COLUMN($N$3))&lt;='KALENDER MINGGU'!$C$18)*(N126:DU126))/F126*H126</f>
        <v>0</v>
      </c>
      <c r="EI126" s="210">
        <f>SUMPRODUCT((($I126+COLUMN($N$3:$DU$3)-COLUMN($N$3))&gt;='KALENDER MINGGU'!$B$19)*(($I126+COLUMN($N$3:$DU$3)-COLUMN($N$3))&lt;='KALENDER MINGGU'!$C$19)*(N126:DU126))/F126*H126</f>
        <v>0</v>
      </c>
      <c r="EJ126" s="210">
        <f>SUMPRODUCT((($I126+COLUMN($N$3:$DU$3)-COLUMN($N$3))&gt;='KALENDER MINGGU'!$B$20)*(($I126+COLUMN($N$3:$DU$3)-COLUMN($N$3))&lt;='KALENDER MINGGU'!$C$20)*(N126:DU126))/F126*H126</f>
        <v>0</v>
      </c>
      <c r="EK126" s="210">
        <f>SUMPRODUCT((($I126+COLUMN($N$3:$DU$3)-COLUMN($N$3))&gt;='KALENDER MINGGU'!$B$21)*(($I126+COLUMN($N$3:$DU$3)-COLUMN($N$3))&lt;='KALENDER MINGGU'!$C$21)*(N126:DU126))/F126*H126</f>
        <v>0</v>
      </c>
    </row>
    <row r="127" spans="1:141" ht="21.75" customHeight="1" x14ac:dyDescent="0.2">
      <c r="A127" s="208">
        <v>123</v>
      </c>
      <c r="B127" s="208">
        <v>226</v>
      </c>
      <c r="C127" s="208" t="str">
        <f>IF(B127&lt;160,'BOBOT PEK'!$B$4,IF(B127&lt;207,'BOBOT PEK'!$B$160,'BOBOT PEK'!$B$207))</f>
        <v>Toko OT 24 Jam</v>
      </c>
      <c r="D127" s="208" t="s">
        <v>80</v>
      </c>
      <c r="E127" s="214" t="str">
        <f>'BOBOT PEK'!C226</f>
        <v>ring balok
CNP 150 double</v>
      </c>
      <c r="F127" s="209">
        <f>IF(OR('BOBOT PEK'!E226="",'BOBOT PEK'!E226=0),1,'BOBOT PEK'!E226)</f>
        <v>280</v>
      </c>
      <c r="G127" s="208" t="str">
        <f>IF('BOBOT PEK'!F226="","ls",'BOBOT PEK'!F226)</f>
        <v>kg</v>
      </c>
      <c r="H127" s="210">
        <f>'BOBOT PEK'!J226</f>
        <v>0.17192277511181867</v>
      </c>
      <c r="I127" s="211">
        <f>'KALENDER MINGGU'!$B$3</f>
        <v>46226</v>
      </c>
      <c r="J127" s="209">
        <f t="shared" si="12"/>
        <v>280</v>
      </c>
      <c r="K127" s="209">
        <f t="shared" si="13"/>
        <v>0</v>
      </c>
      <c r="L127" s="212">
        <f t="shared" si="14"/>
        <v>1</v>
      </c>
      <c r="M127" s="208" t="str">
        <f t="shared" si="15"/>
        <v>OK</v>
      </c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  <c r="AA127" s="213"/>
      <c r="AB127" s="213"/>
      <c r="AC127" s="213"/>
      <c r="AD127" s="213"/>
      <c r="AE127" s="213"/>
      <c r="AF127" s="213"/>
      <c r="AG127" s="213"/>
      <c r="AH127" s="213"/>
      <c r="AI127" s="213">
        <v>30</v>
      </c>
      <c r="AJ127" s="213"/>
      <c r="AK127" s="213"/>
      <c r="AL127" s="213"/>
      <c r="AM127" s="213"/>
      <c r="AN127" s="213"/>
      <c r="AO127" s="213"/>
      <c r="AP127" s="213"/>
      <c r="AQ127" s="213"/>
      <c r="AR127" s="213"/>
      <c r="AS127" s="213"/>
      <c r="AT127" s="213"/>
      <c r="AU127" s="213"/>
      <c r="AV127" s="213"/>
      <c r="AW127" s="213">
        <v>10</v>
      </c>
      <c r="AX127" s="213">
        <v>40</v>
      </c>
      <c r="AY127" s="213">
        <v>40</v>
      </c>
      <c r="AZ127" s="213">
        <v>80</v>
      </c>
      <c r="BA127" s="213">
        <v>50</v>
      </c>
      <c r="BB127" s="213">
        <v>20</v>
      </c>
      <c r="BC127" s="213">
        <v>10</v>
      </c>
      <c r="BD127" s="213"/>
      <c r="BE127" s="213"/>
      <c r="BF127" s="213"/>
      <c r="BG127" s="213"/>
      <c r="BH127" s="213"/>
      <c r="BI127" s="213"/>
      <c r="BJ127" s="213"/>
      <c r="BK127" s="213"/>
      <c r="BL127" s="213"/>
      <c r="BM127" s="213"/>
      <c r="BN127" s="213"/>
      <c r="BO127" s="213"/>
      <c r="BP127" s="213"/>
      <c r="BQ127" s="213"/>
      <c r="BR127" s="213"/>
      <c r="BS127" s="213"/>
      <c r="BT127" s="213"/>
      <c r="BU127" s="213"/>
      <c r="BV127" s="213"/>
      <c r="BW127" s="213"/>
      <c r="BX127" s="213"/>
      <c r="BY127" s="213"/>
      <c r="BZ127" s="213"/>
      <c r="CA127" s="213"/>
      <c r="CB127" s="213"/>
      <c r="CC127" s="213"/>
      <c r="CD127" s="213"/>
      <c r="CE127" s="213"/>
      <c r="CF127" s="213"/>
      <c r="CG127" s="213"/>
      <c r="CH127" s="213"/>
      <c r="CI127" s="213"/>
      <c r="CJ127" s="213"/>
      <c r="CK127" s="213"/>
      <c r="CL127" s="213"/>
      <c r="CM127" s="213"/>
      <c r="CN127" s="213"/>
      <c r="CO127" s="213"/>
      <c r="CP127" s="213"/>
      <c r="CQ127" s="213"/>
      <c r="CR127" s="213"/>
      <c r="CS127" s="213"/>
      <c r="CT127" s="213"/>
      <c r="CU127" s="213"/>
      <c r="CV127" s="213"/>
      <c r="CW127" s="213"/>
      <c r="CX127" s="213"/>
      <c r="CY127" s="213"/>
      <c r="CZ127" s="213"/>
      <c r="DA127" s="213"/>
      <c r="DB127" s="213"/>
      <c r="DC127" s="213"/>
      <c r="DD127" s="213"/>
      <c r="DE127" s="213"/>
      <c r="DF127" s="213"/>
      <c r="DG127" s="213"/>
      <c r="DH127" s="213"/>
      <c r="DI127" s="213"/>
      <c r="DJ127" s="213"/>
      <c r="DK127" s="213"/>
      <c r="DL127" s="213"/>
      <c r="DM127" s="213"/>
      <c r="DN127" s="213"/>
      <c r="DO127" s="213"/>
      <c r="DP127" s="213"/>
      <c r="DQ127" s="213"/>
      <c r="DR127" s="213"/>
      <c r="DS127" s="213"/>
      <c r="DT127" s="213"/>
      <c r="DU127" s="213"/>
      <c r="DV127" s="210">
        <f>SUMPRODUCT((($I127+COLUMN($N$3:$DU$3)-COLUMN($N$3))&gt;='KALENDER MINGGU'!$B$6)*(($I127+COLUMN($N$3:$DU$3)-COLUMN($N$3))&lt;='KALENDER MINGGU'!$C$6)*(N127:DU127))/F127*H127</f>
        <v>0</v>
      </c>
      <c r="DW127" s="210">
        <f>SUMPRODUCT((($I127+COLUMN($N$3:$DU$3)-COLUMN($N$3))&gt;='KALENDER MINGGU'!$B$7)*(($I127+COLUMN($N$3:$DU$3)-COLUMN($N$3))&lt;='KALENDER MINGGU'!$C$7)*(N127:DU127))/F127*H127</f>
        <v>0</v>
      </c>
      <c r="DX127" s="210">
        <f>SUMPRODUCT((($I127+COLUMN($N$3:$DU$3)-COLUMN($N$3))&gt;='KALENDER MINGGU'!$B$8)*(($I127+COLUMN($N$3:$DU$3)-COLUMN($N$3))&lt;='KALENDER MINGGU'!$C$8)*(N127:DU127))/F127*H127</f>
        <v>0</v>
      </c>
      <c r="DY127" s="210">
        <f>SUMPRODUCT((($I127+COLUMN($N$3:$DU$3)-COLUMN($N$3))&gt;='KALENDER MINGGU'!$B$9)*(($I127+COLUMN($N$3:$DU$3)-COLUMN($N$3))&lt;='KALENDER MINGGU'!$C$9)*(N127:DU127))/F127*H127</f>
        <v>1.8420297333409143E-2</v>
      </c>
      <c r="DZ127" s="210">
        <f>SUMPRODUCT((($I127+COLUMN($N$3:$DU$3)-COLUMN($N$3))&gt;='KALENDER MINGGU'!$B$10)*(($I127+COLUMN($N$3:$DU$3)-COLUMN($N$3))&lt;='KALENDER MINGGU'!$C$10)*(N127:DU127))/F127*H127</f>
        <v>0</v>
      </c>
      <c r="EA127" s="210">
        <f>SUMPRODUCT((($I127+COLUMN($N$3:$DU$3)-COLUMN($N$3))&gt;='KALENDER MINGGU'!$B$11)*(($I127+COLUMN($N$3:$DU$3)-COLUMN($N$3))&lt;='KALENDER MINGGU'!$C$11)*(N127:DU127))/F127*H127</f>
        <v>0.15350247777840953</v>
      </c>
      <c r="EB127" s="210">
        <f>SUMPRODUCT((($I127+COLUMN($N$3:$DU$3)-COLUMN($N$3))&gt;='KALENDER MINGGU'!$B$12)*(($I127+COLUMN($N$3:$DU$3)-COLUMN($N$3))&lt;='KALENDER MINGGU'!$C$12)*(N127:DU127))/F127*H127</f>
        <v>0</v>
      </c>
      <c r="EC127" s="210">
        <f>SUMPRODUCT((($I127+COLUMN($N$3:$DU$3)-COLUMN($N$3))&gt;='KALENDER MINGGU'!$B$13)*(($I127+COLUMN($N$3:$DU$3)-COLUMN($N$3))&lt;='KALENDER MINGGU'!$C$13)*(N127:DU127))/F127*H127</f>
        <v>0</v>
      </c>
      <c r="ED127" s="210">
        <f>SUMPRODUCT((($I127+COLUMN($N$3:$DU$3)-COLUMN($N$3))&gt;='KALENDER MINGGU'!$B$14)*(($I127+COLUMN($N$3:$DU$3)-COLUMN($N$3))&lt;='KALENDER MINGGU'!$C$14)*(N127:DU127))/F127*H127</f>
        <v>0</v>
      </c>
      <c r="EE127" s="210">
        <f>SUMPRODUCT((($I127+COLUMN($N$3:$DU$3)-COLUMN($N$3))&gt;='KALENDER MINGGU'!$B$15)*(($I127+COLUMN($N$3:$DU$3)-COLUMN($N$3))&lt;='KALENDER MINGGU'!$C$15)*(N127:DU127))/F127*H127</f>
        <v>0</v>
      </c>
      <c r="EF127" s="210">
        <f>SUMPRODUCT((($I127+COLUMN($N$3:$DU$3)-COLUMN($N$3))&gt;='KALENDER MINGGU'!$B$16)*(($I127+COLUMN($N$3:$DU$3)-COLUMN($N$3))&lt;='KALENDER MINGGU'!$C$16)*(N127:DU127))/F127*H127</f>
        <v>0</v>
      </c>
      <c r="EG127" s="210">
        <f>SUMPRODUCT((($I127+COLUMN($N$3:$DU$3)-COLUMN($N$3))&gt;='KALENDER MINGGU'!$B$17)*(($I127+COLUMN($N$3:$DU$3)-COLUMN($N$3))&lt;='KALENDER MINGGU'!$C$17)*(N127:DU127))/F127*H127</f>
        <v>0</v>
      </c>
      <c r="EH127" s="210">
        <f>SUMPRODUCT((($I127+COLUMN($N$3:$DU$3)-COLUMN($N$3))&gt;='KALENDER MINGGU'!$B$18)*(($I127+COLUMN($N$3:$DU$3)-COLUMN($N$3))&lt;='KALENDER MINGGU'!$C$18)*(N127:DU127))/F127*H127</f>
        <v>0</v>
      </c>
      <c r="EI127" s="210">
        <f>SUMPRODUCT((($I127+COLUMN($N$3:$DU$3)-COLUMN($N$3))&gt;='KALENDER MINGGU'!$B$19)*(($I127+COLUMN($N$3:$DU$3)-COLUMN($N$3))&lt;='KALENDER MINGGU'!$C$19)*(N127:DU127))/F127*H127</f>
        <v>0</v>
      </c>
      <c r="EJ127" s="210">
        <f>SUMPRODUCT((($I127+COLUMN($N$3:$DU$3)-COLUMN($N$3))&gt;='KALENDER MINGGU'!$B$20)*(($I127+COLUMN($N$3:$DU$3)-COLUMN($N$3))&lt;='KALENDER MINGGU'!$C$20)*(N127:DU127))/F127*H127</f>
        <v>0</v>
      </c>
      <c r="EK127" s="210">
        <f>SUMPRODUCT((($I127+COLUMN($N$3:$DU$3)-COLUMN($N$3))&gt;='KALENDER MINGGU'!$B$21)*(($I127+COLUMN($N$3:$DU$3)-COLUMN($N$3))&lt;='KALENDER MINGGU'!$C$21)*(N127:DU127))/F127*H127</f>
        <v>0</v>
      </c>
    </row>
    <row r="128" spans="1:141" ht="21.75" customHeight="1" x14ac:dyDescent="0.2">
      <c r="A128" s="208">
        <v>124</v>
      </c>
      <c r="B128" s="208">
        <v>229</v>
      </c>
      <c r="C128" s="208" t="str">
        <f>IF(B128&lt;160,'BOBOT PEK'!$B$4,IF(B128&lt;207,'BOBOT PEK'!$B$160,'BOBOT PEK'!$B$207))</f>
        <v>Toko OT 24 Jam</v>
      </c>
      <c r="D128" s="208" t="s">
        <v>100</v>
      </c>
      <c r="E128" s="214" t="str">
        <f>'BOBOT PEK'!C229</f>
        <v>Rangka + atap upvc
baja ringan C75 0.75mm</v>
      </c>
      <c r="F128" s="209">
        <f>IF(OR('BOBOT PEK'!E229="",'BOBOT PEK'!E229=0),1,'BOBOT PEK'!E229)</f>
        <v>48</v>
      </c>
      <c r="G128" s="208" t="str">
        <f>IF('BOBOT PEK'!F229="","ls",'BOBOT PEK'!F229)</f>
        <v>m2</v>
      </c>
      <c r="H128" s="210">
        <f>'BOBOT PEK'!J229</f>
        <v>0.83505347911454786</v>
      </c>
      <c r="I128" s="211">
        <f>'KALENDER MINGGU'!$B$3</f>
        <v>46226</v>
      </c>
      <c r="J128" s="209">
        <f t="shared" si="12"/>
        <v>48</v>
      </c>
      <c r="K128" s="209">
        <f t="shared" si="13"/>
        <v>0</v>
      </c>
      <c r="L128" s="212">
        <f t="shared" si="14"/>
        <v>1</v>
      </c>
      <c r="M128" s="208" t="str">
        <f t="shared" si="15"/>
        <v>OK</v>
      </c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  <c r="AA128" s="213"/>
      <c r="AB128" s="213"/>
      <c r="AC128" s="213"/>
      <c r="AD128" s="213"/>
      <c r="AE128" s="213"/>
      <c r="AF128" s="213"/>
      <c r="AG128" s="213"/>
      <c r="AH128" s="213"/>
      <c r="AI128" s="213"/>
      <c r="AJ128" s="213"/>
      <c r="AK128" s="213"/>
      <c r="AL128" s="213"/>
      <c r="AM128" s="213"/>
      <c r="AN128" s="213"/>
      <c r="AO128" s="213"/>
      <c r="AP128" s="213"/>
      <c r="AQ128" s="213"/>
      <c r="AR128" s="213"/>
      <c r="AS128" s="213"/>
      <c r="AT128" s="213"/>
      <c r="AU128" s="213"/>
      <c r="AV128" s="213"/>
      <c r="AW128" s="213"/>
      <c r="AX128" s="213"/>
      <c r="AY128" s="213"/>
      <c r="AZ128" s="213"/>
      <c r="BA128" s="213">
        <f>30%*$F$128</f>
        <v>14.399999999999999</v>
      </c>
      <c r="BB128" s="213">
        <f>30%*$F$128</f>
        <v>14.399999999999999</v>
      </c>
      <c r="BC128" s="213"/>
      <c r="BD128" s="213"/>
      <c r="BE128" s="213"/>
      <c r="BF128" s="213"/>
      <c r="BG128" s="213">
        <v>5</v>
      </c>
      <c r="BH128" s="213">
        <v>5</v>
      </c>
      <c r="BI128" s="213"/>
      <c r="BJ128" s="213"/>
      <c r="BK128" s="213"/>
      <c r="BL128" s="213"/>
      <c r="BM128" s="213"/>
      <c r="BN128" s="213"/>
      <c r="BO128" s="213"/>
      <c r="BP128" s="213"/>
      <c r="BQ128" s="213"/>
      <c r="BR128" s="213"/>
      <c r="BS128" s="213"/>
      <c r="BT128" s="213"/>
      <c r="BU128" s="213"/>
      <c r="BV128" s="213"/>
      <c r="BW128" s="213"/>
      <c r="BX128" s="213"/>
      <c r="BY128" s="213"/>
      <c r="BZ128" s="213"/>
      <c r="CA128" s="213">
        <v>9.1999999999999993</v>
      </c>
      <c r="CB128" s="213"/>
      <c r="CC128" s="213"/>
      <c r="CD128" s="213"/>
      <c r="CE128" s="213"/>
      <c r="CF128" s="213"/>
      <c r="CG128" s="213"/>
      <c r="CH128" s="213"/>
      <c r="CI128" s="213"/>
      <c r="CJ128" s="213"/>
      <c r="CK128" s="213"/>
      <c r="CL128" s="213"/>
      <c r="CM128" s="213"/>
      <c r="CN128" s="213"/>
      <c r="CO128" s="213"/>
      <c r="CP128" s="213"/>
      <c r="CQ128" s="213"/>
      <c r="CR128" s="213"/>
      <c r="CS128" s="213"/>
      <c r="CT128" s="213"/>
      <c r="CU128" s="213"/>
      <c r="CV128" s="213"/>
      <c r="CW128" s="213"/>
      <c r="CX128" s="213"/>
      <c r="CY128" s="213"/>
      <c r="CZ128" s="213"/>
      <c r="DA128" s="213"/>
      <c r="DB128" s="213"/>
      <c r="DC128" s="213"/>
      <c r="DD128" s="213"/>
      <c r="DE128" s="213"/>
      <c r="DF128" s="213"/>
      <c r="DG128" s="213"/>
      <c r="DH128" s="213"/>
      <c r="DI128" s="213"/>
      <c r="DJ128" s="213"/>
      <c r="DK128" s="213"/>
      <c r="DL128" s="213"/>
      <c r="DM128" s="213"/>
      <c r="DN128" s="213"/>
      <c r="DO128" s="213"/>
      <c r="DP128" s="213"/>
      <c r="DQ128" s="213"/>
      <c r="DR128" s="213"/>
      <c r="DS128" s="213"/>
      <c r="DT128" s="213"/>
      <c r="DU128" s="213"/>
      <c r="DV128" s="210">
        <f>SUMPRODUCT((($I128+COLUMN($N$3:$DU$3)-COLUMN($N$3))&gt;='KALENDER MINGGU'!$B$6)*(($I128+COLUMN($N$3:$DU$3)-COLUMN($N$3))&lt;='KALENDER MINGGU'!$C$6)*(N128:DU128))/F128*H128</f>
        <v>0</v>
      </c>
      <c r="DW128" s="210">
        <f>SUMPRODUCT((($I128+COLUMN($N$3:$DU$3)-COLUMN($N$3))&gt;='KALENDER MINGGU'!$B$7)*(($I128+COLUMN($N$3:$DU$3)-COLUMN($N$3))&lt;='KALENDER MINGGU'!$C$7)*(N128:DU128))/F128*H128</f>
        <v>0</v>
      </c>
      <c r="DX128" s="210">
        <f>SUMPRODUCT((($I128+COLUMN($N$3:$DU$3)-COLUMN($N$3))&gt;='KALENDER MINGGU'!$B$8)*(($I128+COLUMN($N$3:$DU$3)-COLUMN($N$3))&lt;='KALENDER MINGGU'!$C$8)*(N128:DU128))/F128*H128</f>
        <v>0</v>
      </c>
      <c r="DY128" s="210">
        <f>SUMPRODUCT((($I128+COLUMN($N$3:$DU$3)-COLUMN($N$3))&gt;='KALENDER MINGGU'!$B$9)*(($I128+COLUMN($N$3:$DU$3)-COLUMN($N$3))&lt;='KALENDER MINGGU'!$C$9)*(N128:DU128))/F128*H128</f>
        <v>0</v>
      </c>
      <c r="DZ128" s="210">
        <f>SUMPRODUCT((($I128+COLUMN($N$3:$DU$3)-COLUMN($N$3))&gt;='KALENDER MINGGU'!$B$10)*(($I128+COLUMN($N$3:$DU$3)-COLUMN($N$3))&lt;='KALENDER MINGGU'!$C$10)*(N128:DU128))/F128*H128</f>
        <v>0</v>
      </c>
      <c r="EA128" s="210">
        <f>SUMPRODUCT((($I128+COLUMN($N$3:$DU$3)-COLUMN($N$3))&gt;='KALENDER MINGGU'!$B$11)*(($I128+COLUMN($N$3:$DU$3)-COLUMN($N$3))&lt;='KALENDER MINGGU'!$C$11)*(N128:DU128))/F128*H128</f>
        <v>0.50103208746872874</v>
      </c>
      <c r="EB128" s="210">
        <f>SUMPRODUCT((($I128+COLUMN($N$3:$DU$3)-COLUMN($N$3))&gt;='KALENDER MINGGU'!$B$12)*(($I128+COLUMN($N$3:$DU$3)-COLUMN($N$3))&lt;='KALENDER MINGGU'!$C$12)*(N128:DU128))/F128*H128</f>
        <v>0.17396947481553082</v>
      </c>
      <c r="EC128" s="210">
        <f>SUMPRODUCT((($I128+COLUMN($N$3:$DU$3)-COLUMN($N$3))&gt;='KALENDER MINGGU'!$B$13)*(($I128+COLUMN($N$3:$DU$3)-COLUMN($N$3))&lt;='KALENDER MINGGU'!$C$13)*(N128:DU128))/F128*H128</f>
        <v>0</v>
      </c>
      <c r="ED128" s="210">
        <f>SUMPRODUCT((($I128+COLUMN($N$3:$DU$3)-COLUMN($N$3))&gt;='KALENDER MINGGU'!$B$14)*(($I128+COLUMN($N$3:$DU$3)-COLUMN($N$3))&lt;='KALENDER MINGGU'!$C$14)*(N128:DU128))/F128*H128</f>
        <v>0</v>
      </c>
      <c r="EE128" s="210">
        <f>SUMPRODUCT((($I128+COLUMN($N$3:$DU$3)-COLUMN($N$3))&gt;='KALENDER MINGGU'!$B$15)*(($I128+COLUMN($N$3:$DU$3)-COLUMN($N$3))&lt;='KALENDER MINGGU'!$C$15)*(N128:DU128))/F128*H128</f>
        <v>0.16005191683028833</v>
      </c>
      <c r="EF128" s="210">
        <f>SUMPRODUCT((($I128+COLUMN($N$3:$DU$3)-COLUMN($N$3))&gt;='KALENDER MINGGU'!$B$16)*(($I128+COLUMN($N$3:$DU$3)-COLUMN($N$3))&lt;='KALENDER MINGGU'!$C$16)*(N128:DU128))/F128*H128</f>
        <v>0</v>
      </c>
      <c r="EG128" s="210">
        <f>SUMPRODUCT((($I128+COLUMN($N$3:$DU$3)-COLUMN($N$3))&gt;='KALENDER MINGGU'!$B$17)*(($I128+COLUMN($N$3:$DU$3)-COLUMN($N$3))&lt;='KALENDER MINGGU'!$C$17)*(N128:DU128))/F128*H128</f>
        <v>0</v>
      </c>
      <c r="EH128" s="210">
        <f>SUMPRODUCT((($I128+COLUMN($N$3:$DU$3)-COLUMN($N$3))&gt;='KALENDER MINGGU'!$B$18)*(($I128+COLUMN($N$3:$DU$3)-COLUMN($N$3))&lt;='KALENDER MINGGU'!$C$18)*(N128:DU128))/F128*H128</f>
        <v>0</v>
      </c>
      <c r="EI128" s="210">
        <f>SUMPRODUCT((($I128+COLUMN($N$3:$DU$3)-COLUMN($N$3))&gt;='KALENDER MINGGU'!$B$19)*(($I128+COLUMN($N$3:$DU$3)-COLUMN($N$3))&lt;='KALENDER MINGGU'!$C$19)*(N128:DU128))/F128*H128</f>
        <v>0</v>
      </c>
      <c r="EJ128" s="210">
        <f>SUMPRODUCT((($I128+COLUMN($N$3:$DU$3)-COLUMN($N$3))&gt;='KALENDER MINGGU'!$B$20)*(($I128+COLUMN($N$3:$DU$3)-COLUMN($N$3))&lt;='KALENDER MINGGU'!$C$20)*(N128:DU128))/F128*H128</f>
        <v>0</v>
      </c>
      <c r="EK128" s="210">
        <f>SUMPRODUCT((($I128+COLUMN($N$3:$DU$3)-COLUMN($N$3))&gt;='KALENDER MINGGU'!$B$21)*(($I128+COLUMN($N$3:$DU$3)-COLUMN($N$3))&lt;='KALENDER MINGGU'!$C$21)*(N128:DU128))/F128*H128</f>
        <v>0</v>
      </c>
    </row>
    <row r="129" spans="1:141" ht="21.75" customHeight="1" x14ac:dyDescent="0.2">
      <c r="A129" s="208">
        <v>125</v>
      </c>
      <c r="B129" s="208">
        <v>230</v>
      </c>
      <c r="C129" s="208" t="str">
        <f>IF(B129&lt;160,'BOBOT PEK'!$B$4,IF(B129&lt;207,'BOBOT PEK'!$B$160,'BOBOT PEK'!$B$207))</f>
        <v>Toko OT 24 Jam</v>
      </c>
      <c r="D129" s="208" t="s">
        <v>100</v>
      </c>
      <c r="E129" s="214" t="str">
        <f>'BOBOT PEK'!C230</f>
        <v>Rangka + atap upvc
hollow 4x4 canopy</v>
      </c>
      <c r="F129" s="209">
        <f>IF(OR('BOBOT PEK'!E230="",'BOBOT PEK'!E230=0),1,'BOBOT PEK'!E230)</f>
        <v>30</v>
      </c>
      <c r="G129" s="208" t="str">
        <f>IF('BOBOT PEK'!F230="","ls",'BOBOT PEK'!F230)</f>
        <v>m2</v>
      </c>
      <c r="H129" s="210">
        <f>'BOBOT PEK'!J230</f>
        <v>0.61400991111363812</v>
      </c>
      <c r="I129" s="211">
        <f>'KALENDER MINGGU'!$B$3</f>
        <v>46226</v>
      </c>
      <c r="J129" s="209">
        <f t="shared" ref="J129:J148" si="16">SUM(N129:DU129)</f>
        <v>0</v>
      </c>
      <c r="K129" s="209">
        <f t="shared" ref="K129:K148" si="17">MAX(F129-J129,0)</f>
        <v>30</v>
      </c>
      <c r="L129" s="212">
        <f t="shared" ref="L129:L148" si="18">MIN(J129/F129,1)</f>
        <v>0</v>
      </c>
      <c r="M129" s="208" t="str">
        <f t="shared" ref="M129:M148" si="19">IF(J129&gt;F129,"MELEBIHI VOLUME!","OK")</f>
        <v>OK</v>
      </c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  <c r="AA129" s="213"/>
      <c r="AB129" s="213"/>
      <c r="AC129" s="213"/>
      <c r="AD129" s="213"/>
      <c r="AE129" s="213"/>
      <c r="AF129" s="213"/>
      <c r="AG129" s="213"/>
      <c r="AH129" s="213"/>
      <c r="AI129" s="213"/>
      <c r="AJ129" s="213"/>
      <c r="AK129" s="213"/>
      <c r="AL129" s="213"/>
      <c r="AM129" s="213"/>
      <c r="AN129" s="213"/>
      <c r="AO129" s="213"/>
      <c r="AP129" s="213"/>
      <c r="AQ129" s="213"/>
      <c r="AR129" s="213"/>
      <c r="AS129" s="213"/>
      <c r="AT129" s="213"/>
      <c r="AU129" s="213"/>
      <c r="AV129" s="213"/>
      <c r="AW129" s="213"/>
      <c r="AX129" s="213"/>
      <c r="AY129" s="213"/>
      <c r="AZ129" s="213"/>
      <c r="BA129" s="213"/>
      <c r="BB129" s="213"/>
      <c r="BC129" s="213"/>
      <c r="BD129" s="213"/>
      <c r="BE129" s="213"/>
      <c r="BF129" s="213"/>
      <c r="BG129" s="213"/>
      <c r="BH129" s="213"/>
      <c r="BI129" s="213"/>
      <c r="BJ129" s="213"/>
      <c r="BK129" s="213"/>
      <c r="BL129" s="213"/>
      <c r="BM129" s="213"/>
      <c r="BN129" s="213"/>
      <c r="BO129" s="213"/>
      <c r="BP129" s="213"/>
      <c r="BQ129" s="213"/>
      <c r="BR129" s="213"/>
      <c r="BS129" s="213"/>
      <c r="BT129" s="213"/>
      <c r="BU129" s="213"/>
      <c r="BV129" s="213"/>
      <c r="BW129" s="213"/>
      <c r="BX129" s="213"/>
      <c r="BY129" s="213"/>
      <c r="BZ129" s="213"/>
      <c r="CA129" s="213"/>
      <c r="CB129" s="213"/>
      <c r="CC129" s="213"/>
      <c r="CD129" s="213"/>
      <c r="CE129" s="213"/>
      <c r="CF129" s="213"/>
      <c r="CG129" s="213"/>
      <c r="CH129" s="213"/>
      <c r="CI129" s="213"/>
      <c r="CJ129" s="213"/>
      <c r="CK129" s="213"/>
      <c r="CL129" s="213"/>
      <c r="CM129" s="213"/>
      <c r="CN129" s="213"/>
      <c r="CO129" s="213"/>
      <c r="CP129" s="213"/>
      <c r="CQ129" s="213"/>
      <c r="CR129" s="213"/>
      <c r="CS129" s="213"/>
      <c r="CT129" s="213"/>
      <c r="CU129" s="213"/>
      <c r="CV129" s="213"/>
      <c r="CW129" s="213"/>
      <c r="CX129" s="213"/>
      <c r="CY129" s="213"/>
      <c r="CZ129" s="213"/>
      <c r="DA129" s="213"/>
      <c r="DB129" s="213"/>
      <c r="DC129" s="213"/>
      <c r="DD129" s="213"/>
      <c r="DE129" s="213"/>
      <c r="DF129" s="213"/>
      <c r="DG129" s="213"/>
      <c r="DH129" s="213"/>
      <c r="DI129" s="213"/>
      <c r="DJ129" s="213"/>
      <c r="DK129" s="213"/>
      <c r="DL129" s="213"/>
      <c r="DM129" s="213"/>
      <c r="DN129" s="213"/>
      <c r="DO129" s="213"/>
      <c r="DP129" s="213"/>
      <c r="DQ129" s="213"/>
      <c r="DR129" s="213"/>
      <c r="DS129" s="213"/>
      <c r="DT129" s="213"/>
      <c r="DU129" s="213"/>
      <c r="DV129" s="210">
        <f>SUMPRODUCT((($I129+COLUMN($N$3:$DU$3)-COLUMN($N$3))&gt;='KALENDER MINGGU'!$B$6)*(($I129+COLUMN($N$3:$DU$3)-COLUMN($N$3))&lt;='KALENDER MINGGU'!$C$6)*(N129:DU129))/F129*H129</f>
        <v>0</v>
      </c>
      <c r="DW129" s="210">
        <f>SUMPRODUCT((($I129+COLUMN($N$3:$DU$3)-COLUMN($N$3))&gt;='KALENDER MINGGU'!$B$7)*(($I129+COLUMN($N$3:$DU$3)-COLUMN($N$3))&lt;='KALENDER MINGGU'!$C$7)*(N129:DU129))/F129*H129</f>
        <v>0</v>
      </c>
      <c r="DX129" s="210">
        <f>SUMPRODUCT((($I129+COLUMN($N$3:$DU$3)-COLUMN($N$3))&gt;='KALENDER MINGGU'!$B$8)*(($I129+COLUMN($N$3:$DU$3)-COLUMN($N$3))&lt;='KALENDER MINGGU'!$C$8)*(N129:DU129))/F129*H129</f>
        <v>0</v>
      </c>
      <c r="DY129" s="210">
        <f>SUMPRODUCT((($I129+COLUMN($N$3:$DU$3)-COLUMN($N$3))&gt;='KALENDER MINGGU'!$B$9)*(($I129+COLUMN($N$3:$DU$3)-COLUMN($N$3))&lt;='KALENDER MINGGU'!$C$9)*(N129:DU129))/F129*H129</f>
        <v>0</v>
      </c>
      <c r="DZ129" s="210">
        <f>SUMPRODUCT((($I129+COLUMN($N$3:$DU$3)-COLUMN($N$3))&gt;='KALENDER MINGGU'!$B$10)*(($I129+COLUMN($N$3:$DU$3)-COLUMN($N$3))&lt;='KALENDER MINGGU'!$C$10)*(N129:DU129))/F129*H129</f>
        <v>0</v>
      </c>
      <c r="EA129" s="210">
        <f>SUMPRODUCT((($I129+COLUMN($N$3:$DU$3)-COLUMN($N$3))&gt;='KALENDER MINGGU'!$B$11)*(($I129+COLUMN($N$3:$DU$3)-COLUMN($N$3))&lt;='KALENDER MINGGU'!$C$11)*(N129:DU129))/F129*H129</f>
        <v>0</v>
      </c>
      <c r="EB129" s="210">
        <f>SUMPRODUCT((($I129+COLUMN($N$3:$DU$3)-COLUMN($N$3))&gt;='KALENDER MINGGU'!$B$12)*(($I129+COLUMN($N$3:$DU$3)-COLUMN($N$3))&lt;='KALENDER MINGGU'!$C$12)*(N129:DU129))/F129*H129</f>
        <v>0</v>
      </c>
      <c r="EC129" s="210">
        <f>SUMPRODUCT((($I129+COLUMN($N$3:$DU$3)-COLUMN($N$3))&gt;='KALENDER MINGGU'!$B$13)*(($I129+COLUMN($N$3:$DU$3)-COLUMN($N$3))&lt;='KALENDER MINGGU'!$C$13)*(N129:DU129))/F129*H129</f>
        <v>0</v>
      </c>
      <c r="ED129" s="210">
        <f>SUMPRODUCT((($I129+COLUMN($N$3:$DU$3)-COLUMN($N$3))&gt;='KALENDER MINGGU'!$B$14)*(($I129+COLUMN($N$3:$DU$3)-COLUMN($N$3))&lt;='KALENDER MINGGU'!$C$14)*(N129:DU129))/F129*H129</f>
        <v>0</v>
      </c>
      <c r="EE129" s="210">
        <f>SUMPRODUCT((($I129+COLUMN($N$3:$DU$3)-COLUMN($N$3))&gt;='KALENDER MINGGU'!$B$15)*(($I129+COLUMN($N$3:$DU$3)-COLUMN($N$3))&lt;='KALENDER MINGGU'!$C$15)*(N129:DU129))/F129*H129</f>
        <v>0</v>
      </c>
      <c r="EF129" s="210">
        <f>SUMPRODUCT((($I129+COLUMN($N$3:$DU$3)-COLUMN($N$3))&gt;='KALENDER MINGGU'!$B$16)*(($I129+COLUMN($N$3:$DU$3)-COLUMN($N$3))&lt;='KALENDER MINGGU'!$C$16)*(N129:DU129))/F129*H129</f>
        <v>0</v>
      </c>
      <c r="EG129" s="210">
        <f>SUMPRODUCT((($I129+COLUMN($N$3:$DU$3)-COLUMN($N$3))&gt;='KALENDER MINGGU'!$B$17)*(($I129+COLUMN($N$3:$DU$3)-COLUMN($N$3))&lt;='KALENDER MINGGU'!$C$17)*(N129:DU129))/F129*H129</f>
        <v>0</v>
      </c>
      <c r="EH129" s="210">
        <f>SUMPRODUCT((($I129+COLUMN($N$3:$DU$3)-COLUMN($N$3))&gt;='KALENDER MINGGU'!$B$18)*(($I129+COLUMN($N$3:$DU$3)-COLUMN($N$3))&lt;='KALENDER MINGGU'!$C$18)*(N129:DU129))/F129*H129</f>
        <v>0</v>
      </c>
      <c r="EI129" s="210">
        <f>SUMPRODUCT((($I129+COLUMN($N$3:$DU$3)-COLUMN($N$3))&gt;='KALENDER MINGGU'!$B$19)*(($I129+COLUMN($N$3:$DU$3)-COLUMN($N$3))&lt;='KALENDER MINGGU'!$C$19)*(N129:DU129))/F129*H129</f>
        <v>0</v>
      </c>
      <c r="EJ129" s="210">
        <f>SUMPRODUCT((($I129+COLUMN($N$3:$DU$3)-COLUMN($N$3))&gt;='KALENDER MINGGU'!$B$20)*(($I129+COLUMN($N$3:$DU$3)-COLUMN($N$3))&lt;='KALENDER MINGGU'!$C$20)*(N129:DU129))/F129*H129</f>
        <v>0</v>
      </c>
      <c r="EK129" s="210">
        <f>SUMPRODUCT((($I129+COLUMN($N$3:$DU$3)-COLUMN($N$3))&gt;='KALENDER MINGGU'!$B$21)*(($I129+COLUMN($N$3:$DU$3)-COLUMN($N$3))&lt;='KALENDER MINGGU'!$C$21)*(N129:DU129))/F129*H129</f>
        <v>0</v>
      </c>
    </row>
    <row r="130" spans="1:141" ht="21.75" customHeight="1" x14ac:dyDescent="0.2">
      <c r="A130" s="208">
        <v>126</v>
      </c>
      <c r="B130" s="208">
        <v>233</v>
      </c>
      <c r="C130" s="208" t="str">
        <f>IF(B130&lt;160,'BOBOT PEK'!$B$4,IF(B130&lt;207,'BOBOT PEK'!$B$160,'BOBOT PEK'!$B$207))</f>
        <v>Toko OT 24 Jam</v>
      </c>
      <c r="D130" s="208" t="s">
        <v>112</v>
      </c>
      <c r="E130" s="214" t="str">
        <f>'BOBOT PEK'!C233</f>
        <v>Pasangan dinding hebel
7,5cm fin plester aci</v>
      </c>
      <c r="F130" s="209">
        <f>IF(OR('BOBOT PEK'!E233="",'BOBOT PEK'!E233=0),1,'BOBOT PEK'!E233)</f>
        <v>80</v>
      </c>
      <c r="G130" s="208" t="str">
        <f>IF('BOBOT PEK'!F233="","ls",'BOBOT PEK'!F233)</f>
        <v>m2</v>
      </c>
      <c r="H130" s="210">
        <f>'BOBOT PEK'!J233</f>
        <v>0.93124836518901777</v>
      </c>
      <c r="I130" s="211">
        <f>'KALENDER MINGGU'!$B$3</f>
        <v>46226</v>
      </c>
      <c r="J130" s="209">
        <f t="shared" si="16"/>
        <v>80</v>
      </c>
      <c r="K130" s="209">
        <f t="shared" si="17"/>
        <v>0</v>
      </c>
      <c r="L130" s="212">
        <f t="shared" si="18"/>
        <v>1</v>
      </c>
      <c r="M130" s="208" t="str">
        <f t="shared" si="19"/>
        <v>OK</v>
      </c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  <c r="AA130" s="213"/>
      <c r="AB130" s="213"/>
      <c r="AC130" s="213"/>
      <c r="AD130" s="213"/>
      <c r="AE130" s="213"/>
      <c r="AF130" s="213"/>
      <c r="AG130" s="213"/>
      <c r="AH130" s="213"/>
      <c r="AI130" s="213"/>
      <c r="AJ130" s="213"/>
      <c r="AK130" s="213"/>
      <c r="AL130" s="213"/>
      <c r="AM130" s="213"/>
      <c r="AN130" s="213"/>
      <c r="AO130" s="213"/>
      <c r="AP130" s="213"/>
      <c r="AQ130" s="213"/>
      <c r="AR130" s="213"/>
      <c r="AS130" s="213"/>
      <c r="AT130" s="213">
        <f>30%*F130</f>
        <v>24</v>
      </c>
      <c r="AU130" s="213"/>
      <c r="AV130" s="213">
        <v>25</v>
      </c>
      <c r="AW130" s="213"/>
      <c r="AX130" s="213">
        <v>8</v>
      </c>
      <c r="AY130" s="213">
        <v>8</v>
      </c>
      <c r="AZ130" s="213">
        <v>8</v>
      </c>
      <c r="BA130" s="213">
        <v>0</v>
      </c>
      <c r="BB130" s="213"/>
      <c r="BC130" s="213"/>
      <c r="BD130" s="213"/>
      <c r="BE130" s="213"/>
      <c r="BF130" s="213"/>
      <c r="BG130" s="213"/>
      <c r="BH130" s="213"/>
      <c r="BI130" s="213"/>
      <c r="BJ130" s="213"/>
      <c r="BK130" s="213"/>
      <c r="BL130" s="213"/>
      <c r="BM130" s="213"/>
      <c r="BN130" s="213"/>
      <c r="BO130" s="213"/>
      <c r="BP130" s="213"/>
      <c r="BQ130" s="213"/>
      <c r="BR130" s="213"/>
      <c r="BS130" s="213"/>
      <c r="BT130" s="213"/>
      <c r="BU130" s="213"/>
      <c r="BV130" s="213"/>
      <c r="BW130" s="213"/>
      <c r="BX130" s="213"/>
      <c r="BY130" s="213"/>
      <c r="BZ130" s="213"/>
      <c r="CA130" s="213">
        <v>7</v>
      </c>
      <c r="CB130" s="213"/>
      <c r="CC130" s="213"/>
      <c r="CD130" s="213"/>
      <c r="CE130" s="213"/>
      <c r="CF130" s="213"/>
      <c r="CG130" s="213"/>
      <c r="CH130" s="213"/>
      <c r="CI130" s="213"/>
      <c r="CJ130" s="213"/>
      <c r="CK130" s="213"/>
      <c r="CL130" s="213"/>
      <c r="CM130" s="213"/>
      <c r="CN130" s="213"/>
      <c r="CO130" s="213"/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3"/>
      <c r="DA130" s="213"/>
      <c r="DB130" s="213"/>
      <c r="DC130" s="213"/>
      <c r="DD130" s="213"/>
      <c r="DE130" s="213"/>
      <c r="DF130" s="213"/>
      <c r="DG130" s="213"/>
      <c r="DH130" s="213"/>
      <c r="DI130" s="213"/>
      <c r="DJ130" s="213"/>
      <c r="DK130" s="213"/>
      <c r="DL130" s="213"/>
      <c r="DM130" s="213"/>
      <c r="DN130" s="213"/>
      <c r="DO130" s="213"/>
      <c r="DP130" s="213"/>
      <c r="DQ130" s="213"/>
      <c r="DR130" s="213"/>
      <c r="DS130" s="213"/>
      <c r="DT130" s="213"/>
      <c r="DU130" s="213"/>
      <c r="DV130" s="210">
        <f>SUMPRODUCT((($I130+COLUMN($N$3:$DU$3)-COLUMN($N$3))&gt;='KALENDER MINGGU'!$B$6)*(($I130+COLUMN($N$3:$DU$3)-COLUMN($N$3))&lt;='KALENDER MINGGU'!$C$6)*(N130:DU130))/F130*H130</f>
        <v>0</v>
      </c>
      <c r="DW130" s="210">
        <f>SUMPRODUCT((($I130+COLUMN($N$3:$DU$3)-COLUMN($N$3))&gt;='KALENDER MINGGU'!$B$7)*(($I130+COLUMN($N$3:$DU$3)-COLUMN($N$3))&lt;='KALENDER MINGGU'!$C$7)*(N130:DU130))/F130*H130</f>
        <v>0</v>
      </c>
      <c r="DX130" s="210">
        <f>SUMPRODUCT((($I130+COLUMN($N$3:$DU$3)-COLUMN($N$3))&gt;='KALENDER MINGGU'!$B$8)*(($I130+COLUMN($N$3:$DU$3)-COLUMN($N$3))&lt;='KALENDER MINGGU'!$C$8)*(N130:DU130))/F130*H130</f>
        <v>0</v>
      </c>
      <c r="DY130" s="210">
        <f>SUMPRODUCT((($I130+COLUMN($N$3:$DU$3)-COLUMN($N$3))&gt;='KALENDER MINGGU'!$B$9)*(($I130+COLUMN($N$3:$DU$3)-COLUMN($N$3))&lt;='KALENDER MINGGU'!$C$9)*(N130:DU130))/F130*H130</f>
        <v>0</v>
      </c>
      <c r="DZ130" s="210">
        <f>SUMPRODUCT((($I130+COLUMN($N$3:$DU$3)-COLUMN($N$3))&gt;='KALENDER MINGGU'!$B$10)*(($I130+COLUMN($N$3:$DU$3)-COLUMN($N$3))&lt;='KALENDER MINGGU'!$C$10)*(N130:DU130))/F130*H130</f>
        <v>0.57038962367827339</v>
      </c>
      <c r="EA130" s="210">
        <f>SUMPRODUCT((($I130+COLUMN($N$3:$DU$3)-COLUMN($N$3))&gt;='KALENDER MINGGU'!$B$11)*(($I130+COLUMN($N$3:$DU$3)-COLUMN($N$3))&lt;='KALENDER MINGGU'!$C$11)*(N130:DU130))/F130*H130</f>
        <v>0.27937450955670534</v>
      </c>
      <c r="EB130" s="210">
        <f>SUMPRODUCT((($I130+COLUMN($N$3:$DU$3)-COLUMN($N$3))&gt;='KALENDER MINGGU'!$B$12)*(($I130+COLUMN($N$3:$DU$3)-COLUMN($N$3))&lt;='KALENDER MINGGU'!$C$12)*(N130:DU130))/F130*H130</f>
        <v>0</v>
      </c>
      <c r="EC130" s="210">
        <f>SUMPRODUCT((($I130+COLUMN($N$3:$DU$3)-COLUMN($N$3))&gt;='KALENDER MINGGU'!$B$13)*(($I130+COLUMN($N$3:$DU$3)-COLUMN($N$3))&lt;='KALENDER MINGGU'!$C$13)*(N130:DU130))/F130*H130</f>
        <v>0</v>
      </c>
      <c r="ED130" s="210">
        <f>SUMPRODUCT((($I130+COLUMN($N$3:$DU$3)-COLUMN($N$3))&gt;='KALENDER MINGGU'!$B$14)*(($I130+COLUMN($N$3:$DU$3)-COLUMN($N$3))&lt;='KALENDER MINGGU'!$C$14)*(N130:DU130))/F130*H130</f>
        <v>0</v>
      </c>
      <c r="EE130" s="210">
        <f>SUMPRODUCT((($I130+COLUMN($N$3:$DU$3)-COLUMN($N$3))&gt;='KALENDER MINGGU'!$B$15)*(($I130+COLUMN($N$3:$DU$3)-COLUMN($N$3))&lt;='KALENDER MINGGU'!$C$15)*(N130:DU130))/F130*H130</f>
        <v>8.1484231954039046E-2</v>
      </c>
      <c r="EF130" s="210">
        <f>SUMPRODUCT((($I130+COLUMN($N$3:$DU$3)-COLUMN($N$3))&gt;='KALENDER MINGGU'!$B$16)*(($I130+COLUMN($N$3:$DU$3)-COLUMN($N$3))&lt;='KALENDER MINGGU'!$C$16)*(N130:DU130))/F130*H130</f>
        <v>0</v>
      </c>
      <c r="EG130" s="210">
        <f>SUMPRODUCT((($I130+COLUMN($N$3:$DU$3)-COLUMN($N$3))&gt;='KALENDER MINGGU'!$B$17)*(($I130+COLUMN($N$3:$DU$3)-COLUMN($N$3))&lt;='KALENDER MINGGU'!$C$17)*(N130:DU130))/F130*H130</f>
        <v>0</v>
      </c>
      <c r="EH130" s="210">
        <f>SUMPRODUCT((($I130+COLUMN($N$3:$DU$3)-COLUMN($N$3))&gt;='KALENDER MINGGU'!$B$18)*(($I130+COLUMN($N$3:$DU$3)-COLUMN($N$3))&lt;='KALENDER MINGGU'!$C$18)*(N130:DU130))/F130*H130</f>
        <v>0</v>
      </c>
      <c r="EI130" s="210">
        <f>SUMPRODUCT((($I130+COLUMN($N$3:$DU$3)-COLUMN($N$3))&gt;='KALENDER MINGGU'!$B$19)*(($I130+COLUMN($N$3:$DU$3)-COLUMN($N$3))&lt;='KALENDER MINGGU'!$C$19)*(N130:DU130))/F130*H130</f>
        <v>0</v>
      </c>
      <c r="EJ130" s="210">
        <f>SUMPRODUCT((($I130+COLUMN($N$3:$DU$3)-COLUMN($N$3))&gt;='KALENDER MINGGU'!$B$20)*(($I130+COLUMN($N$3:$DU$3)-COLUMN($N$3))&lt;='KALENDER MINGGU'!$C$20)*(N130:DU130))/F130*H130</f>
        <v>0</v>
      </c>
      <c r="EK130" s="210">
        <f>SUMPRODUCT((($I130+COLUMN($N$3:$DU$3)-COLUMN($N$3))&gt;='KALENDER MINGGU'!$B$21)*(($I130+COLUMN($N$3:$DU$3)-COLUMN($N$3))&lt;='KALENDER MINGGU'!$C$21)*(N130:DU130))/F130*H130</f>
        <v>0</v>
      </c>
    </row>
    <row r="131" spans="1:141" ht="21.75" customHeight="1" x14ac:dyDescent="0.2">
      <c r="A131" s="208">
        <v>127</v>
      </c>
      <c r="B131" s="208">
        <v>234</v>
      </c>
      <c r="C131" s="208" t="str">
        <f>IF(B131&lt;160,'BOBOT PEK'!$B$4,IF(B131&lt;207,'BOBOT PEK'!$B$160,'BOBOT PEK'!$B$207))</f>
        <v>Toko OT 24 Jam</v>
      </c>
      <c r="D131" s="208" t="s">
        <v>112</v>
      </c>
      <c r="E131" s="214" t="str">
        <f>'BOBOT PEK'!C234</f>
        <v>cat exterior
ex catylac exterior</v>
      </c>
      <c r="F131" s="209">
        <f>IF(OR('BOBOT PEK'!E234="",'BOBOT PEK'!E234=0),1,'BOBOT PEK'!E234)</f>
        <v>60</v>
      </c>
      <c r="G131" s="208" t="str">
        <f>IF('BOBOT PEK'!F234="","ls",'BOBOT PEK'!F234)</f>
        <v>m2</v>
      </c>
      <c r="H131" s="210">
        <f>'BOBOT PEK'!J234</f>
        <v>8.8263924722585471E-2</v>
      </c>
      <c r="I131" s="211">
        <f>'KALENDER MINGGU'!$B$3</f>
        <v>46226</v>
      </c>
      <c r="J131" s="209">
        <f t="shared" si="16"/>
        <v>0</v>
      </c>
      <c r="K131" s="209">
        <f t="shared" si="17"/>
        <v>60</v>
      </c>
      <c r="L131" s="212">
        <f t="shared" si="18"/>
        <v>0</v>
      </c>
      <c r="M131" s="208" t="str">
        <f t="shared" si="19"/>
        <v>OK</v>
      </c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  <c r="AA131" s="213"/>
      <c r="AB131" s="213"/>
      <c r="AC131" s="213"/>
      <c r="AD131" s="213"/>
      <c r="AE131" s="213"/>
      <c r="AF131" s="213"/>
      <c r="AG131" s="213"/>
      <c r="AH131" s="213"/>
      <c r="AI131" s="213"/>
      <c r="AJ131" s="213"/>
      <c r="AK131" s="213"/>
      <c r="AL131" s="213"/>
      <c r="AM131" s="213"/>
      <c r="AN131" s="213"/>
      <c r="AO131" s="213"/>
      <c r="AP131" s="213"/>
      <c r="AQ131" s="213"/>
      <c r="AR131" s="213"/>
      <c r="AS131" s="213"/>
      <c r="AT131" s="213"/>
      <c r="AU131" s="213"/>
      <c r="AV131" s="213"/>
      <c r="AW131" s="213"/>
      <c r="AX131" s="213"/>
      <c r="AY131" s="213"/>
      <c r="AZ131" s="213"/>
      <c r="BA131" s="213"/>
      <c r="BB131" s="213"/>
      <c r="BC131" s="213"/>
      <c r="BD131" s="213"/>
      <c r="BE131" s="213"/>
      <c r="BF131" s="213"/>
      <c r="BG131" s="213"/>
      <c r="BH131" s="213"/>
      <c r="BI131" s="213"/>
      <c r="BJ131" s="213"/>
      <c r="BK131" s="213"/>
      <c r="BL131" s="213"/>
      <c r="BM131" s="213"/>
      <c r="BN131" s="213"/>
      <c r="BO131" s="213"/>
      <c r="BP131" s="213"/>
      <c r="BQ131" s="213"/>
      <c r="BR131" s="213"/>
      <c r="BS131" s="213"/>
      <c r="BT131" s="213"/>
      <c r="BU131" s="213"/>
      <c r="BV131" s="213"/>
      <c r="BW131" s="213"/>
      <c r="BX131" s="213"/>
      <c r="BY131" s="213"/>
      <c r="BZ131" s="213"/>
      <c r="CA131" s="213"/>
      <c r="CB131" s="213"/>
      <c r="CC131" s="213"/>
      <c r="CD131" s="213"/>
      <c r="CE131" s="213"/>
      <c r="CF131" s="213"/>
      <c r="CG131" s="213"/>
      <c r="CH131" s="213"/>
      <c r="CI131" s="213"/>
      <c r="CJ131" s="213"/>
      <c r="CK131" s="213"/>
      <c r="CL131" s="213"/>
      <c r="CM131" s="213"/>
      <c r="CN131" s="213"/>
      <c r="CO131" s="213"/>
      <c r="CP131" s="213"/>
      <c r="CQ131" s="213"/>
      <c r="CR131" s="213"/>
      <c r="CS131" s="213"/>
      <c r="CT131" s="213"/>
      <c r="CU131" s="213"/>
      <c r="CV131" s="213"/>
      <c r="CW131" s="213"/>
      <c r="CX131" s="213"/>
      <c r="CY131" s="213"/>
      <c r="CZ131" s="213"/>
      <c r="DA131" s="213"/>
      <c r="DB131" s="213"/>
      <c r="DC131" s="213"/>
      <c r="DD131" s="213"/>
      <c r="DE131" s="213"/>
      <c r="DF131" s="213"/>
      <c r="DG131" s="213"/>
      <c r="DH131" s="213"/>
      <c r="DI131" s="213"/>
      <c r="DJ131" s="213"/>
      <c r="DK131" s="213"/>
      <c r="DL131" s="213"/>
      <c r="DM131" s="213"/>
      <c r="DN131" s="213"/>
      <c r="DO131" s="213"/>
      <c r="DP131" s="213"/>
      <c r="DQ131" s="213"/>
      <c r="DR131" s="213"/>
      <c r="DS131" s="213"/>
      <c r="DT131" s="213"/>
      <c r="DU131" s="213"/>
      <c r="DV131" s="210">
        <f>SUMPRODUCT((($I131+COLUMN($N$3:$DU$3)-COLUMN($N$3))&gt;='KALENDER MINGGU'!$B$6)*(($I131+COLUMN($N$3:$DU$3)-COLUMN($N$3))&lt;='KALENDER MINGGU'!$C$6)*(N131:DU131))/F131*H131</f>
        <v>0</v>
      </c>
      <c r="DW131" s="210">
        <f>SUMPRODUCT((($I131+COLUMN($N$3:$DU$3)-COLUMN($N$3))&gt;='KALENDER MINGGU'!$B$7)*(($I131+COLUMN($N$3:$DU$3)-COLUMN($N$3))&lt;='KALENDER MINGGU'!$C$7)*(N131:DU131))/F131*H131</f>
        <v>0</v>
      </c>
      <c r="DX131" s="210">
        <f>SUMPRODUCT((($I131+COLUMN($N$3:$DU$3)-COLUMN($N$3))&gt;='KALENDER MINGGU'!$B$8)*(($I131+COLUMN($N$3:$DU$3)-COLUMN($N$3))&lt;='KALENDER MINGGU'!$C$8)*(N131:DU131))/F131*H131</f>
        <v>0</v>
      </c>
      <c r="DY131" s="210">
        <f>SUMPRODUCT((($I131+COLUMN($N$3:$DU$3)-COLUMN($N$3))&gt;='KALENDER MINGGU'!$B$9)*(($I131+COLUMN($N$3:$DU$3)-COLUMN($N$3))&lt;='KALENDER MINGGU'!$C$9)*(N131:DU131))/F131*H131</f>
        <v>0</v>
      </c>
      <c r="DZ131" s="210">
        <f>SUMPRODUCT((($I131+COLUMN($N$3:$DU$3)-COLUMN($N$3))&gt;='KALENDER MINGGU'!$B$10)*(($I131+COLUMN($N$3:$DU$3)-COLUMN($N$3))&lt;='KALENDER MINGGU'!$C$10)*(N131:DU131))/F131*H131</f>
        <v>0</v>
      </c>
      <c r="EA131" s="210">
        <f>SUMPRODUCT((($I131+COLUMN($N$3:$DU$3)-COLUMN($N$3))&gt;='KALENDER MINGGU'!$B$11)*(($I131+COLUMN($N$3:$DU$3)-COLUMN($N$3))&lt;='KALENDER MINGGU'!$C$11)*(N131:DU131))/F131*H131</f>
        <v>0</v>
      </c>
      <c r="EB131" s="210">
        <f>SUMPRODUCT((($I131+COLUMN($N$3:$DU$3)-COLUMN($N$3))&gt;='KALENDER MINGGU'!$B$12)*(($I131+COLUMN($N$3:$DU$3)-COLUMN($N$3))&lt;='KALENDER MINGGU'!$C$12)*(N131:DU131))/F131*H131</f>
        <v>0</v>
      </c>
      <c r="EC131" s="210">
        <f>SUMPRODUCT((($I131+COLUMN($N$3:$DU$3)-COLUMN($N$3))&gt;='KALENDER MINGGU'!$B$13)*(($I131+COLUMN($N$3:$DU$3)-COLUMN($N$3))&lt;='KALENDER MINGGU'!$C$13)*(N131:DU131))/F131*H131</f>
        <v>0</v>
      </c>
      <c r="ED131" s="210">
        <f>SUMPRODUCT((($I131+COLUMN($N$3:$DU$3)-COLUMN($N$3))&gt;='KALENDER MINGGU'!$B$14)*(($I131+COLUMN($N$3:$DU$3)-COLUMN($N$3))&lt;='KALENDER MINGGU'!$C$14)*(N131:DU131))/F131*H131</f>
        <v>0</v>
      </c>
      <c r="EE131" s="210">
        <f>SUMPRODUCT((($I131+COLUMN($N$3:$DU$3)-COLUMN($N$3))&gt;='KALENDER MINGGU'!$B$15)*(($I131+COLUMN($N$3:$DU$3)-COLUMN($N$3))&lt;='KALENDER MINGGU'!$C$15)*(N131:DU131))/F131*H131</f>
        <v>0</v>
      </c>
      <c r="EF131" s="210">
        <f>SUMPRODUCT((($I131+COLUMN($N$3:$DU$3)-COLUMN($N$3))&gt;='KALENDER MINGGU'!$B$16)*(($I131+COLUMN($N$3:$DU$3)-COLUMN($N$3))&lt;='KALENDER MINGGU'!$C$16)*(N131:DU131))/F131*H131</f>
        <v>0</v>
      </c>
      <c r="EG131" s="210">
        <f>SUMPRODUCT((($I131+COLUMN($N$3:$DU$3)-COLUMN($N$3))&gt;='KALENDER MINGGU'!$B$17)*(($I131+COLUMN($N$3:$DU$3)-COLUMN($N$3))&lt;='KALENDER MINGGU'!$C$17)*(N131:DU131))/F131*H131</f>
        <v>0</v>
      </c>
      <c r="EH131" s="210">
        <f>SUMPRODUCT((($I131+COLUMN($N$3:$DU$3)-COLUMN($N$3))&gt;='KALENDER MINGGU'!$B$18)*(($I131+COLUMN($N$3:$DU$3)-COLUMN($N$3))&lt;='KALENDER MINGGU'!$C$18)*(N131:DU131))/F131*H131</f>
        <v>0</v>
      </c>
      <c r="EI131" s="210">
        <f>SUMPRODUCT((($I131+COLUMN($N$3:$DU$3)-COLUMN($N$3))&gt;='KALENDER MINGGU'!$B$19)*(($I131+COLUMN($N$3:$DU$3)-COLUMN($N$3))&lt;='KALENDER MINGGU'!$C$19)*(N131:DU131))/F131*H131</f>
        <v>0</v>
      </c>
      <c r="EJ131" s="210">
        <f>SUMPRODUCT((($I131+COLUMN($N$3:$DU$3)-COLUMN($N$3))&gt;='KALENDER MINGGU'!$B$20)*(($I131+COLUMN($N$3:$DU$3)-COLUMN($N$3))&lt;='KALENDER MINGGU'!$C$20)*(N131:DU131))/F131*H131</f>
        <v>0</v>
      </c>
      <c r="EK131" s="210">
        <f>SUMPRODUCT((($I131+COLUMN($N$3:$DU$3)-COLUMN($N$3))&gt;='KALENDER MINGGU'!$B$21)*(($I131+COLUMN($N$3:$DU$3)-COLUMN($N$3))&lt;='KALENDER MINGGU'!$C$21)*(N131:DU131))/F131*H131</f>
        <v>0</v>
      </c>
    </row>
    <row r="132" spans="1:141" ht="21.75" customHeight="1" x14ac:dyDescent="0.2">
      <c r="A132" s="208">
        <v>128</v>
      </c>
      <c r="B132" s="208">
        <v>235</v>
      </c>
      <c r="C132" s="208" t="str">
        <f>IF(B132&lt;160,'BOBOT PEK'!$B$4,IF(B132&lt;207,'BOBOT PEK'!$B$160,'BOBOT PEK'!$B$207))</f>
        <v>Toko OT 24 Jam</v>
      </c>
      <c r="D132" s="208" t="s">
        <v>112</v>
      </c>
      <c r="E132" s="214" t="str">
        <f>'BOBOT PEK'!C235</f>
        <v>cat interior
ex catylac interior</v>
      </c>
      <c r="F132" s="209">
        <f>IF(OR('BOBOT PEK'!E235="",'BOBOT PEK'!E235=0),1,'BOBOT PEK'!E235)</f>
        <v>60</v>
      </c>
      <c r="G132" s="208" t="str">
        <f>IF('BOBOT PEK'!F235="","ls",'BOBOT PEK'!F235)</f>
        <v>m2</v>
      </c>
      <c r="H132" s="210">
        <f>'BOBOT PEK'!J235</f>
        <v>8.4426362778125236E-2</v>
      </c>
      <c r="I132" s="211">
        <f>'KALENDER MINGGU'!$B$3</f>
        <v>46226</v>
      </c>
      <c r="J132" s="209">
        <f t="shared" si="16"/>
        <v>0</v>
      </c>
      <c r="K132" s="209">
        <f t="shared" si="17"/>
        <v>60</v>
      </c>
      <c r="L132" s="212">
        <f t="shared" si="18"/>
        <v>0</v>
      </c>
      <c r="M132" s="208" t="str">
        <f t="shared" si="19"/>
        <v>OK</v>
      </c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  <c r="AA132" s="213"/>
      <c r="AB132" s="213"/>
      <c r="AC132" s="213"/>
      <c r="AD132" s="213"/>
      <c r="AE132" s="213"/>
      <c r="AF132" s="213"/>
      <c r="AG132" s="213"/>
      <c r="AH132" s="213"/>
      <c r="AI132" s="213"/>
      <c r="AJ132" s="213"/>
      <c r="AK132" s="213"/>
      <c r="AL132" s="213"/>
      <c r="AM132" s="213"/>
      <c r="AN132" s="213"/>
      <c r="AO132" s="213"/>
      <c r="AP132" s="213"/>
      <c r="AQ132" s="213"/>
      <c r="AR132" s="213"/>
      <c r="AS132" s="213"/>
      <c r="AT132" s="213"/>
      <c r="AU132" s="213"/>
      <c r="AV132" s="213"/>
      <c r="AW132" s="213"/>
      <c r="AX132" s="213"/>
      <c r="AY132" s="213"/>
      <c r="AZ132" s="213"/>
      <c r="BA132" s="213"/>
      <c r="BB132" s="213"/>
      <c r="BC132" s="213"/>
      <c r="BD132" s="213"/>
      <c r="BE132" s="213"/>
      <c r="BF132" s="213"/>
      <c r="BG132" s="213"/>
      <c r="BH132" s="213"/>
      <c r="BI132" s="213"/>
      <c r="BJ132" s="213"/>
      <c r="BK132" s="213"/>
      <c r="BL132" s="213"/>
      <c r="BM132" s="213"/>
      <c r="BN132" s="213"/>
      <c r="BO132" s="213"/>
      <c r="BP132" s="213"/>
      <c r="BQ132" s="213"/>
      <c r="BR132" s="213"/>
      <c r="BS132" s="213"/>
      <c r="BT132" s="213"/>
      <c r="BU132" s="213"/>
      <c r="BV132" s="213"/>
      <c r="BW132" s="213"/>
      <c r="BX132" s="213"/>
      <c r="BY132" s="213"/>
      <c r="BZ132" s="213"/>
      <c r="CA132" s="213"/>
      <c r="CB132" s="213"/>
      <c r="CC132" s="213"/>
      <c r="CD132" s="213"/>
      <c r="CE132" s="213"/>
      <c r="CF132" s="213"/>
      <c r="CG132" s="213"/>
      <c r="CH132" s="213"/>
      <c r="CI132" s="213"/>
      <c r="CJ132" s="213"/>
      <c r="CK132" s="213"/>
      <c r="CL132" s="213"/>
      <c r="CM132" s="213"/>
      <c r="CN132" s="213"/>
      <c r="CO132" s="213"/>
      <c r="CP132" s="213"/>
      <c r="CQ132" s="213"/>
      <c r="CR132" s="213"/>
      <c r="CS132" s="213"/>
      <c r="CT132" s="213"/>
      <c r="CU132" s="213"/>
      <c r="CV132" s="213"/>
      <c r="CW132" s="213"/>
      <c r="CX132" s="213"/>
      <c r="CY132" s="213"/>
      <c r="CZ132" s="213"/>
      <c r="DA132" s="213"/>
      <c r="DB132" s="213"/>
      <c r="DC132" s="213"/>
      <c r="DD132" s="213"/>
      <c r="DE132" s="213"/>
      <c r="DF132" s="213"/>
      <c r="DG132" s="213"/>
      <c r="DH132" s="213"/>
      <c r="DI132" s="213"/>
      <c r="DJ132" s="213"/>
      <c r="DK132" s="213"/>
      <c r="DL132" s="213"/>
      <c r="DM132" s="213"/>
      <c r="DN132" s="213"/>
      <c r="DO132" s="213"/>
      <c r="DP132" s="213"/>
      <c r="DQ132" s="213"/>
      <c r="DR132" s="213"/>
      <c r="DS132" s="213"/>
      <c r="DT132" s="213"/>
      <c r="DU132" s="213"/>
      <c r="DV132" s="210">
        <f>SUMPRODUCT((($I132+COLUMN($N$3:$DU$3)-COLUMN($N$3))&gt;='KALENDER MINGGU'!$B$6)*(($I132+COLUMN($N$3:$DU$3)-COLUMN($N$3))&lt;='KALENDER MINGGU'!$C$6)*(N132:DU132))/F132*H132</f>
        <v>0</v>
      </c>
      <c r="DW132" s="210">
        <f>SUMPRODUCT((($I132+COLUMN($N$3:$DU$3)-COLUMN($N$3))&gt;='KALENDER MINGGU'!$B$7)*(($I132+COLUMN($N$3:$DU$3)-COLUMN($N$3))&lt;='KALENDER MINGGU'!$C$7)*(N132:DU132))/F132*H132</f>
        <v>0</v>
      </c>
      <c r="DX132" s="210">
        <f>SUMPRODUCT((($I132+COLUMN($N$3:$DU$3)-COLUMN($N$3))&gt;='KALENDER MINGGU'!$B$8)*(($I132+COLUMN($N$3:$DU$3)-COLUMN($N$3))&lt;='KALENDER MINGGU'!$C$8)*(N132:DU132))/F132*H132</f>
        <v>0</v>
      </c>
      <c r="DY132" s="210">
        <f>SUMPRODUCT((($I132+COLUMN($N$3:$DU$3)-COLUMN($N$3))&gt;='KALENDER MINGGU'!$B$9)*(($I132+COLUMN($N$3:$DU$3)-COLUMN($N$3))&lt;='KALENDER MINGGU'!$C$9)*(N132:DU132))/F132*H132</f>
        <v>0</v>
      </c>
      <c r="DZ132" s="210">
        <f>SUMPRODUCT((($I132+COLUMN($N$3:$DU$3)-COLUMN($N$3))&gt;='KALENDER MINGGU'!$B$10)*(($I132+COLUMN($N$3:$DU$3)-COLUMN($N$3))&lt;='KALENDER MINGGU'!$C$10)*(N132:DU132))/F132*H132</f>
        <v>0</v>
      </c>
      <c r="EA132" s="210">
        <f>SUMPRODUCT((($I132+COLUMN($N$3:$DU$3)-COLUMN($N$3))&gt;='KALENDER MINGGU'!$B$11)*(($I132+COLUMN($N$3:$DU$3)-COLUMN($N$3))&lt;='KALENDER MINGGU'!$C$11)*(N132:DU132))/F132*H132</f>
        <v>0</v>
      </c>
      <c r="EB132" s="210">
        <f>SUMPRODUCT((($I132+COLUMN($N$3:$DU$3)-COLUMN($N$3))&gt;='KALENDER MINGGU'!$B$12)*(($I132+COLUMN($N$3:$DU$3)-COLUMN($N$3))&lt;='KALENDER MINGGU'!$C$12)*(N132:DU132))/F132*H132</f>
        <v>0</v>
      </c>
      <c r="EC132" s="210">
        <f>SUMPRODUCT((($I132+COLUMN($N$3:$DU$3)-COLUMN($N$3))&gt;='KALENDER MINGGU'!$B$13)*(($I132+COLUMN($N$3:$DU$3)-COLUMN($N$3))&lt;='KALENDER MINGGU'!$C$13)*(N132:DU132))/F132*H132</f>
        <v>0</v>
      </c>
      <c r="ED132" s="210">
        <f>SUMPRODUCT((($I132+COLUMN($N$3:$DU$3)-COLUMN($N$3))&gt;='KALENDER MINGGU'!$B$14)*(($I132+COLUMN($N$3:$DU$3)-COLUMN($N$3))&lt;='KALENDER MINGGU'!$C$14)*(N132:DU132))/F132*H132</f>
        <v>0</v>
      </c>
      <c r="EE132" s="210">
        <f>SUMPRODUCT((($I132+COLUMN($N$3:$DU$3)-COLUMN($N$3))&gt;='KALENDER MINGGU'!$B$15)*(($I132+COLUMN($N$3:$DU$3)-COLUMN($N$3))&lt;='KALENDER MINGGU'!$C$15)*(N132:DU132))/F132*H132</f>
        <v>0</v>
      </c>
      <c r="EF132" s="210">
        <f>SUMPRODUCT((($I132+COLUMN($N$3:$DU$3)-COLUMN($N$3))&gt;='KALENDER MINGGU'!$B$16)*(($I132+COLUMN($N$3:$DU$3)-COLUMN($N$3))&lt;='KALENDER MINGGU'!$C$16)*(N132:DU132))/F132*H132</f>
        <v>0</v>
      </c>
      <c r="EG132" s="210">
        <f>SUMPRODUCT((($I132+COLUMN($N$3:$DU$3)-COLUMN($N$3))&gt;='KALENDER MINGGU'!$B$17)*(($I132+COLUMN($N$3:$DU$3)-COLUMN($N$3))&lt;='KALENDER MINGGU'!$C$17)*(N132:DU132))/F132*H132</f>
        <v>0</v>
      </c>
      <c r="EH132" s="210">
        <f>SUMPRODUCT((($I132+COLUMN($N$3:$DU$3)-COLUMN($N$3))&gt;='KALENDER MINGGU'!$B$18)*(($I132+COLUMN($N$3:$DU$3)-COLUMN($N$3))&lt;='KALENDER MINGGU'!$C$18)*(N132:DU132))/F132*H132</f>
        <v>0</v>
      </c>
      <c r="EI132" s="210">
        <f>SUMPRODUCT((($I132+COLUMN($N$3:$DU$3)-COLUMN($N$3))&gt;='KALENDER MINGGU'!$B$19)*(($I132+COLUMN($N$3:$DU$3)-COLUMN($N$3))&lt;='KALENDER MINGGU'!$C$19)*(N132:DU132))/F132*H132</f>
        <v>0</v>
      </c>
      <c r="EJ132" s="210">
        <f>SUMPRODUCT((($I132+COLUMN($N$3:$DU$3)-COLUMN($N$3))&gt;='KALENDER MINGGU'!$B$20)*(($I132+COLUMN($N$3:$DU$3)-COLUMN($N$3))&lt;='KALENDER MINGGU'!$C$20)*(N132:DU132))/F132*H132</f>
        <v>0</v>
      </c>
      <c r="EK132" s="210">
        <f>SUMPRODUCT((($I132+COLUMN($N$3:$DU$3)-COLUMN($N$3))&gt;='KALENDER MINGGU'!$B$21)*(($I132+COLUMN($N$3:$DU$3)-COLUMN($N$3))&lt;='KALENDER MINGGU'!$C$21)*(N132:DU132))/F132*H132</f>
        <v>0</v>
      </c>
    </row>
    <row r="133" spans="1:141" ht="21.75" customHeight="1" x14ac:dyDescent="0.2">
      <c r="A133" s="208">
        <v>129</v>
      </c>
      <c r="B133" s="208">
        <v>236</v>
      </c>
      <c r="C133" s="208" t="str">
        <f>IF(B133&lt;160,'BOBOT PEK'!$B$4,IF(B133&lt;207,'BOBOT PEK'!$B$160,'BOBOT PEK'!$B$207))</f>
        <v>Toko OT 24 Jam</v>
      </c>
      <c r="D133" s="208" t="s">
        <v>112</v>
      </c>
      <c r="E133" s="214" t="str">
        <f>'BOBOT PEK'!C236</f>
        <v>keramik lantai interior
ex platinum 60x60</v>
      </c>
      <c r="F133" s="209">
        <f>IF(OR('BOBOT PEK'!E236="",'BOBOT PEK'!E236=0),1,'BOBOT PEK'!E236)</f>
        <v>48</v>
      </c>
      <c r="G133" s="208" t="str">
        <f>IF('BOBOT PEK'!F236="","ls",'BOBOT PEK'!F236)</f>
        <v>m2</v>
      </c>
      <c r="H133" s="210">
        <f>'BOBOT PEK'!J236</f>
        <v>0.31928515377909183</v>
      </c>
      <c r="I133" s="211">
        <f>'KALENDER MINGGU'!$B$3</f>
        <v>46226</v>
      </c>
      <c r="J133" s="209">
        <f t="shared" si="16"/>
        <v>0</v>
      </c>
      <c r="K133" s="209">
        <f t="shared" si="17"/>
        <v>48</v>
      </c>
      <c r="L133" s="212">
        <f t="shared" si="18"/>
        <v>0</v>
      </c>
      <c r="M133" s="208" t="str">
        <f t="shared" si="19"/>
        <v>OK</v>
      </c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  <c r="AA133" s="213"/>
      <c r="AB133" s="213"/>
      <c r="AC133" s="213"/>
      <c r="AD133" s="213"/>
      <c r="AE133" s="213"/>
      <c r="AF133" s="213"/>
      <c r="AG133" s="213"/>
      <c r="AH133" s="213"/>
      <c r="AI133" s="213"/>
      <c r="AJ133" s="213"/>
      <c r="AK133" s="213"/>
      <c r="AL133" s="213"/>
      <c r="AM133" s="213"/>
      <c r="AN133" s="213"/>
      <c r="AO133" s="213"/>
      <c r="AP133" s="213"/>
      <c r="AQ133" s="213"/>
      <c r="AR133" s="213"/>
      <c r="AS133" s="213"/>
      <c r="AT133" s="213"/>
      <c r="AU133" s="213"/>
      <c r="AV133" s="213"/>
      <c r="AW133" s="213"/>
      <c r="AX133" s="213"/>
      <c r="AY133" s="213"/>
      <c r="AZ133" s="213"/>
      <c r="BA133" s="213"/>
      <c r="BB133" s="213"/>
      <c r="BC133" s="213"/>
      <c r="BD133" s="213"/>
      <c r="BE133" s="213"/>
      <c r="BF133" s="213"/>
      <c r="BG133" s="213"/>
      <c r="BH133" s="213"/>
      <c r="BI133" s="213"/>
      <c r="BJ133" s="213"/>
      <c r="BK133" s="213"/>
      <c r="BL133" s="213"/>
      <c r="BM133" s="213"/>
      <c r="BN133" s="213"/>
      <c r="BO133" s="213"/>
      <c r="BP133" s="213"/>
      <c r="BQ133" s="213"/>
      <c r="BR133" s="213"/>
      <c r="BS133" s="213"/>
      <c r="BT133" s="213"/>
      <c r="BU133" s="213"/>
      <c r="BV133" s="213"/>
      <c r="BW133" s="213"/>
      <c r="BX133" s="213"/>
      <c r="BY133" s="213"/>
      <c r="BZ133" s="213"/>
      <c r="CA133" s="213"/>
      <c r="CB133" s="213"/>
      <c r="CC133" s="213"/>
      <c r="CD133" s="213"/>
      <c r="CE133" s="213"/>
      <c r="CF133" s="213"/>
      <c r="CG133" s="213"/>
      <c r="CH133" s="213"/>
      <c r="CI133" s="213"/>
      <c r="CJ133" s="213"/>
      <c r="CK133" s="213"/>
      <c r="CL133" s="213"/>
      <c r="CM133" s="213"/>
      <c r="CN133" s="213"/>
      <c r="CO133" s="213"/>
      <c r="CP133" s="213"/>
      <c r="CQ133" s="213"/>
      <c r="CR133" s="213"/>
      <c r="CS133" s="213"/>
      <c r="CT133" s="213"/>
      <c r="CU133" s="213"/>
      <c r="CV133" s="213"/>
      <c r="CW133" s="213"/>
      <c r="CX133" s="213"/>
      <c r="CY133" s="213"/>
      <c r="CZ133" s="213"/>
      <c r="DA133" s="213"/>
      <c r="DB133" s="213"/>
      <c r="DC133" s="213"/>
      <c r="DD133" s="213"/>
      <c r="DE133" s="213"/>
      <c r="DF133" s="213"/>
      <c r="DG133" s="213"/>
      <c r="DH133" s="213"/>
      <c r="DI133" s="213"/>
      <c r="DJ133" s="213"/>
      <c r="DK133" s="213"/>
      <c r="DL133" s="213"/>
      <c r="DM133" s="213"/>
      <c r="DN133" s="213"/>
      <c r="DO133" s="213"/>
      <c r="DP133" s="213"/>
      <c r="DQ133" s="213"/>
      <c r="DR133" s="213"/>
      <c r="DS133" s="213"/>
      <c r="DT133" s="213"/>
      <c r="DU133" s="213"/>
      <c r="DV133" s="210">
        <f>SUMPRODUCT((($I133+COLUMN($N$3:$DU$3)-COLUMN($N$3))&gt;='KALENDER MINGGU'!$B$6)*(($I133+COLUMN($N$3:$DU$3)-COLUMN($N$3))&lt;='KALENDER MINGGU'!$C$6)*(N133:DU133))/F133*H133</f>
        <v>0</v>
      </c>
      <c r="DW133" s="210">
        <f>SUMPRODUCT((($I133+COLUMN($N$3:$DU$3)-COLUMN($N$3))&gt;='KALENDER MINGGU'!$B$7)*(($I133+COLUMN($N$3:$DU$3)-COLUMN($N$3))&lt;='KALENDER MINGGU'!$C$7)*(N133:DU133))/F133*H133</f>
        <v>0</v>
      </c>
      <c r="DX133" s="210">
        <f>SUMPRODUCT((($I133+COLUMN($N$3:$DU$3)-COLUMN($N$3))&gt;='KALENDER MINGGU'!$B$8)*(($I133+COLUMN($N$3:$DU$3)-COLUMN($N$3))&lt;='KALENDER MINGGU'!$C$8)*(N133:DU133))/F133*H133</f>
        <v>0</v>
      </c>
      <c r="DY133" s="210">
        <f>SUMPRODUCT((($I133+COLUMN($N$3:$DU$3)-COLUMN($N$3))&gt;='KALENDER MINGGU'!$B$9)*(($I133+COLUMN($N$3:$DU$3)-COLUMN($N$3))&lt;='KALENDER MINGGU'!$C$9)*(N133:DU133))/F133*H133</f>
        <v>0</v>
      </c>
      <c r="DZ133" s="210">
        <f>SUMPRODUCT((($I133+COLUMN($N$3:$DU$3)-COLUMN($N$3))&gt;='KALENDER MINGGU'!$B$10)*(($I133+COLUMN($N$3:$DU$3)-COLUMN($N$3))&lt;='KALENDER MINGGU'!$C$10)*(N133:DU133))/F133*H133</f>
        <v>0</v>
      </c>
      <c r="EA133" s="210">
        <f>SUMPRODUCT((($I133+COLUMN($N$3:$DU$3)-COLUMN($N$3))&gt;='KALENDER MINGGU'!$B$11)*(($I133+COLUMN($N$3:$DU$3)-COLUMN($N$3))&lt;='KALENDER MINGGU'!$C$11)*(N133:DU133))/F133*H133</f>
        <v>0</v>
      </c>
      <c r="EB133" s="210">
        <f>SUMPRODUCT((($I133+COLUMN($N$3:$DU$3)-COLUMN($N$3))&gt;='KALENDER MINGGU'!$B$12)*(($I133+COLUMN($N$3:$DU$3)-COLUMN($N$3))&lt;='KALENDER MINGGU'!$C$12)*(N133:DU133))/F133*H133</f>
        <v>0</v>
      </c>
      <c r="EC133" s="210">
        <f>SUMPRODUCT((($I133+COLUMN($N$3:$DU$3)-COLUMN($N$3))&gt;='KALENDER MINGGU'!$B$13)*(($I133+COLUMN($N$3:$DU$3)-COLUMN($N$3))&lt;='KALENDER MINGGU'!$C$13)*(N133:DU133))/F133*H133</f>
        <v>0</v>
      </c>
      <c r="ED133" s="210">
        <f>SUMPRODUCT((($I133+COLUMN($N$3:$DU$3)-COLUMN($N$3))&gt;='KALENDER MINGGU'!$B$14)*(($I133+COLUMN($N$3:$DU$3)-COLUMN($N$3))&lt;='KALENDER MINGGU'!$C$14)*(N133:DU133))/F133*H133</f>
        <v>0</v>
      </c>
      <c r="EE133" s="210">
        <f>SUMPRODUCT((($I133+COLUMN($N$3:$DU$3)-COLUMN($N$3))&gt;='KALENDER MINGGU'!$B$15)*(($I133+COLUMN($N$3:$DU$3)-COLUMN($N$3))&lt;='KALENDER MINGGU'!$C$15)*(N133:DU133))/F133*H133</f>
        <v>0</v>
      </c>
      <c r="EF133" s="210">
        <f>SUMPRODUCT((($I133+COLUMN($N$3:$DU$3)-COLUMN($N$3))&gt;='KALENDER MINGGU'!$B$16)*(($I133+COLUMN($N$3:$DU$3)-COLUMN($N$3))&lt;='KALENDER MINGGU'!$C$16)*(N133:DU133))/F133*H133</f>
        <v>0</v>
      </c>
      <c r="EG133" s="210">
        <f>SUMPRODUCT((($I133+COLUMN($N$3:$DU$3)-COLUMN($N$3))&gt;='KALENDER MINGGU'!$B$17)*(($I133+COLUMN($N$3:$DU$3)-COLUMN($N$3))&lt;='KALENDER MINGGU'!$C$17)*(N133:DU133))/F133*H133</f>
        <v>0</v>
      </c>
      <c r="EH133" s="210">
        <f>SUMPRODUCT((($I133+COLUMN($N$3:$DU$3)-COLUMN($N$3))&gt;='KALENDER MINGGU'!$B$18)*(($I133+COLUMN($N$3:$DU$3)-COLUMN($N$3))&lt;='KALENDER MINGGU'!$C$18)*(N133:DU133))/F133*H133</f>
        <v>0</v>
      </c>
      <c r="EI133" s="210">
        <f>SUMPRODUCT((($I133+COLUMN($N$3:$DU$3)-COLUMN($N$3))&gt;='KALENDER MINGGU'!$B$19)*(($I133+COLUMN($N$3:$DU$3)-COLUMN($N$3))&lt;='KALENDER MINGGU'!$C$19)*(N133:DU133))/F133*H133</f>
        <v>0</v>
      </c>
      <c r="EJ133" s="210">
        <f>SUMPRODUCT((($I133+COLUMN($N$3:$DU$3)-COLUMN($N$3))&gt;='KALENDER MINGGU'!$B$20)*(($I133+COLUMN($N$3:$DU$3)-COLUMN($N$3))&lt;='KALENDER MINGGU'!$C$20)*(N133:DU133))/F133*H133</f>
        <v>0</v>
      </c>
      <c r="EK133" s="210">
        <f>SUMPRODUCT((($I133+COLUMN($N$3:$DU$3)-COLUMN($N$3))&gt;='KALENDER MINGGU'!$B$21)*(($I133+COLUMN($N$3:$DU$3)-COLUMN($N$3))&lt;='KALENDER MINGGU'!$C$21)*(N133:DU133))/F133*H133</f>
        <v>0</v>
      </c>
    </row>
    <row r="134" spans="1:141" ht="21.75" customHeight="1" x14ac:dyDescent="0.2">
      <c r="A134" s="208">
        <v>130</v>
      </c>
      <c r="B134" s="208">
        <v>237</v>
      </c>
      <c r="C134" s="208" t="str">
        <f>IF(B134&lt;160,'BOBOT PEK'!$B$4,IF(B134&lt;207,'BOBOT PEK'!$B$160,'BOBOT PEK'!$B$207))</f>
        <v>Toko OT 24 Jam</v>
      </c>
      <c r="D134" s="208" t="s">
        <v>112</v>
      </c>
      <c r="E134" s="214" t="str">
        <f>'BOBOT PEK'!C237</f>
        <v>keramik lantai teras
ex platinum 60x60</v>
      </c>
      <c r="F134" s="209">
        <f>IF(OR('BOBOT PEK'!E237="",'BOBOT PEK'!E237=0),1,'BOBOT PEK'!E237)</f>
        <v>12</v>
      </c>
      <c r="G134" s="208" t="str">
        <f>IF('BOBOT PEK'!F237="","ls",'BOBOT PEK'!F237)</f>
        <v>m2</v>
      </c>
      <c r="H134" s="210">
        <f>'BOBOT PEK'!J237</f>
        <v>7.9821288444772959E-2</v>
      </c>
      <c r="I134" s="211">
        <f>'KALENDER MINGGU'!$B$3</f>
        <v>46226</v>
      </c>
      <c r="J134" s="209">
        <f t="shared" si="16"/>
        <v>0</v>
      </c>
      <c r="K134" s="209">
        <f t="shared" si="17"/>
        <v>12</v>
      </c>
      <c r="L134" s="212">
        <f t="shared" si="18"/>
        <v>0</v>
      </c>
      <c r="M134" s="208" t="str">
        <f t="shared" si="19"/>
        <v>OK</v>
      </c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  <c r="AA134" s="213"/>
      <c r="AB134" s="213"/>
      <c r="AC134" s="213"/>
      <c r="AD134" s="213"/>
      <c r="AE134" s="213"/>
      <c r="AF134" s="213"/>
      <c r="AG134" s="213"/>
      <c r="AH134" s="213"/>
      <c r="AI134" s="213"/>
      <c r="AJ134" s="213"/>
      <c r="AK134" s="213"/>
      <c r="AL134" s="213"/>
      <c r="AM134" s="213"/>
      <c r="AN134" s="213"/>
      <c r="AO134" s="213"/>
      <c r="AP134" s="213"/>
      <c r="AQ134" s="213"/>
      <c r="AR134" s="213"/>
      <c r="AS134" s="213"/>
      <c r="AT134" s="213"/>
      <c r="AU134" s="213"/>
      <c r="AV134" s="213"/>
      <c r="AW134" s="213"/>
      <c r="AX134" s="213"/>
      <c r="AY134" s="213"/>
      <c r="AZ134" s="213"/>
      <c r="BA134" s="213"/>
      <c r="BB134" s="213"/>
      <c r="BC134" s="213"/>
      <c r="BD134" s="213"/>
      <c r="BE134" s="213"/>
      <c r="BF134" s="213"/>
      <c r="BG134" s="213"/>
      <c r="BH134" s="213"/>
      <c r="BI134" s="213"/>
      <c r="BJ134" s="213"/>
      <c r="BK134" s="213"/>
      <c r="BL134" s="213"/>
      <c r="BM134" s="213"/>
      <c r="BN134" s="213"/>
      <c r="BO134" s="213"/>
      <c r="BP134" s="213"/>
      <c r="BQ134" s="213"/>
      <c r="BR134" s="213"/>
      <c r="BS134" s="213"/>
      <c r="BT134" s="213"/>
      <c r="BU134" s="213"/>
      <c r="BV134" s="213"/>
      <c r="BW134" s="213"/>
      <c r="BX134" s="213"/>
      <c r="BY134" s="213"/>
      <c r="BZ134" s="213"/>
      <c r="CA134" s="213"/>
      <c r="CB134" s="213"/>
      <c r="CC134" s="213"/>
      <c r="CD134" s="213"/>
      <c r="CE134" s="213"/>
      <c r="CF134" s="213"/>
      <c r="CG134" s="213"/>
      <c r="CH134" s="213"/>
      <c r="CI134" s="213"/>
      <c r="CJ134" s="213"/>
      <c r="CK134" s="213"/>
      <c r="CL134" s="213"/>
      <c r="CM134" s="213"/>
      <c r="CN134" s="213"/>
      <c r="CO134" s="213"/>
      <c r="CP134" s="213"/>
      <c r="CQ134" s="213"/>
      <c r="CR134" s="213"/>
      <c r="CS134" s="213"/>
      <c r="CT134" s="213"/>
      <c r="CU134" s="213"/>
      <c r="CV134" s="213"/>
      <c r="CW134" s="213"/>
      <c r="CX134" s="213"/>
      <c r="CY134" s="213"/>
      <c r="CZ134" s="213"/>
      <c r="DA134" s="213"/>
      <c r="DB134" s="213"/>
      <c r="DC134" s="213"/>
      <c r="DD134" s="213"/>
      <c r="DE134" s="213"/>
      <c r="DF134" s="213"/>
      <c r="DG134" s="213"/>
      <c r="DH134" s="213"/>
      <c r="DI134" s="213"/>
      <c r="DJ134" s="213"/>
      <c r="DK134" s="213"/>
      <c r="DL134" s="213"/>
      <c r="DM134" s="213"/>
      <c r="DN134" s="213"/>
      <c r="DO134" s="213"/>
      <c r="DP134" s="213"/>
      <c r="DQ134" s="213"/>
      <c r="DR134" s="213"/>
      <c r="DS134" s="213"/>
      <c r="DT134" s="213"/>
      <c r="DU134" s="213"/>
      <c r="DV134" s="210">
        <f>SUMPRODUCT((($I134+COLUMN($N$3:$DU$3)-COLUMN($N$3))&gt;='KALENDER MINGGU'!$B$6)*(($I134+COLUMN($N$3:$DU$3)-COLUMN($N$3))&lt;='KALENDER MINGGU'!$C$6)*(N134:DU134))/F134*H134</f>
        <v>0</v>
      </c>
      <c r="DW134" s="210">
        <f>SUMPRODUCT((($I134+COLUMN($N$3:$DU$3)-COLUMN($N$3))&gt;='KALENDER MINGGU'!$B$7)*(($I134+COLUMN($N$3:$DU$3)-COLUMN($N$3))&lt;='KALENDER MINGGU'!$C$7)*(N134:DU134))/F134*H134</f>
        <v>0</v>
      </c>
      <c r="DX134" s="210">
        <f>SUMPRODUCT((($I134+COLUMN($N$3:$DU$3)-COLUMN($N$3))&gt;='KALENDER MINGGU'!$B$8)*(($I134+COLUMN($N$3:$DU$3)-COLUMN($N$3))&lt;='KALENDER MINGGU'!$C$8)*(N134:DU134))/F134*H134</f>
        <v>0</v>
      </c>
      <c r="DY134" s="210">
        <f>SUMPRODUCT((($I134+COLUMN($N$3:$DU$3)-COLUMN($N$3))&gt;='KALENDER MINGGU'!$B$9)*(($I134+COLUMN($N$3:$DU$3)-COLUMN($N$3))&lt;='KALENDER MINGGU'!$C$9)*(N134:DU134))/F134*H134</f>
        <v>0</v>
      </c>
      <c r="DZ134" s="210">
        <f>SUMPRODUCT((($I134+COLUMN($N$3:$DU$3)-COLUMN($N$3))&gt;='KALENDER MINGGU'!$B$10)*(($I134+COLUMN($N$3:$DU$3)-COLUMN($N$3))&lt;='KALENDER MINGGU'!$C$10)*(N134:DU134))/F134*H134</f>
        <v>0</v>
      </c>
      <c r="EA134" s="210">
        <f>SUMPRODUCT((($I134+COLUMN($N$3:$DU$3)-COLUMN($N$3))&gt;='KALENDER MINGGU'!$B$11)*(($I134+COLUMN($N$3:$DU$3)-COLUMN($N$3))&lt;='KALENDER MINGGU'!$C$11)*(N134:DU134))/F134*H134</f>
        <v>0</v>
      </c>
      <c r="EB134" s="210">
        <f>SUMPRODUCT((($I134+COLUMN($N$3:$DU$3)-COLUMN($N$3))&gt;='KALENDER MINGGU'!$B$12)*(($I134+COLUMN($N$3:$DU$3)-COLUMN($N$3))&lt;='KALENDER MINGGU'!$C$12)*(N134:DU134))/F134*H134</f>
        <v>0</v>
      </c>
      <c r="EC134" s="210">
        <f>SUMPRODUCT((($I134+COLUMN($N$3:$DU$3)-COLUMN($N$3))&gt;='KALENDER MINGGU'!$B$13)*(($I134+COLUMN($N$3:$DU$3)-COLUMN($N$3))&lt;='KALENDER MINGGU'!$C$13)*(N134:DU134))/F134*H134</f>
        <v>0</v>
      </c>
      <c r="ED134" s="210">
        <f>SUMPRODUCT((($I134+COLUMN($N$3:$DU$3)-COLUMN($N$3))&gt;='KALENDER MINGGU'!$B$14)*(($I134+COLUMN($N$3:$DU$3)-COLUMN($N$3))&lt;='KALENDER MINGGU'!$C$14)*(N134:DU134))/F134*H134</f>
        <v>0</v>
      </c>
      <c r="EE134" s="210">
        <f>SUMPRODUCT((($I134+COLUMN($N$3:$DU$3)-COLUMN($N$3))&gt;='KALENDER MINGGU'!$B$15)*(($I134+COLUMN($N$3:$DU$3)-COLUMN($N$3))&lt;='KALENDER MINGGU'!$C$15)*(N134:DU134))/F134*H134</f>
        <v>0</v>
      </c>
      <c r="EF134" s="210">
        <f>SUMPRODUCT((($I134+COLUMN($N$3:$DU$3)-COLUMN($N$3))&gt;='KALENDER MINGGU'!$B$16)*(($I134+COLUMN($N$3:$DU$3)-COLUMN($N$3))&lt;='KALENDER MINGGU'!$C$16)*(N134:DU134))/F134*H134</f>
        <v>0</v>
      </c>
      <c r="EG134" s="210">
        <f>SUMPRODUCT((($I134+COLUMN($N$3:$DU$3)-COLUMN($N$3))&gt;='KALENDER MINGGU'!$B$17)*(($I134+COLUMN($N$3:$DU$3)-COLUMN($N$3))&lt;='KALENDER MINGGU'!$C$17)*(N134:DU134))/F134*H134</f>
        <v>0</v>
      </c>
      <c r="EH134" s="210">
        <f>SUMPRODUCT((($I134+COLUMN($N$3:$DU$3)-COLUMN($N$3))&gt;='KALENDER MINGGU'!$B$18)*(($I134+COLUMN($N$3:$DU$3)-COLUMN($N$3))&lt;='KALENDER MINGGU'!$C$18)*(N134:DU134))/F134*H134</f>
        <v>0</v>
      </c>
      <c r="EI134" s="210">
        <f>SUMPRODUCT((($I134+COLUMN($N$3:$DU$3)-COLUMN($N$3))&gt;='KALENDER MINGGU'!$B$19)*(($I134+COLUMN($N$3:$DU$3)-COLUMN($N$3))&lt;='KALENDER MINGGU'!$C$19)*(N134:DU134))/F134*H134</f>
        <v>0</v>
      </c>
      <c r="EJ134" s="210">
        <f>SUMPRODUCT((($I134+COLUMN($N$3:$DU$3)-COLUMN($N$3))&gt;='KALENDER MINGGU'!$B$20)*(($I134+COLUMN($N$3:$DU$3)-COLUMN($N$3))&lt;='KALENDER MINGGU'!$C$20)*(N134:DU134))/F134*H134</f>
        <v>0</v>
      </c>
      <c r="EK134" s="210">
        <f>SUMPRODUCT((($I134+COLUMN($N$3:$DU$3)-COLUMN($N$3))&gt;='KALENDER MINGGU'!$B$21)*(($I134+COLUMN($N$3:$DU$3)-COLUMN($N$3))&lt;='KALENDER MINGGU'!$C$21)*(N134:DU134))/F134*H134</f>
        <v>0</v>
      </c>
    </row>
    <row r="135" spans="1:141" ht="21.75" customHeight="1" x14ac:dyDescent="0.2">
      <c r="A135" s="208">
        <v>131</v>
      </c>
      <c r="B135" s="208">
        <v>238</v>
      </c>
      <c r="C135" s="208" t="str">
        <f>IF(B135&lt;160,'BOBOT PEK'!$B$4,IF(B135&lt;207,'BOBOT PEK'!$B$160,'BOBOT PEK'!$B$207))</f>
        <v>Toko OT 24 Jam</v>
      </c>
      <c r="D135" s="208" t="s">
        <v>112</v>
      </c>
      <c r="E135" s="214" t="str">
        <f>'BOBOT PEK'!C238</f>
        <v>plafon
rangka hollow + gypsum 9mm</v>
      </c>
      <c r="F135" s="209">
        <f>IF(OR('BOBOT PEK'!E238="",'BOBOT PEK'!E238=0),1,'BOBOT PEK'!E238)</f>
        <v>48</v>
      </c>
      <c r="G135" s="208" t="str">
        <f>IF('BOBOT PEK'!F238="","ls",'BOBOT PEK'!F238)</f>
        <v>m2</v>
      </c>
      <c r="H135" s="210">
        <f>'BOBOT PEK'!J238</f>
        <v>0.4052465413350011</v>
      </c>
      <c r="I135" s="211">
        <f>'KALENDER MINGGU'!$B$3</f>
        <v>46226</v>
      </c>
      <c r="J135" s="209">
        <f t="shared" si="16"/>
        <v>48</v>
      </c>
      <c r="K135" s="209">
        <f t="shared" si="17"/>
        <v>0</v>
      </c>
      <c r="L135" s="212">
        <f t="shared" si="18"/>
        <v>1</v>
      </c>
      <c r="M135" s="208" t="str">
        <f t="shared" si="19"/>
        <v>OK</v>
      </c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3"/>
      <c r="AB135" s="213"/>
      <c r="AC135" s="213"/>
      <c r="AD135" s="213"/>
      <c r="AE135" s="213"/>
      <c r="AF135" s="213"/>
      <c r="AG135" s="213"/>
      <c r="AH135" s="213"/>
      <c r="AI135" s="213"/>
      <c r="AJ135" s="213"/>
      <c r="AK135" s="213"/>
      <c r="AL135" s="213"/>
      <c r="AM135" s="213"/>
      <c r="AN135" s="213"/>
      <c r="AO135" s="213"/>
      <c r="AP135" s="213"/>
      <c r="AQ135" s="213"/>
      <c r="AR135" s="213"/>
      <c r="AS135" s="213"/>
      <c r="AT135" s="213"/>
      <c r="AU135" s="213"/>
      <c r="AV135" s="213"/>
      <c r="AW135" s="213"/>
      <c r="AX135" s="213"/>
      <c r="AY135" s="213"/>
      <c r="AZ135" s="213"/>
      <c r="BA135" s="213"/>
      <c r="BB135" s="213"/>
      <c r="BC135" s="213"/>
      <c r="BD135" s="213"/>
      <c r="BE135" s="213"/>
      <c r="BF135" s="213"/>
      <c r="BG135" s="213"/>
      <c r="BH135" s="213">
        <v>5</v>
      </c>
      <c r="BI135" s="213"/>
      <c r="BJ135" s="213"/>
      <c r="BK135" s="213"/>
      <c r="BL135" s="213"/>
      <c r="BM135" s="213"/>
      <c r="BN135" s="213"/>
      <c r="BO135" s="213"/>
      <c r="BP135" s="213">
        <v>0</v>
      </c>
      <c r="BQ135" s="213"/>
      <c r="BR135" s="213">
        <v>20</v>
      </c>
      <c r="BS135" s="213"/>
      <c r="BT135" s="213"/>
      <c r="BU135" s="213"/>
      <c r="BV135" s="213"/>
      <c r="BW135" s="213"/>
      <c r="BX135" s="213"/>
      <c r="BY135" s="213"/>
      <c r="BZ135" s="213"/>
      <c r="CA135" s="213">
        <v>23</v>
      </c>
      <c r="CB135" s="213"/>
      <c r="CC135" s="213"/>
      <c r="CD135" s="213"/>
      <c r="CE135" s="213"/>
      <c r="CF135" s="213"/>
      <c r="CG135" s="213"/>
      <c r="CH135" s="213"/>
      <c r="CI135" s="213"/>
      <c r="CJ135" s="213"/>
      <c r="CK135" s="213"/>
      <c r="CL135" s="213"/>
      <c r="CM135" s="213"/>
      <c r="CN135" s="213"/>
      <c r="CO135" s="213"/>
      <c r="CP135" s="213"/>
      <c r="CQ135" s="213"/>
      <c r="CR135" s="213"/>
      <c r="CS135" s="213"/>
      <c r="CT135" s="213"/>
      <c r="CU135" s="213"/>
      <c r="CV135" s="213"/>
      <c r="CW135" s="213"/>
      <c r="CX135" s="213"/>
      <c r="CY135" s="213"/>
      <c r="CZ135" s="213"/>
      <c r="DA135" s="213"/>
      <c r="DB135" s="213"/>
      <c r="DC135" s="213"/>
      <c r="DD135" s="213"/>
      <c r="DE135" s="213"/>
      <c r="DF135" s="213"/>
      <c r="DG135" s="213"/>
      <c r="DH135" s="213"/>
      <c r="DI135" s="213"/>
      <c r="DJ135" s="213"/>
      <c r="DK135" s="213"/>
      <c r="DL135" s="213"/>
      <c r="DM135" s="213"/>
      <c r="DN135" s="213"/>
      <c r="DO135" s="213"/>
      <c r="DP135" s="213"/>
      <c r="DQ135" s="213"/>
      <c r="DR135" s="213"/>
      <c r="DS135" s="213"/>
      <c r="DT135" s="213"/>
      <c r="DU135" s="213"/>
      <c r="DV135" s="210">
        <f>SUMPRODUCT((($I135+COLUMN($N$3:$DU$3)-COLUMN($N$3))&gt;='KALENDER MINGGU'!$B$6)*(($I135+COLUMN($N$3:$DU$3)-COLUMN($N$3))&lt;='KALENDER MINGGU'!$C$6)*(N135:DU135))/F135*H135</f>
        <v>0</v>
      </c>
      <c r="DW135" s="210">
        <f>SUMPRODUCT((($I135+COLUMN($N$3:$DU$3)-COLUMN($N$3))&gt;='KALENDER MINGGU'!$B$7)*(($I135+COLUMN($N$3:$DU$3)-COLUMN($N$3))&lt;='KALENDER MINGGU'!$C$7)*(N135:DU135))/F135*H135</f>
        <v>0</v>
      </c>
      <c r="DX135" s="210">
        <f>SUMPRODUCT((($I135+COLUMN($N$3:$DU$3)-COLUMN($N$3))&gt;='KALENDER MINGGU'!$B$8)*(($I135+COLUMN($N$3:$DU$3)-COLUMN($N$3))&lt;='KALENDER MINGGU'!$C$8)*(N135:DU135))/F135*H135</f>
        <v>0</v>
      </c>
      <c r="DY135" s="210">
        <f>SUMPRODUCT((($I135+COLUMN($N$3:$DU$3)-COLUMN($N$3))&gt;='KALENDER MINGGU'!$B$9)*(($I135+COLUMN($N$3:$DU$3)-COLUMN($N$3))&lt;='KALENDER MINGGU'!$C$9)*(N135:DU135))/F135*H135</f>
        <v>0</v>
      </c>
      <c r="DZ135" s="210">
        <f>SUMPRODUCT((($I135+COLUMN($N$3:$DU$3)-COLUMN($N$3))&gt;='KALENDER MINGGU'!$B$10)*(($I135+COLUMN($N$3:$DU$3)-COLUMN($N$3))&lt;='KALENDER MINGGU'!$C$10)*(N135:DU135))/F135*H135</f>
        <v>0</v>
      </c>
      <c r="EA135" s="210">
        <f>SUMPRODUCT((($I135+COLUMN($N$3:$DU$3)-COLUMN($N$3))&gt;='KALENDER MINGGU'!$B$11)*(($I135+COLUMN($N$3:$DU$3)-COLUMN($N$3))&lt;='KALENDER MINGGU'!$C$11)*(N135:DU135))/F135*H135</f>
        <v>0</v>
      </c>
      <c r="EB135" s="210">
        <f>SUMPRODUCT((($I135+COLUMN($N$3:$DU$3)-COLUMN($N$3))&gt;='KALENDER MINGGU'!$B$12)*(($I135+COLUMN($N$3:$DU$3)-COLUMN($N$3))&lt;='KALENDER MINGGU'!$C$12)*(N135:DU135))/F135*H135</f>
        <v>4.2213181389062618E-2</v>
      </c>
      <c r="EC135" s="210">
        <f>SUMPRODUCT((($I135+COLUMN($N$3:$DU$3)-COLUMN($N$3))&gt;='KALENDER MINGGU'!$B$13)*(($I135+COLUMN($N$3:$DU$3)-COLUMN($N$3))&lt;='KALENDER MINGGU'!$C$13)*(N135:DU135))/F135*H135</f>
        <v>0</v>
      </c>
      <c r="ED135" s="210">
        <f>SUMPRODUCT((($I135+COLUMN($N$3:$DU$3)-COLUMN($N$3))&gt;='KALENDER MINGGU'!$B$14)*(($I135+COLUMN($N$3:$DU$3)-COLUMN($N$3))&lt;='KALENDER MINGGU'!$C$14)*(N135:DU135))/F135*H135</f>
        <v>0.16885272555625047</v>
      </c>
      <c r="EE135" s="210">
        <f>SUMPRODUCT((($I135+COLUMN($N$3:$DU$3)-COLUMN($N$3))&gt;='KALENDER MINGGU'!$B$15)*(($I135+COLUMN($N$3:$DU$3)-COLUMN($N$3))&lt;='KALENDER MINGGU'!$C$15)*(N135:DU135))/F135*H135</f>
        <v>0.19418063438968802</v>
      </c>
      <c r="EF135" s="210">
        <f>SUMPRODUCT((($I135+COLUMN($N$3:$DU$3)-COLUMN($N$3))&gt;='KALENDER MINGGU'!$B$16)*(($I135+COLUMN($N$3:$DU$3)-COLUMN($N$3))&lt;='KALENDER MINGGU'!$C$16)*(N135:DU135))/F135*H135</f>
        <v>0</v>
      </c>
      <c r="EG135" s="210">
        <f>SUMPRODUCT((($I135+COLUMN($N$3:$DU$3)-COLUMN($N$3))&gt;='KALENDER MINGGU'!$B$17)*(($I135+COLUMN($N$3:$DU$3)-COLUMN($N$3))&lt;='KALENDER MINGGU'!$C$17)*(N135:DU135))/F135*H135</f>
        <v>0</v>
      </c>
      <c r="EH135" s="210">
        <f>SUMPRODUCT((($I135+COLUMN($N$3:$DU$3)-COLUMN($N$3))&gt;='KALENDER MINGGU'!$B$18)*(($I135+COLUMN($N$3:$DU$3)-COLUMN($N$3))&lt;='KALENDER MINGGU'!$C$18)*(N135:DU135))/F135*H135</f>
        <v>0</v>
      </c>
      <c r="EI135" s="210">
        <f>SUMPRODUCT((($I135+COLUMN($N$3:$DU$3)-COLUMN($N$3))&gt;='KALENDER MINGGU'!$B$19)*(($I135+COLUMN($N$3:$DU$3)-COLUMN($N$3))&lt;='KALENDER MINGGU'!$C$19)*(N135:DU135))/F135*H135</f>
        <v>0</v>
      </c>
      <c r="EJ135" s="210">
        <f>SUMPRODUCT((($I135+COLUMN($N$3:$DU$3)-COLUMN($N$3))&gt;='KALENDER MINGGU'!$B$20)*(($I135+COLUMN($N$3:$DU$3)-COLUMN($N$3))&lt;='KALENDER MINGGU'!$C$20)*(N135:DU135))/F135*H135</f>
        <v>0</v>
      </c>
      <c r="EK135" s="210">
        <f>SUMPRODUCT((($I135+COLUMN($N$3:$DU$3)-COLUMN($N$3))&gt;='KALENDER MINGGU'!$B$21)*(($I135+COLUMN($N$3:$DU$3)-COLUMN($N$3))&lt;='KALENDER MINGGU'!$C$21)*(N135:DU135))/F135*H135</f>
        <v>0</v>
      </c>
    </row>
    <row r="136" spans="1:141" ht="21.75" customHeight="1" x14ac:dyDescent="0.2">
      <c r="A136" s="208">
        <v>132</v>
      </c>
      <c r="B136" s="208">
        <v>239</v>
      </c>
      <c r="C136" s="208" t="str">
        <f>IF(B136&lt;160,'BOBOT PEK'!$B$4,IF(B136&lt;207,'BOBOT PEK'!$B$160,'BOBOT PEK'!$B$207))</f>
        <v>Toko OT 24 Jam</v>
      </c>
      <c r="D136" s="208" t="s">
        <v>112</v>
      </c>
      <c r="E136" s="214" t="str">
        <f>'BOBOT PEK'!C239</f>
        <v>kusen aluminium + kaca mati
aluminium 3" putih + kaca bening 8mm</v>
      </c>
      <c r="F136" s="209">
        <f>IF(OR('BOBOT PEK'!E239="",'BOBOT PEK'!E239=0),1,'BOBOT PEK'!E239)</f>
        <v>18</v>
      </c>
      <c r="G136" s="208" t="str">
        <f>IF('BOBOT PEK'!F239="","ls",'BOBOT PEK'!F239)</f>
        <v>m2</v>
      </c>
      <c r="H136" s="210">
        <f>'BOBOT PEK'!J239</f>
        <v>0.68845861283616672</v>
      </c>
      <c r="I136" s="211">
        <f>'KALENDER MINGGU'!$B$3</f>
        <v>46226</v>
      </c>
      <c r="J136" s="209">
        <f t="shared" si="16"/>
        <v>0</v>
      </c>
      <c r="K136" s="209">
        <f t="shared" si="17"/>
        <v>18</v>
      </c>
      <c r="L136" s="212">
        <f t="shared" si="18"/>
        <v>0</v>
      </c>
      <c r="M136" s="208" t="str">
        <f t="shared" si="19"/>
        <v>OK</v>
      </c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3"/>
      <c r="AC136" s="213"/>
      <c r="AD136" s="213"/>
      <c r="AE136" s="213"/>
      <c r="AF136" s="213"/>
      <c r="AG136" s="213"/>
      <c r="AH136" s="213"/>
      <c r="AI136" s="213"/>
      <c r="AJ136" s="213"/>
      <c r="AK136" s="213"/>
      <c r="AL136" s="213"/>
      <c r="AM136" s="213"/>
      <c r="AN136" s="213"/>
      <c r="AO136" s="213"/>
      <c r="AP136" s="213"/>
      <c r="AQ136" s="213"/>
      <c r="AR136" s="213"/>
      <c r="AS136" s="213"/>
      <c r="AT136" s="213"/>
      <c r="AU136" s="213"/>
      <c r="AV136" s="213"/>
      <c r="AW136" s="213"/>
      <c r="AX136" s="213"/>
      <c r="AY136" s="213"/>
      <c r="AZ136" s="213"/>
      <c r="BA136" s="213"/>
      <c r="BB136" s="213"/>
      <c r="BC136" s="213"/>
      <c r="BD136" s="213"/>
      <c r="BE136" s="213"/>
      <c r="BF136" s="213"/>
      <c r="BG136" s="213"/>
      <c r="BH136" s="213"/>
      <c r="BI136" s="213"/>
      <c r="BJ136" s="213"/>
      <c r="BK136" s="213"/>
      <c r="BL136" s="213"/>
      <c r="BM136" s="213"/>
      <c r="BN136" s="213"/>
      <c r="BO136" s="213"/>
      <c r="BP136" s="213"/>
      <c r="BQ136" s="213"/>
      <c r="BR136" s="213"/>
      <c r="BS136" s="213"/>
      <c r="BT136" s="213"/>
      <c r="BU136" s="213"/>
      <c r="BV136" s="213"/>
      <c r="BW136" s="213"/>
      <c r="BX136" s="213"/>
      <c r="BY136" s="213"/>
      <c r="BZ136" s="213"/>
      <c r="CA136" s="213"/>
      <c r="CB136" s="213"/>
      <c r="CC136" s="213"/>
      <c r="CD136" s="213"/>
      <c r="CE136" s="213"/>
      <c r="CF136" s="213"/>
      <c r="CG136" s="213"/>
      <c r="CH136" s="213"/>
      <c r="CI136" s="213"/>
      <c r="CJ136" s="213"/>
      <c r="CK136" s="213"/>
      <c r="CL136" s="213"/>
      <c r="CM136" s="213"/>
      <c r="CN136" s="213"/>
      <c r="CO136" s="213"/>
      <c r="CP136" s="213"/>
      <c r="CQ136" s="213"/>
      <c r="CR136" s="213"/>
      <c r="CS136" s="213"/>
      <c r="CT136" s="213"/>
      <c r="CU136" s="213"/>
      <c r="CV136" s="213"/>
      <c r="CW136" s="213"/>
      <c r="CX136" s="213"/>
      <c r="CY136" s="213"/>
      <c r="CZ136" s="213"/>
      <c r="DA136" s="213"/>
      <c r="DB136" s="213"/>
      <c r="DC136" s="213"/>
      <c r="DD136" s="213"/>
      <c r="DE136" s="213"/>
      <c r="DF136" s="213"/>
      <c r="DG136" s="213"/>
      <c r="DH136" s="213"/>
      <c r="DI136" s="213"/>
      <c r="DJ136" s="213"/>
      <c r="DK136" s="213"/>
      <c r="DL136" s="213"/>
      <c r="DM136" s="213"/>
      <c r="DN136" s="213"/>
      <c r="DO136" s="213"/>
      <c r="DP136" s="213"/>
      <c r="DQ136" s="213"/>
      <c r="DR136" s="213"/>
      <c r="DS136" s="213"/>
      <c r="DT136" s="213"/>
      <c r="DU136" s="213"/>
      <c r="DV136" s="210">
        <f>SUMPRODUCT((($I136+COLUMN($N$3:$DU$3)-COLUMN($N$3))&gt;='KALENDER MINGGU'!$B$6)*(($I136+COLUMN($N$3:$DU$3)-COLUMN($N$3))&lt;='KALENDER MINGGU'!$C$6)*(N136:DU136))/F136*H136</f>
        <v>0</v>
      </c>
      <c r="DW136" s="210">
        <f>SUMPRODUCT((($I136+COLUMN($N$3:$DU$3)-COLUMN($N$3))&gt;='KALENDER MINGGU'!$B$7)*(($I136+COLUMN($N$3:$DU$3)-COLUMN($N$3))&lt;='KALENDER MINGGU'!$C$7)*(N136:DU136))/F136*H136</f>
        <v>0</v>
      </c>
      <c r="DX136" s="210">
        <f>SUMPRODUCT((($I136+COLUMN($N$3:$DU$3)-COLUMN($N$3))&gt;='KALENDER MINGGU'!$B$8)*(($I136+COLUMN($N$3:$DU$3)-COLUMN($N$3))&lt;='KALENDER MINGGU'!$C$8)*(N136:DU136))/F136*H136</f>
        <v>0</v>
      </c>
      <c r="DY136" s="210">
        <f>SUMPRODUCT((($I136+COLUMN($N$3:$DU$3)-COLUMN($N$3))&gt;='KALENDER MINGGU'!$B$9)*(($I136+COLUMN($N$3:$DU$3)-COLUMN($N$3))&lt;='KALENDER MINGGU'!$C$9)*(N136:DU136))/F136*H136</f>
        <v>0</v>
      </c>
      <c r="DZ136" s="210">
        <f>SUMPRODUCT((($I136+COLUMN($N$3:$DU$3)-COLUMN($N$3))&gt;='KALENDER MINGGU'!$B$10)*(($I136+COLUMN($N$3:$DU$3)-COLUMN($N$3))&lt;='KALENDER MINGGU'!$C$10)*(N136:DU136))/F136*H136</f>
        <v>0</v>
      </c>
      <c r="EA136" s="210">
        <f>SUMPRODUCT((($I136+COLUMN($N$3:$DU$3)-COLUMN($N$3))&gt;='KALENDER MINGGU'!$B$11)*(($I136+COLUMN($N$3:$DU$3)-COLUMN($N$3))&lt;='KALENDER MINGGU'!$C$11)*(N136:DU136))/F136*H136</f>
        <v>0</v>
      </c>
      <c r="EB136" s="210">
        <f>SUMPRODUCT((($I136+COLUMN($N$3:$DU$3)-COLUMN($N$3))&gt;='KALENDER MINGGU'!$B$12)*(($I136+COLUMN($N$3:$DU$3)-COLUMN($N$3))&lt;='KALENDER MINGGU'!$C$12)*(N136:DU136))/F136*H136</f>
        <v>0</v>
      </c>
      <c r="EC136" s="210">
        <f>SUMPRODUCT((($I136+COLUMN($N$3:$DU$3)-COLUMN($N$3))&gt;='KALENDER MINGGU'!$B$13)*(($I136+COLUMN($N$3:$DU$3)-COLUMN($N$3))&lt;='KALENDER MINGGU'!$C$13)*(N136:DU136))/F136*H136</f>
        <v>0</v>
      </c>
      <c r="ED136" s="210">
        <f>SUMPRODUCT((($I136+COLUMN($N$3:$DU$3)-COLUMN($N$3))&gt;='KALENDER MINGGU'!$B$14)*(($I136+COLUMN($N$3:$DU$3)-COLUMN($N$3))&lt;='KALENDER MINGGU'!$C$14)*(N136:DU136))/F136*H136</f>
        <v>0</v>
      </c>
      <c r="EE136" s="210">
        <f>SUMPRODUCT((($I136+COLUMN($N$3:$DU$3)-COLUMN($N$3))&gt;='KALENDER MINGGU'!$B$15)*(($I136+COLUMN($N$3:$DU$3)-COLUMN($N$3))&lt;='KALENDER MINGGU'!$C$15)*(N136:DU136))/F136*H136</f>
        <v>0</v>
      </c>
      <c r="EF136" s="210">
        <f>SUMPRODUCT((($I136+COLUMN($N$3:$DU$3)-COLUMN($N$3))&gt;='KALENDER MINGGU'!$B$16)*(($I136+COLUMN($N$3:$DU$3)-COLUMN($N$3))&lt;='KALENDER MINGGU'!$C$16)*(N136:DU136))/F136*H136</f>
        <v>0</v>
      </c>
      <c r="EG136" s="210">
        <f>SUMPRODUCT((($I136+COLUMN($N$3:$DU$3)-COLUMN($N$3))&gt;='KALENDER MINGGU'!$B$17)*(($I136+COLUMN($N$3:$DU$3)-COLUMN($N$3))&lt;='KALENDER MINGGU'!$C$17)*(N136:DU136))/F136*H136</f>
        <v>0</v>
      </c>
      <c r="EH136" s="210">
        <f>SUMPRODUCT((($I136+COLUMN($N$3:$DU$3)-COLUMN($N$3))&gt;='KALENDER MINGGU'!$B$18)*(($I136+COLUMN($N$3:$DU$3)-COLUMN($N$3))&lt;='KALENDER MINGGU'!$C$18)*(N136:DU136))/F136*H136</f>
        <v>0</v>
      </c>
      <c r="EI136" s="210">
        <f>SUMPRODUCT((($I136+COLUMN($N$3:$DU$3)-COLUMN($N$3))&gt;='KALENDER MINGGU'!$B$19)*(($I136+COLUMN($N$3:$DU$3)-COLUMN($N$3))&lt;='KALENDER MINGGU'!$C$19)*(N136:DU136))/F136*H136</f>
        <v>0</v>
      </c>
      <c r="EJ136" s="210">
        <f>SUMPRODUCT((($I136+COLUMN($N$3:$DU$3)-COLUMN($N$3))&gt;='KALENDER MINGGU'!$B$20)*(($I136+COLUMN($N$3:$DU$3)-COLUMN($N$3))&lt;='KALENDER MINGGU'!$C$20)*(N136:DU136))/F136*H136</f>
        <v>0</v>
      </c>
      <c r="EK136" s="210">
        <f>SUMPRODUCT((($I136+COLUMN($N$3:$DU$3)-COLUMN($N$3))&gt;='KALENDER MINGGU'!$B$21)*(($I136+COLUMN($N$3:$DU$3)-COLUMN($N$3))&lt;='KALENDER MINGGU'!$C$21)*(N136:DU136))/F136*H136</f>
        <v>0</v>
      </c>
    </row>
    <row r="137" spans="1:141" ht="21.75" customHeight="1" x14ac:dyDescent="0.2">
      <c r="A137" s="208">
        <v>133</v>
      </c>
      <c r="B137" s="208">
        <v>240</v>
      </c>
      <c r="C137" s="208" t="str">
        <f>IF(B137&lt;160,'BOBOT PEK'!$B$4,IF(B137&lt;207,'BOBOT PEK'!$B$160,'BOBOT PEK'!$B$207))</f>
        <v>Toko OT 24 Jam</v>
      </c>
      <c r="D137" s="208" t="s">
        <v>112</v>
      </c>
      <c r="E137" s="214" t="str">
        <f>'BOBOT PEK'!C240</f>
        <v>Kusen pintu floor hinge
aluminium 3" putih + kaca bening 8mm</v>
      </c>
      <c r="F137" s="209">
        <f>IF(OR('BOBOT PEK'!E240="",'BOBOT PEK'!E240=0),1,'BOBOT PEK'!E240)</f>
        <v>1</v>
      </c>
      <c r="G137" s="208" t="str">
        <f>IF('BOBOT PEK'!F240="","ls",'BOBOT PEK'!F240)</f>
        <v>pcs</v>
      </c>
      <c r="H137" s="210">
        <f>'BOBOT PEK'!J240</f>
        <v>0.13303548074128826</v>
      </c>
      <c r="I137" s="211">
        <f>'KALENDER MINGGU'!$B$3</f>
        <v>46226</v>
      </c>
      <c r="J137" s="209">
        <f t="shared" si="16"/>
        <v>0</v>
      </c>
      <c r="K137" s="209">
        <f t="shared" si="17"/>
        <v>1</v>
      </c>
      <c r="L137" s="212">
        <f t="shared" si="18"/>
        <v>0</v>
      </c>
      <c r="M137" s="208" t="str">
        <f t="shared" si="19"/>
        <v>OK</v>
      </c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  <c r="AB137" s="213"/>
      <c r="AC137" s="213"/>
      <c r="AD137" s="213"/>
      <c r="AE137" s="213"/>
      <c r="AF137" s="213"/>
      <c r="AG137" s="213"/>
      <c r="AH137" s="213"/>
      <c r="AI137" s="213"/>
      <c r="AJ137" s="213"/>
      <c r="AK137" s="213"/>
      <c r="AL137" s="213"/>
      <c r="AM137" s="213"/>
      <c r="AN137" s="213"/>
      <c r="AO137" s="213"/>
      <c r="AP137" s="213"/>
      <c r="AQ137" s="213"/>
      <c r="AR137" s="213"/>
      <c r="AS137" s="213"/>
      <c r="AT137" s="213"/>
      <c r="AU137" s="213"/>
      <c r="AV137" s="213"/>
      <c r="AW137" s="213"/>
      <c r="AX137" s="213"/>
      <c r="AY137" s="213"/>
      <c r="AZ137" s="213"/>
      <c r="BA137" s="213"/>
      <c r="BB137" s="213"/>
      <c r="BC137" s="213"/>
      <c r="BD137" s="213"/>
      <c r="BE137" s="213"/>
      <c r="BF137" s="213"/>
      <c r="BG137" s="213"/>
      <c r="BH137" s="213"/>
      <c r="BI137" s="213"/>
      <c r="BJ137" s="213"/>
      <c r="BK137" s="213"/>
      <c r="BL137" s="213"/>
      <c r="BM137" s="213"/>
      <c r="BN137" s="213"/>
      <c r="BO137" s="213"/>
      <c r="BP137" s="213"/>
      <c r="BQ137" s="213"/>
      <c r="BR137" s="213"/>
      <c r="BS137" s="213"/>
      <c r="BT137" s="213"/>
      <c r="BU137" s="213"/>
      <c r="BV137" s="213"/>
      <c r="BW137" s="213"/>
      <c r="BX137" s="213"/>
      <c r="BY137" s="213"/>
      <c r="BZ137" s="213"/>
      <c r="CA137" s="213"/>
      <c r="CB137" s="213"/>
      <c r="CC137" s="213"/>
      <c r="CD137" s="213"/>
      <c r="CE137" s="213"/>
      <c r="CF137" s="213"/>
      <c r="CG137" s="213"/>
      <c r="CH137" s="213"/>
      <c r="CI137" s="213"/>
      <c r="CJ137" s="213"/>
      <c r="CK137" s="213"/>
      <c r="CL137" s="213"/>
      <c r="CM137" s="213"/>
      <c r="CN137" s="213"/>
      <c r="CO137" s="213"/>
      <c r="CP137" s="213"/>
      <c r="CQ137" s="213"/>
      <c r="CR137" s="213"/>
      <c r="CS137" s="213"/>
      <c r="CT137" s="213"/>
      <c r="CU137" s="213"/>
      <c r="CV137" s="213"/>
      <c r="CW137" s="213"/>
      <c r="CX137" s="213"/>
      <c r="CY137" s="213"/>
      <c r="CZ137" s="213"/>
      <c r="DA137" s="213"/>
      <c r="DB137" s="213"/>
      <c r="DC137" s="213"/>
      <c r="DD137" s="213"/>
      <c r="DE137" s="213"/>
      <c r="DF137" s="213"/>
      <c r="DG137" s="213"/>
      <c r="DH137" s="213"/>
      <c r="DI137" s="213"/>
      <c r="DJ137" s="213"/>
      <c r="DK137" s="213"/>
      <c r="DL137" s="213"/>
      <c r="DM137" s="213"/>
      <c r="DN137" s="213"/>
      <c r="DO137" s="213"/>
      <c r="DP137" s="213"/>
      <c r="DQ137" s="213"/>
      <c r="DR137" s="213"/>
      <c r="DS137" s="213"/>
      <c r="DT137" s="213"/>
      <c r="DU137" s="213"/>
      <c r="DV137" s="210">
        <f>SUMPRODUCT((($I137+COLUMN($N$3:$DU$3)-COLUMN($N$3))&gt;='KALENDER MINGGU'!$B$6)*(($I137+COLUMN($N$3:$DU$3)-COLUMN($N$3))&lt;='KALENDER MINGGU'!$C$6)*(N137:DU137))/F137*H137</f>
        <v>0</v>
      </c>
      <c r="DW137" s="210">
        <f>SUMPRODUCT((($I137+COLUMN($N$3:$DU$3)-COLUMN($N$3))&gt;='KALENDER MINGGU'!$B$7)*(($I137+COLUMN($N$3:$DU$3)-COLUMN($N$3))&lt;='KALENDER MINGGU'!$C$7)*(N137:DU137))/F137*H137</f>
        <v>0</v>
      </c>
      <c r="DX137" s="210">
        <f>SUMPRODUCT((($I137+COLUMN($N$3:$DU$3)-COLUMN($N$3))&gt;='KALENDER MINGGU'!$B$8)*(($I137+COLUMN($N$3:$DU$3)-COLUMN($N$3))&lt;='KALENDER MINGGU'!$C$8)*(N137:DU137))/F137*H137</f>
        <v>0</v>
      </c>
      <c r="DY137" s="210">
        <f>SUMPRODUCT((($I137+COLUMN($N$3:$DU$3)-COLUMN($N$3))&gt;='KALENDER MINGGU'!$B$9)*(($I137+COLUMN($N$3:$DU$3)-COLUMN($N$3))&lt;='KALENDER MINGGU'!$C$9)*(N137:DU137))/F137*H137</f>
        <v>0</v>
      </c>
      <c r="DZ137" s="210">
        <f>SUMPRODUCT((($I137+COLUMN($N$3:$DU$3)-COLUMN($N$3))&gt;='KALENDER MINGGU'!$B$10)*(($I137+COLUMN($N$3:$DU$3)-COLUMN($N$3))&lt;='KALENDER MINGGU'!$C$10)*(N137:DU137))/F137*H137</f>
        <v>0</v>
      </c>
      <c r="EA137" s="210">
        <f>SUMPRODUCT((($I137+COLUMN($N$3:$DU$3)-COLUMN($N$3))&gt;='KALENDER MINGGU'!$B$11)*(($I137+COLUMN($N$3:$DU$3)-COLUMN($N$3))&lt;='KALENDER MINGGU'!$C$11)*(N137:DU137))/F137*H137</f>
        <v>0</v>
      </c>
      <c r="EB137" s="210">
        <f>SUMPRODUCT((($I137+COLUMN($N$3:$DU$3)-COLUMN($N$3))&gt;='KALENDER MINGGU'!$B$12)*(($I137+COLUMN($N$3:$DU$3)-COLUMN($N$3))&lt;='KALENDER MINGGU'!$C$12)*(N137:DU137))/F137*H137</f>
        <v>0</v>
      </c>
      <c r="EC137" s="210">
        <f>SUMPRODUCT((($I137+COLUMN($N$3:$DU$3)-COLUMN($N$3))&gt;='KALENDER MINGGU'!$B$13)*(($I137+COLUMN($N$3:$DU$3)-COLUMN($N$3))&lt;='KALENDER MINGGU'!$C$13)*(N137:DU137))/F137*H137</f>
        <v>0</v>
      </c>
      <c r="ED137" s="210">
        <f>SUMPRODUCT((($I137+COLUMN($N$3:$DU$3)-COLUMN($N$3))&gt;='KALENDER MINGGU'!$B$14)*(($I137+COLUMN($N$3:$DU$3)-COLUMN($N$3))&lt;='KALENDER MINGGU'!$C$14)*(N137:DU137))/F137*H137</f>
        <v>0</v>
      </c>
      <c r="EE137" s="210">
        <f>SUMPRODUCT((($I137+COLUMN($N$3:$DU$3)-COLUMN($N$3))&gt;='KALENDER MINGGU'!$B$15)*(($I137+COLUMN($N$3:$DU$3)-COLUMN($N$3))&lt;='KALENDER MINGGU'!$C$15)*(N137:DU137))/F137*H137</f>
        <v>0</v>
      </c>
      <c r="EF137" s="210">
        <f>SUMPRODUCT((($I137+COLUMN($N$3:$DU$3)-COLUMN($N$3))&gt;='KALENDER MINGGU'!$B$16)*(($I137+COLUMN($N$3:$DU$3)-COLUMN($N$3))&lt;='KALENDER MINGGU'!$C$16)*(N137:DU137))/F137*H137</f>
        <v>0</v>
      </c>
      <c r="EG137" s="210">
        <f>SUMPRODUCT((($I137+COLUMN($N$3:$DU$3)-COLUMN($N$3))&gt;='KALENDER MINGGU'!$B$17)*(($I137+COLUMN($N$3:$DU$3)-COLUMN($N$3))&lt;='KALENDER MINGGU'!$C$17)*(N137:DU137))/F137*H137</f>
        <v>0</v>
      </c>
      <c r="EH137" s="210">
        <f>SUMPRODUCT((($I137+COLUMN($N$3:$DU$3)-COLUMN($N$3))&gt;='KALENDER MINGGU'!$B$18)*(($I137+COLUMN($N$3:$DU$3)-COLUMN($N$3))&lt;='KALENDER MINGGU'!$C$18)*(N137:DU137))/F137*H137</f>
        <v>0</v>
      </c>
      <c r="EI137" s="210">
        <f>SUMPRODUCT((($I137+COLUMN($N$3:$DU$3)-COLUMN($N$3))&gt;='KALENDER MINGGU'!$B$19)*(($I137+COLUMN($N$3:$DU$3)-COLUMN($N$3))&lt;='KALENDER MINGGU'!$C$19)*(N137:DU137))/F137*H137</f>
        <v>0</v>
      </c>
      <c r="EJ137" s="210">
        <f>SUMPRODUCT((($I137+COLUMN($N$3:$DU$3)-COLUMN($N$3))&gt;='KALENDER MINGGU'!$B$20)*(($I137+COLUMN($N$3:$DU$3)-COLUMN($N$3))&lt;='KALENDER MINGGU'!$C$20)*(N137:DU137))/F137*H137</f>
        <v>0</v>
      </c>
      <c r="EK137" s="210">
        <f>SUMPRODUCT((($I137+COLUMN($N$3:$DU$3)-COLUMN($N$3))&gt;='KALENDER MINGGU'!$B$21)*(($I137+COLUMN($N$3:$DU$3)-COLUMN($N$3))&lt;='KALENDER MINGGU'!$C$21)*(N137:DU137))/F137*H137</f>
        <v>0</v>
      </c>
    </row>
    <row r="138" spans="1:141" ht="21.75" customHeight="1" x14ac:dyDescent="0.2">
      <c r="A138" s="208">
        <v>134</v>
      </c>
      <c r="B138" s="208">
        <v>241</v>
      </c>
      <c r="C138" s="208" t="str">
        <f>IF(B138&lt;160,'BOBOT PEK'!$B$4,IF(B138&lt;207,'BOBOT PEK'!$B$160,'BOBOT PEK'!$B$207))</f>
        <v>Toko OT 24 Jam</v>
      </c>
      <c r="D138" s="208" t="s">
        <v>112</v>
      </c>
      <c r="E138" s="214" t="str">
        <f>'BOBOT PEK'!C241</f>
        <v>Lighting
LED T8 18w 6500K</v>
      </c>
      <c r="F138" s="209">
        <f>IF(OR('BOBOT PEK'!E241="",'BOBOT PEK'!E241=0),1,'BOBOT PEK'!E241)</f>
        <v>10</v>
      </c>
      <c r="G138" s="208" t="str">
        <f>IF('BOBOT PEK'!F241="","ls",'BOBOT PEK'!F241)</f>
        <v>pcs</v>
      </c>
      <c r="H138" s="210">
        <f>'BOBOT PEK'!J241</f>
        <v>5.9865966333579719E-2</v>
      </c>
      <c r="I138" s="211">
        <f>'KALENDER MINGGU'!$B$3</f>
        <v>46226</v>
      </c>
      <c r="J138" s="209">
        <f t="shared" si="16"/>
        <v>3</v>
      </c>
      <c r="K138" s="209">
        <f t="shared" si="17"/>
        <v>7</v>
      </c>
      <c r="L138" s="212">
        <f t="shared" si="18"/>
        <v>0.3</v>
      </c>
      <c r="M138" s="208" t="str">
        <f t="shared" si="19"/>
        <v>OK</v>
      </c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  <c r="AB138" s="213"/>
      <c r="AC138" s="213"/>
      <c r="AD138" s="213"/>
      <c r="AE138" s="213"/>
      <c r="AF138" s="213"/>
      <c r="AG138" s="213"/>
      <c r="AH138" s="213"/>
      <c r="AI138" s="213"/>
      <c r="AJ138" s="213"/>
      <c r="AK138" s="213"/>
      <c r="AL138" s="213"/>
      <c r="AM138" s="213"/>
      <c r="AN138" s="213"/>
      <c r="AO138" s="213"/>
      <c r="AP138" s="213"/>
      <c r="AQ138" s="213"/>
      <c r="AR138" s="213"/>
      <c r="AS138" s="213"/>
      <c r="AT138" s="213"/>
      <c r="AU138" s="213"/>
      <c r="AV138" s="213"/>
      <c r="AW138" s="213"/>
      <c r="AX138" s="213"/>
      <c r="AY138" s="213"/>
      <c r="AZ138" s="213"/>
      <c r="BA138" s="213"/>
      <c r="BB138" s="213"/>
      <c r="BC138" s="213"/>
      <c r="BD138" s="213"/>
      <c r="BE138" s="213"/>
      <c r="BF138" s="213"/>
      <c r="BG138" s="213"/>
      <c r="BH138" s="213"/>
      <c r="BI138" s="213"/>
      <c r="BJ138" s="213"/>
      <c r="BK138" s="213"/>
      <c r="BL138" s="213"/>
      <c r="BM138" s="213"/>
      <c r="BN138" s="213"/>
      <c r="BO138" s="213"/>
      <c r="BP138" s="213"/>
      <c r="BQ138" s="213">
        <v>3</v>
      </c>
      <c r="BR138" s="213"/>
      <c r="BS138" s="213"/>
      <c r="BT138" s="213"/>
      <c r="BU138" s="213"/>
      <c r="BV138" s="213"/>
      <c r="BW138" s="213"/>
      <c r="BX138" s="213"/>
      <c r="BY138" s="213"/>
      <c r="BZ138" s="213"/>
      <c r="CA138" s="213"/>
      <c r="CB138" s="213"/>
      <c r="CC138" s="213"/>
      <c r="CD138" s="213"/>
      <c r="CE138" s="213"/>
      <c r="CF138" s="213"/>
      <c r="CG138" s="213"/>
      <c r="CH138" s="213"/>
      <c r="CI138" s="213"/>
      <c r="CJ138" s="213"/>
      <c r="CK138" s="213"/>
      <c r="CL138" s="213"/>
      <c r="CM138" s="213"/>
      <c r="CN138" s="213"/>
      <c r="CO138" s="213"/>
      <c r="CP138" s="213"/>
      <c r="CQ138" s="213"/>
      <c r="CR138" s="213"/>
      <c r="CS138" s="213"/>
      <c r="CT138" s="213"/>
      <c r="CU138" s="213"/>
      <c r="CV138" s="213"/>
      <c r="CW138" s="213"/>
      <c r="CX138" s="213"/>
      <c r="CY138" s="213"/>
      <c r="CZ138" s="213"/>
      <c r="DA138" s="213"/>
      <c r="DB138" s="213"/>
      <c r="DC138" s="213"/>
      <c r="DD138" s="213"/>
      <c r="DE138" s="213"/>
      <c r="DF138" s="213"/>
      <c r="DG138" s="213"/>
      <c r="DH138" s="213"/>
      <c r="DI138" s="213"/>
      <c r="DJ138" s="213"/>
      <c r="DK138" s="213"/>
      <c r="DL138" s="213"/>
      <c r="DM138" s="213"/>
      <c r="DN138" s="213"/>
      <c r="DO138" s="213"/>
      <c r="DP138" s="213"/>
      <c r="DQ138" s="213"/>
      <c r="DR138" s="213"/>
      <c r="DS138" s="213"/>
      <c r="DT138" s="213"/>
      <c r="DU138" s="213"/>
      <c r="DV138" s="210">
        <f>SUMPRODUCT((($I138+COLUMN($N$3:$DU$3)-COLUMN($N$3))&gt;='KALENDER MINGGU'!$B$6)*(($I138+COLUMN($N$3:$DU$3)-COLUMN($N$3))&lt;='KALENDER MINGGU'!$C$6)*(N138:DU138))/F138*H138</f>
        <v>0</v>
      </c>
      <c r="DW138" s="210">
        <f>SUMPRODUCT((($I138+COLUMN($N$3:$DU$3)-COLUMN($N$3))&gt;='KALENDER MINGGU'!$B$7)*(($I138+COLUMN($N$3:$DU$3)-COLUMN($N$3))&lt;='KALENDER MINGGU'!$C$7)*(N138:DU138))/F138*H138</f>
        <v>0</v>
      </c>
      <c r="DX138" s="210">
        <f>SUMPRODUCT((($I138+COLUMN($N$3:$DU$3)-COLUMN($N$3))&gt;='KALENDER MINGGU'!$B$8)*(($I138+COLUMN($N$3:$DU$3)-COLUMN($N$3))&lt;='KALENDER MINGGU'!$C$8)*(N138:DU138))/F138*H138</f>
        <v>0</v>
      </c>
      <c r="DY138" s="210">
        <f>SUMPRODUCT((($I138+COLUMN($N$3:$DU$3)-COLUMN($N$3))&gt;='KALENDER MINGGU'!$B$9)*(($I138+COLUMN($N$3:$DU$3)-COLUMN($N$3))&lt;='KALENDER MINGGU'!$C$9)*(N138:DU138))/F138*H138</f>
        <v>0</v>
      </c>
      <c r="DZ138" s="210">
        <f>SUMPRODUCT((($I138+COLUMN($N$3:$DU$3)-COLUMN($N$3))&gt;='KALENDER MINGGU'!$B$10)*(($I138+COLUMN($N$3:$DU$3)-COLUMN($N$3))&lt;='KALENDER MINGGU'!$C$10)*(N138:DU138))/F138*H138</f>
        <v>0</v>
      </c>
      <c r="EA138" s="210">
        <f>SUMPRODUCT((($I138+COLUMN($N$3:$DU$3)-COLUMN($N$3))&gt;='KALENDER MINGGU'!$B$11)*(($I138+COLUMN($N$3:$DU$3)-COLUMN($N$3))&lt;='KALENDER MINGGU'!$C$11)*(N138:DU138))/F138*H138</f>
        <v>0</v>
      </c>
      <c r="EB138" s="210">
        <f>SUMPRODUCT((($I138+COLUMN($N$3:$DU$3)-COLUMN($N$3))&gt;='KALENDER MINGGU'!$B$12)*(($I138+COLUMN($N$3:$DU$3)-COLUMN($N$3))&lt;='KALENDER MINGGU'!$C$12)*(N138:DU138))/F138*H138</f>
        <v>0</v>
      </c>
      <c r="EC138" s="210">
        <f>SUMPRODUCT((($I138+COLUMN($N$3:$DU$3)-COLUMN($N$3))&gt;='KALENDER MINGGU'!$B$13)*(($I138+COLUMN($N$3:$DU$3)-COLUMN($N$3))&lt;='KALENDER MINGGU'!$C$13)*(N138:DU138))/F138*H138</f>
        <v>1.7959789900073915E-2</v>
      </c>
      <c r="ED138" s="210">
        <f>SUMPRODUCT((($I138+COLUMN($N$3:$DU$3)-COLUMN($N$3))&gt;='KALENDER MINGGU'!$B$14)*(($I138+COLUMN($N$3:$DU$3)-COLUMN($N$3))&lt;='KALENDER MINGGU'!$C$14)*(N138:DU138))/F138*H138</f>
        <v>0</v>
      </c>
      <c r="EE138" s="210">
        <f>SUMPRODUCT((($I138+COLUMN($N$3:$DU$3)-COLUMN($N$3))&gt;='KALENDER MINGGU'!$B$15)*(($I138+COLUMN($N$3:$DU$3)-COLUMN($N$3))&lt;='KALENDER MINGGU'!$C$15)*(N138:DU138))/F138*H138</f>
        <v>0</v>
      </c>
      <c r="EF138" s="210">
        <f>SUMPRODUCT((($I138+COLUMN($N$3:$DU$3)-COLUMN($N$3))&gt;='KALENDER MINGGU'!$B$16)*(($I138+COLUMN($N$3:$DU$3)-COLUMN($N$3))&lt;='KALENDER MINGGU'!$C$16)*(N138:DU138))/F138*H138</f>
        <v>0</v>
      </c>
      <c r="EG138" s="210">
        <f>SUMPRODUCT((($I138+COLUMN($N$3:$DU$3)-COLUMN($N$3))&gt;='KALENDER MINGGU'!$B$17)*(($I138+COLUMN($N$3:$DU$3)-COLUMN($N$3))&lt;='KALENDER MINGGU'!$C$17)*(N138:DU138))/F138*H138</f>
        <v>0</v>
      </c>
      <c r="EH138" s="210">
        <f>SUMPRODUCT((($I138+COLUMN($N$3:$DU$3)-COLUMN($N$3))&gt;='KALENDER MINGGU'!$B$18)*(($I138+COLUMN($N$3:$DU$3)-COLUMN($N$3))&lt;='KALENDER MINGGU'!$C$18)*(N138:DU138))/F138*H138</f>
        <v>0</v>
      </c>
      <c r="EI138" s="210">
        <f>SUMPRODUCT((($I138+COLUMN($N$3:$DU$3)-COLUMN($N$3))&gt;='KALENDER MINGGU'!$B$19)*(($I138+COLUMN($N$3:$DU$3)-COLUMN($N$3))&lt;='KALENDER MINGGU'!$C$19)*(N138:DU138))/F138*H138</f>
        <v>0</v>
      </c>
      <c r="EJ138" s="210">
        <f>SUMPRODUCT((($I138+COLUMN($N$3:$DU$3)-COLUMN($N$3))&gt;='KALENDER MINGGU'!$B$20)*(($I138+COLUMN($N$3:$DU$3)-COLUMN($N$3))&lt;='KALENDER MINGGU'!$C$20)*(N138:DU138))/F138*H138</f>
        <v>0</v>
      </c>
      <c r="EK138" s="210">
        <f>SUMPRODUCT((($I138+COLUMN($N$3:$DU$3)-COLUMN($N$3))&gt;='KALENDER MINGGU'!$B$21)*(($I138+COLUMN($N$3:$DU$3)-COLUMN($N$3))&lt;='KALENDER MINGGU'!$C$21)*(N138:DU138))/F138*H138</f>
        <v>0</v>
      </c>
    </row>
    <row r="139" spans="1:141" ht="21.75" customHeight="1" x14ac:dyDescent="0.2">
      <c r="A139" s="208">
        <v>135</v>
      </c>
      <c r="B139" s="208">
        <v>242</v>
      </c>
      <c r="C139" s="208" t="str">
        <f>IF(B139&lt;160,'BOBOT PEK'!$B$4,IF(B139&lt;207,'BOBOT PEK'!$B$160,'BOBOT PEK'!$B$207))</f>
        <v>Toko OT 24 Jam</v>
      </c>
      <c r="D139" s="208" t="s">
        <v>112</v>
      </c>
      <c r="E139" s="214" t="str">
        <f>'BOBOT PEK'!C242</f>
        <v>saklar dan stop kontak
ex schneider classic</v>
      </c>
      <c r="F139" s="209">
        <f>IF(OR('BOBOT PEK'!E242="",'BOBOT PEK'!E242=0),1,'BOBOT PEK'!E242)</f>
        <v>14</v>
      </c>
      <c r="G139" s="208" t="str">
        <f>IF('BOBOT PEK'!F242="","ls",'BOBOT PEK'!F242)</f>
        <v>pcs</v>
      </c>
      <c r="H139" s="210">
        <f>'BOBOT PEK'!J242</f>
        <v>0.10028828548189422</v>
      </c>
      <c r="I139" s="211">
        <f>'KALENDER MINGGU'!$B$3</f>
        <v>46226</v>
      </c>
      <c r="J139" s="209">
        <f t="shared" si="16"/>
        <v>5</v>
      </c>
      <c r="K139" s="209">
        <f t="shared" si="17"/>
        <v>9</v>
      </c>
      <c r="L139" s="212">
        <f t="shared" si="18"/>
        <v>0.35714285714285715</v>
      </c>
      <c r="M139" s="208" t="str">
        <f t="shared" si="19"/>
        <v>OK</v>
      </c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3"/>
      <c r="AC139" s="213"/>
      <c r="AD139" s="213"/>
      <c r="AE139" s="213"/>
      <c r="AF139" s="213"/>
      <c r="AG139" s="213"/>
      <c r="AH139" s="213"/>
      <c r="AI139" s="213"/>
      <c r="AJ139" s="213"/>
      <c r="AK139" s="213"/>
      <c r="AL139" s="213"/>
      <c r="AM139" s="213"/>
      <c r="AN139" s="213"/>
      <c r="AO139" s="213"/>
      <c r="AP139" s="213"/>
      <c r="AQ139" s="213"/>
      <c r="AR139" s="213"/>
      <c r="AS139" s="213"/>
      <c r="AT139" s="213"/>
      <c r="AU139" s="213"/>
      <c r="AV139" s="213"/>
      <c r="AW139" s="213"/>
      <c r="AX139" s="213"/>
      <c r="AY139" s="213"/>
      <c r="AZ139" s="213"/>
      <c r="BA139" s="213"/>
      <c r="BB139" s="213"/>
      <c r="BC139" s="213"/>
      <c r="BD139" s="213"/>
      <c r="BE139" s="213"/>
      <c r="BF139" s="213"/>
      <c r="BG139" s="213"/>
      <c r="BH139" s="213"/>
      <c r="BI139" s="213"/>
      <c r="BJ139" s="213"/>
      <c r="BK139" s="213"/>
      <c r="BL139" s="213"/>
      <c r="BM139" s="213"/>
      <c r="BN139" s="213"/>
      <c r="BO139" s="213"/>
      <c r="BP139" s="213"/>
      <c r="BQ139" s="213">
        <v>5</v>
      </c>
      <c r="BR139" s="213"/>
      <c r="BS139" s="213"/>
      <c r="BT139" s="213"/>
      <c r="BU139" s="213"/>
      <c r="BV139" s="213"/>
      <c r="BW139" s="213"/>
      <c r="BX139" s="213"/>
      <c r="BY139" s="213"/>
      <c r="BZ139" s="213"/>
      <c r="CA139" s="213"/>
      <c r="CB139" s="213"/>
      <c r="CC139" s="213"/>
      <c r="CD139" s="213"/>
      <c r="CE139" s="213"/>
      <c r="CF139" s="213"/>
      <c r="CG139" s="213"/>
      <c r="CH139" s="213"/>
      <c r="CI139" s="213"/>
      <c r="CJ139" s="213"/>
      <c r="CK139" s="213"/>
      <c r="CL139" s="213"/>
      <c r="CM139" s="213"/>
      <c r="CN139" s="213"/>
      <c r="CO139" s="213"/>
      <c r="CP139" s="213"/>
      <c r="CQ139" s="213"/>
      <c r="CR139" s="213"/>
      <c r="CS139" s="213"/>
      <c r="CT139" s="213"/>
      <c r="CU139" s="213"/>
      <c r="CV139" s="213"/>
      <c r="CW139" s="213"/>
      <c r="CX139" s="213"/>
      <c r="CY139" s="213"/>
      <c r="CZ139" s="213"/>
      <c r="DA139" s="213"/>
      <c r="DB139" s="213"/>
      <c r="DC139" s="213"/>
      <c r="DD139" s="213"/>
      <c r="DE139" s="213"/>
      <c r="DF139" s="213"/>
      <c r="DG139" s="213"/>
      <c r="DH139" s="213"/>
      <c r="DI139" s="213"/>
      <c r="DJ139" s="213"/>
      <c r="DK139" s="213"/>
      <c r="DL139" s="213"/>
      <c r="DM139" s="213"/>
      <c r="DN139" s="213"/>
      <c r="DO139" s="213"/>
      <c r="DP139" s="213"/>
      <c r="DQ139" s="213"/>
      <c r="DR139" s="213"/>
      <c r="DS139" s="213"/>
      <c r="DT139" s="213"/>
      <c r="DU139" s="213"/>
      <c r="DV139" s="210">
        <f>SUMPRODUCT((($I139+COLUMN($N$3:$DU$3)-COLUMN($N$3))&gt;='KALENDER MINGGU'!$B$6)*(($I139+COLUMN($N$3:$DU$3)-COLUMN($N$3))&lt;='KALENDER MINGGU'!$C$6)*(N139:DU139))/F139*H139</f>
        <v>0</v>
      </c>
      <c r="DW139" s="210">
        <f>SUMPRODUCT((($I139+COLUMN($N$3:$DU$3)-COLUMN($N$3))&gt;='KALENDER MINGGU'!$B$7)*(($I139+COLUMN($N$3:$DU$3)-COLUMN($N$3))&lt;='KALENDER MINGGU'!$C$7)*(N139:DU139))/F139*H139</f>
        <v>0</v>
      </c>
      <c r="DX139" s="210">
        <f>SUMPRODUCT((($I139+COLUMN($N$3:$DU$3)-COLUMN($N$3))&gt;='KALENDER MINGGU'!$B$8)*(($I139+COLUMN($N$3:$DU$3)-COLUMN($N$3))&lt;='KALENDER MINGGU'!$C$8)*(N139:DU139))/F139*H139</f>
        <v>0</v>
      </c>
      <c r="DY139" s="210">
        <f>SUMPRODUCT((($I139+COLUMN($N$3:$DU$3)-COLUMN($N$3))&gt;='KALENDER MINGGU'!$B$9)*(($I139+COLUMN($N$3:$DU$3)-COLUMN($N$3))&lt;='KALENDER MINGGU'!$C$9)*(N139:DU139))/F139*H139</f>
        <v>0</v>
      </c>
      <c r="DZ139" s="210">
        <f>SUMPRODUCT((($I139+COLUMN($N$3:$DU$3)-COLUMN($N$3))&gt;='KALENDER MINGGU'!$B$10)*(($I139+COLUMN($N$3:$DU$3)-COLUMN($N$3))&lt;='KALENDER MINGGU'!$C$10)*(N139:DU139))/F139*H139</f>
        <v>0</v>
      </c>
      <c r="EA139" s="210">
        <f>SUMPRODUCT((($I139+COLUMN($N$3:$DU$3)-COLUMN($N$3))&gt;='KALENDER MINGGU'!$B$11)*(($I139+COLUMN($N$3:$DU$3)-COLUMN($N$3))&lt;='KALENDER MINGGU'!$C$11)*(N139:DU139))/F139*H139</f>
        <v>0</v>
      </c>
      <c r="EB139" s="210">
        <f>SUMPRODUCT((($I139+COLUMN($N$3:$DU$3)-COLUMN($N$3))&gt;='KALENDER MINGGU'!$B$12)*(($I139+COLUMN($N$3:$DU$3)-COLUMN($N$3))&lt;='KALENDER MINGGU'!$C$12)*(N139:DU139))/F139*H139</f>
        <v>0</v>
      </c>
      <c r="EC139" s="210">
        <f>SUMPRODUCT((($I139+COLUMN($N$3:$DU$3)-COLUMN($N$3))&gt;='KALENDER MINGGU'!$B$13)*(($I139+COLUMN($N$3:$DU$3)-COLUMN($N$3))&lt;='KALENDER MINGGU'!$C$13)*(N139:DU139))/F139*H139</f>
        <v>3.5817244814962221E-2</v>
      </c>
      <c r="ED139" s="210">
        <f>SUMPRODUCT((($I139+COLUMN($N$3:$DU$3)-COLUMN($N$3))&gt;='KALENDER MINGGU'!$B$14)*(($I139+COLUMN($N$3:$DU$3)-COLUMN($N$3))&lt;='KALENDER MINGGU'!$C$14)*(N139:DU139))/F139*H139</f>
        <v>0</v>
      </c>
      <c r="EE139" s="210">
        <f>SUMPRODUCT((($I139+COLUMN($N$3:$DU$3)-COLUMN($N$3))&gt;='KALENDER MINGGU'!$B$15)*(($I139+COLUMN($N$3:$DU$3)-COLUMN($N$3))&lt;='KALENDER MINGGU'!$C$15)*(N139:DU139))/F139*H139</f>
        <v>0</v>
      </c>
      <c r="EF139" s="210">
        <f>SUMPRODUCT((($I139+COLUMN($N$3:$DU$3)-COLUMN($N$3))&gt;='KALENDER MINGGU'!$B$16)*(($I139+COLUMN($N$3:$DU$3)-COLUMN($N$3))&lt;='KALENDER MINGGU'!$C$16)*(N139:DU139))/F139*H139</f>
        <v>0</v>
      </c>
      <c r="EG139" s="210">
        <f>SUMPRODUCT((($I139+COLUMN($N$3:$DU$3)-COLUMN($N$3))&gt;='KALENDER MINGGU'!$B$17)*(($I139+COLUMN($N$3:$DU$3)-COLUMN($N$3))&lt;='KALENDER MINGGU'!$C$17)*(N139:DU139))/F139*H139</f>
        <v>0</v>
      </c>
      <c r="EH139" s="210">
        <f>SUMPRODUCT((($I139+COLUMN($N$3:$DU$3)-COLUMN($N$3))&gt;='KALENDER MINGGU'!$B$18)*(($I139+COLUMN($N$3:$DU$3)-COLUMN($N$3))&lt;='KALENDER MINGGU'!$C$18)*(N139:DU139))/F139*H139</f>
        <v>0</v>
      </c>
      <c r="EI139" s="210">
        <f>SUMPRODUCT((($I139+COLUMN($N$3:$DU$3)-COLUMN($N$3))&gt;='KALENDER MINGGU'!$B$19)*(($I139+COLUMN($N$3:$DU$3)-COLUMN($N$3))&lt;='KALENDER MINGGU'!$C$19)*(N139:DU139))/F139*H139</f>
        <v>0</v>
      </c>
      <c r="EJ139" s="210">
        <f>SUMPRODUCT((($I139+COLUMN($N$3:$DU$3)-COLUMN($N$3))&gt;='KALENDER MINGGU'!$B$20)*(($I139+COLUMN($N$3:$DU$3)-COLUMN($N$3))&lt;='KALENDER MINGGU'!$C$20)*(N139:DU139))/F139*H139</f>
        <v>0</v>
      </c>
      <c r="EK139" s="210">
        <f>SUMPRODUCT((($I139+COLUMN($N$3:$DU$3)-COLUMN($N$3))&gt;='KALENDER MINGGU'!$B$21)*(($I139+COLUMN($N$3:$DU$3)-COLUMN($N$3))&lt;='KALENDER MINGGU'!$C$21)*(N139:DU139))/F139*H139</f>
        <v>0</v>
      </c>
    </row>
    <row r="140" spans="1:141" ht="21.75" customHeight="1" x14ac:dyDescent="0.2">
      <c r="A140" s="208">
        <v>136</v>
      </c>
      <c r="B140" s="208">
        <v>243</v>
      </c>
      <c r="C140" s="208" t="str">
        <f>IF(B140&lt;160,'BOBOT PEK'!$B$4,IF(B140&lt;207,'BOBOT PEK'!$B$160,'BOBOT PEK'!$B$207))</f>
        <v>Toko OT 24 Jam</v>
      </c>
      <c r="D140" s="208" t="s">
        <v>112</v>
      </c>
      <c r="E140" s="214" t="str">
        <f>'BOBOT PEK'!C243</f>
        <v>Pengadaan dan pemasangan AC
ex gree 2pk</v>
      </c>
      <c r="F140" s="209">
        <f>IF(OR('BOBOT PEK'!E243="",'BOBOT PEK'!E243=0),1,'BOBOT PEK'!E243)</f>
        <v>2</v>
      </c>
      <c r="G140" s="208" t="str">
        <f>IF('BOBOT PEK'!F243="","ls",'BOBOT PEK'!F243)</f>
        <v>pc</v>
      </c>
      <c r="H140" s="210">
        <f>'BOBOT PEK'!J243</f>
        <v>0.56540079315047509</v>
      </c>
      <c r="I140" s="211">
        <f>'KALENDER MINGGU'!$B$3</f>
        <v>46226</v>
      </c>
      <c r="J140" s="209">
        <f t="shared" si="16"/>
        <v>1</v>
      </c>
      <c r="K140" s="209">
        <f t="shared" si="17"/>
        <v>1</v>
      </c>
      <c r="L140" s="212">
        <f t="shared" si="18"/>
        <v>0.5</v>
      </c>
      <c r="M140" s="208" t="str">
        <f t="shared" si="19"/>
        <v>OK</v>
      </c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  <c r="AB140" s="213"/>
      <c r="AC140" s="213"/>
      <c r="AD140" s="213"/>
      <c r="AE140" s="213"/>
      <c r="AF140" s="213"/>
      <c r="AG140" s="213"/>
      <c r="AH140" s="213"/>
      <c r="AI140" s="213"/>
      <c r="AJ140" s="213"/>
      <c r="AK140" s="213"/>
      <c r="AL140" s="213"/>
      <c r="AM140" s="213"/>
      <c r="AN140" s="213"/>
      <c r="AO140" s="213"/>
      <c r="AP140" s="213"/>
      <c r="AQ140" s="213"/>
      <c r="AR140" s="213"/>
      <c r="AS140" s="213"/>
      <c r="AT140" s="213"/>
      <c r="AU140" s="213"/>
      <c r="AV140" s="213"/>
      <c r="AW140" s="213"/>
      <c r="AX140" s="213"/>
      <c r="AY140" s="213"/>
      <c r="AZ140" s="213"/>
      <c r="BA140" s="213"/>
      <c r="BB140" s="213"/>
      <c r="BC140" s="213"/>
      <c r="BD140" s="213"/>
      <c r="BE140" s="213"/>
      <c r="BF140" s="213"/>
      <c r="BG140" s="213"/>
      <c r="BH140" s="213"/>
      <c r="BI140" s="213"/>
      <c r="BJ140" s="213"/>
      <c r="BK140" s="213"/>
      <c r="BL140" s="213"/>
      <c r="BM140" s="213"/>
      <c r="BN140" s="213"/>
      <c r="BO140" s="213"/>
      <c r="BP140" s="213"/>
      <c r="BQ140" s="213">
        <v>1</v>
      </c>
      <c r="BR140" s="213"/>
      <c r="BS140" s="213"/>
      <c r="BT140" s="213"/>
      <c r="BU140" s="213"/>
      <c r="BV140" s="213"/>
      <c r="BW140" s="213"/>
      <c r="BX140" s="213"/>
      <c r="BY140" s="213"/>
      <c r="BZ140" s="213"/>
      <c r="CA140" s="213"/>
      <c r="CB140" s="213"/>
      <c r="CC140" s="213"/>
      <c r="CD140" s="213"/>
      <c r="CE140" s="213"/>
      <c r="CF140" s="213"/>
      <c r="CG140" s="213"/>
      <c r="CH140" s="213"/>
      <c r="CI140" s="213"/>
      <c r="CJ140" s="213"/>
      <c r="CK140" s="213"/>
      <c r="CL140" s="213"/>
      <c r="CM140" s="213"/>
      <c r="CN140" s="213"/>
      <c r="CO140" s="213"/>
      <c r="CP140" s="213"/>
      <c r="CQ140" s="213"/>
      <c r="CR140" s="213"/>
      <c r="CS140" s="213"/>
      <c r="CT140" s="213"/>
      <c r="CU140" s="213"/>
      <c r="CV140" s="213"/>
      <c r="CW140" s="213"/>
      <c r="CX140" s="213"/>
      <c r="CY140" s="213"/>
      <c r="CZ140" s="213"/>
      <c r="DA140" s="213"/>
      <c r="DB140" s="213"/>
      <c r="DC140" s="213"/>
      <c r="DD140" s="213"/>
      <c r="DE140" s="213"/>
      <c r="DF140" s="213"/>
      <c r="DG140" s="213"/>
      <c r="DH140" s="213"/>
      <c r="DI140" s="213"/>
      <c r="DJ140" s="213"/>
      <c r="DK140" s="213"/>
      <c r="DL140" s="213"/>
      <c r="DM140" s="213"/>
      <c r="DN140" s="213"/>
      <c r="DO140" s="213"/>
      <c r="DP140" s="213"/>
      <c r="DQ140" s="213"/>
      <c r="DR140" s="213"/>
      <c r="DS140" s="213"/>
      <c r="DT140" s="213"/>
      <c r="DU140" s="213"/>
      <c r="DV140" s="210">
        <f>SUMPRODUCT((($I140+COLUMN($N$3:$DU$3)-COLUMN($N$3))&gt;='KALENDER MINGGU'!$B$6)*(($I140+COLUMN($N$3:$DU$3)-COLUMN($N$3))&lt;='KALENDER MINGGU'!$C$6)*(N140:DU140))/F140*H140</f>
        <v>0</v>
      </c>
      <c r="DW140" s="210">
        <f>SUMPRODUCT((($I140+COLUMN($N$3:$DU$3)-COLUMN($N$3))&gt;='KALENDER MINGGU'!$B$7)*(($I140+COLUMN($N$3:$DU$3)-COLUMN($N$3))&lt;='KALENDER MINGGU'!$C$7)*(N140:DU140))/F140*H140</f>
        <v>0</v>
      </c>
      <c r="DX140" s="210">
        <f>SUMPRODUCT((($I140+COLUMN($N$3:$DU$3)-COLUMN($N$3))&gt;='KALENDER MINGGU'!$B$8)*(($I140+COLUMN($N$3:$DU$3)-COLUMN($N$3))&lt;='KALENDER MINGGU'!$C$8)*(N140:DU140))/F140*H140</f>
        <v>0</v>
      </c>
      <c r="DY140" s="210">
        <f>SUMPRODUCT((($I140+COLUMN($N$3:$DU$3)-COLUMN($N$3))&gt;='KALENDER MINGGU'!$B$9)*(($I140+COLUMN($N$3:$DU$3)-COLUMN($N$3))&lt;='KALENDER MINGGU'!$C$9)*(N140:DU140))/F140*H140</f>
        <v>0</v>
      </c>
      <c r="DZ140" s="210">
        <f>SUMPRODUCT((($I140+COLUMN($N$3:$DU$3)-COLUMN($N$3))&gt;='KALENDER MINGGU'!$B$10)*(($I140+COLUMN($N$3:$DU$3)-COLUMN($N$3))&lt;='KALENDER MINGGU'!$C$10)*(N140:DU140))/F140*H140</f>
        <v>0</v>
      </c>
      <c r="EA140" s="210">
        <f>SUMPRODUCT((($I140+COLUMN($N$3:$DU$3)-COLUMN($N$3))&gt;='KALENDER MINGGU'!$B$11)*(($I140+COLUMN($N$3:$DU$3)-COLUMN($N$3))&lt;='KALENDER MINGGU'!$C$11)*(N140:DU140))/F140*H140</f>
        <v>0</v>
      </c>
      <c r="EB140" s="210">
        <f>SUMPRODUCT((($I140+COLUMN($N$3:$DU$3)-COLUMN($N$3))&gt;='KALENDER MINGGU'!$B$12)*(($I140+COLUMN($N$3:$DU$3)-COLUMN($N$3))&lt;='KALENDER MINGGU'!$C$12)*(N140:DU140))/F140*H140</f>
        <v>0</v>
      </c>
      <c r="EC140" s="210">
        <f>SUMPRODUCT((($I140+COLUMN($N$3:$DU$3)-COLUMN($N$3))&gt;='KALENDER MINGGU'!$B$13)*(($I140+COLUMN($N$3:$DU$3)-COLUMN($N$3))&lt;='KALENDER MINGGU'!$C$13)*(N140:DU140))/F140*H140</f>
        <v>0.28270039657523754</v>
      </c>
      <c r="ED140" s="210">
        <f>SUMPRODUCT((($I140+COLUMN($N$3:$DU$3)-COLUMN($N$3))&gt;='KALENDER MINGGU'!$B$14)*(($I140+COLUMN($N$3:$DU$3)-COLUMN($N$3))&lt;='KALENDER MINGGU'!$C$14)*(N140:DU140))/F140*H140</f>
        <v>0</v>
      </c>
      <c r="EE140" s="210">
        <f>SUMPRODUCT((($I140+COLUMN($N$3:$DU$3)-COLUMN($N$3))&gt;='KALENDER MINGGU'!$B$15)*(($I140+COLUMN($N$3:$DU$3)-COLUMN($N$3))&lt;='KALENDER MINGGU'!$C$15)*(N140:DU140))/F140*H140</f>
        <v>0</v>
      </c>
      <c r="EF140" s="210">
        <f>SUMPRODUCT((($I140+COLUMN($N$3:$DU$3)-COLUMN($N$3))&gt;='KALENDER MINGGU'!$B$16)*(($I140+COLUMN($N$3:$DU$3)-COLUMN($N$3))&lt;='KALENDER MINGGU'!$C$16)*(N140:DU140))/F140*H140</f>
        <v>0</v>
      </c>
      <c r="EG140" s="210">
        <f>SUMPRODUCT((($I140+COLUMN($N$3:$DU$3)-COLUMN($N$3))&gt;='KALENDER MINGGU'!$B$17)*(($I140+COLUMN($N$3:$DU$3)-COLUMN($N$3))&lt;='KALENDER MINGGU'!$C$17)*(N140:DU140))/F140*H140</f>
        <v>0</v>
      </c>
      <c r="EH140" s="210">
        <f>SUMPRODUCT((($I140+COLUMN($N$3:$DU$3)-COLUMN($N$3))&gt;='KALENDER MINGGU'!$B$18)*(($I140+COLUMN($N$3:$DU$3)-COLUMN($N$3))&lt;='KALENDER MINGGU'!$C$18)*(N140:DU140))/F140*H140</f>
        <v>0</v>
      </c>
      <c r="EI140" s="210">
        <f>SUMPRODUCT((($I140+COLUMN($N$3:$DU$3)-COLUMN($N$3))&gt;='KALENDER MINGGU'!$B$19)*(($I140+COLUMN($N$3:$DU$3)-COLUMN($N$3))&lt;='KALENDER MINGGU'!$C$19)*(N140:DU140))/F140*H140</f>
        <v>0</v>
      </c>
      <c r="EJ140" s="210">
        <f>SUMPRODUCT((($I140+COLUMN($N$3:$DU$3)-COLUMN($N$3))&gt;='KALENDER MINGGU'!$B$20)*(($I140+COLUMN($N$3:$DU$3)-COLUMN($N$3))&lt;='KALENDER MINGGU'!$C$20)*(N140:DU140))/F140*H140</f>
        <v>0</v>
      </c>
      <c r="EK140" s="210">
        <f>SUMPRODUCT((($I140+COLUMN($N$3:$DU$3)-COLUMN($N$3))&gt;='KALENDER MINGGU'!$B$21)*(($I140+COLUMN($N$3:$DU$3)-COLUMN($N$3))&lt;='KALENDER MINGGU'!$C$21)*(N140:DU140))/F140*H140</f>
        <v>0</v>
      </c>
    </row>
    <row r="141" spans="1:141" ht="21.75" customHeight="1" x14ac:dyDescent="0.2">
      <c r="A141" s="208">
        <v>137</v>
      </c>
      <c r="B141" s="208">
        <v>244</v>
      </c>
      <c r="C141" s="208" t="str">
        <f>IF(B141&lt;160,'BOBOT PEK'!$B$4,IF(B141&lt;207,'BOBOT PEK'!$B$160,'BOBOT PEK'!$B$207))</f>
        <v>Toko OT 24 Jam</v>
      </c>
      <c r="D141" s="208" t="s">
        <v>112</v>
      </c>
      <c r="E141" s="214" t="str">
        <f>'BOBOT PEK'!C244</f>
        <v>Fasad
rangka + MMT + lighting 50w</v>
      </c>
      <c r="F141" s="209">
        <f>IF(OR('BOBOT PEK'!E244="",'BOBOT PEK'!E244=0),1,'BOBOT PEK'!E244)</f>
        <v>8</v>
      </c>
      <c r="G141" s="208" t="str">
        <f>IF('BOBOT PEK'!F244="","ls",'BOBOT PEK'!F244)</f>
        <v>m2</v>
      </c>
      <c r="H141" s="210">
        <f>'BOBOT PEK'!J244</f>
        <v>9.3124836518901771E-2</v>
      </c>
      <c r="I141" s="211">
        <f>'KALENDER MINGGU'!$B$3</f>
        <v>46226</v>
      </c>
      <c r="J141" s="209">
        <f t="shared" si="16"/>
        <v>0</v>
      </c>
      <c r="K141" s="209">
        <f t="shared" si="17"/>
        <v>8</v>
      </c>
      <c r="L141" s="212">
        <f t="shared" si="18"/>
        <v>0</v>
      </c>
      <c r="M141" s="208" t="str">
        <f t="shared" si="19"/>
        <v>OK</v>
      </c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3"/>
      <c r="AC141" s="213"/>
      <c r="AD141" s="213"/>
      <c r="AE141" s="213"/>
      <c r="AF141" s="213"/>
      <c r="AG141" s="213"/>
      <c r="AH141" s="213"/>
      <c r="AI141" s="213"/>
      <c r="AJ141" s="213"/>
      <c r="AK141" s="213"/>
      <c r="AL141" s="213"/>
      <c r="AM141" s="213"/>
      <c r="AN141" s="213"/>
      <c r="AO141" s="213"/>
      <c r="AP141" s="213"/>
      <c r="AQ141" s="213"/>
      <c r="AR141" s="213"/>
      <c r="AS141" s="213"/>
      <c r="AT141" s="213"/>
      <c r="AU141" s="213"/>
      <c r="AV141" s="213"/>
      <c r="AW141" s="213"/>
      <c r="AX141" s="213"/>
      <c r="AY141" s="213"/>
      <c r="AZ141" s="213"/>
      <c r="BA141" s="213"/>
      <c r="BB141" s="213"/>
      <c r="BC141" s="213"/>
      <c r="BD141" s="213"/>
      <c r="BE141" s="213"/>
      <c r="BF141" s="213"/>
      <c r="BG141" s="213"/>
      <c r="BH141" s="213"/>
      <c r="BI141" s="213"/>
      <c r="BJ141" s="213"/>
      <c r="BK141" s="213"/>
      <c r="BL141" s="213"/>
      <c r="BM141" s="213"/>
      <c r="BN141" s="213"/>
      <c r="BO141" s="213"/>
      <c r="BP141" s="213"/>
      <c r="BQ141" s="213"/>
      <c r="BR141" s="213"/>
      <c r="BS141" s="213"/>
      <c r="BT141" s="213"/>
      <c r="BU141" s="213"/>
      <c r="BV141" s="213"/>
      <c r="BW141" s="213"/>
      <c r="BX141" s="213"/>
      <c r="BY141" s="213"/>
      <c r="BZ141" s="213"/>
      <c r="CA141" s="213"/>
      <c r="CB141" s="213"/>
      <c r="CC141" s="213"/>
      <c r="CD141" s="213"/>
      <c r="CE141" s="213"/>
      <c r="CF141" s="213"/>
      <c r="CG141" s="213"/>
      <c r="CH141" s="213"/>
      <c r="CI141" s="213"/>
      <c r="CJ141" s="213"/>
      <c r="CK141" s="213"/>
      <c r="CL141" s="213"/>
      <c r="CM141" s="213"/>
      <c r="CN141" s="213"/>
      <c r="CO141" s="213"/>
      <c r="CP141" s="213"/>
      <c r="CQ141" s="213"/>
      <c r="CR141" s="213"/>
      <c r="CS141" s="213"/>
      <c r="CT141" s="213"/>
      <c r="CU141" s="213"/>
      <c r="CV141" s="213"/>
      <c r="CW141" s="213"/>
      <c r="CX141" s="213"/>
      <c r="CY141" s="213"/>
      <c r="CZ141" s="213"/>
      <c r="DA141" s="213"/>
      <c r="DB141" s="213"/>
      <c r="DC141" s="213"/>
      <c r="DD141" s="213"/>
      <c r="DE141" s="213"/>
      <c r="DF141" s="213"/>
      <c r="DG141" s="213"/>
      <c r="DH141" s="213"/>
      <c r="DI141" s="213"/>
      <c r="DJ141" s="213"/>
      <c r="DK141" s="213"/>
      <c r="DL141" s="213"/>
      <c r="DM141" s="213"/>
      <c r="DN141" s="213"/>
      <c r="DO141" s="213"/>
      <c r="DP141" s="213"/>
      <c r="DQ141" s="213"/>
      <c r="DR141" s="213"/>
      <c r="DS141" s="213"/>
      <c r="DT141" s="213"/>
      <c r="DU141" s="213"/>
      <c r="DV141" s="210">
        <f>SUMPRODUCT((($I141+COLUMN($N$3:$DU$3)-COLUMN($N$3))&gt;='KALENDER MINGGU'!$B$6)*(($I141+COLUMN($N$3:$DU$3)-COLUMN($N$3))&lt;='KALENDER MINGGU'!$C$6)*(N141:DU141))/F141*H141</f>
        <v>0</v>
      </c>
      <c r="DW141" s="210">
        <f>SUMPRODUCT((($I141+COLUMN($N$3:$DU$3)-COLUMN($N$3))&gt;='KALENDER MINGGU'!$B$7)*(($I141+COLUMN($N$3:$DU$3)-COLUMN($N$3))&lt;='KALENDER MINGGU'!$C$7)*(N141:DU141))/F141*H141</f>
        <v>0</v>
      </c>
      <c r="DX141" s="210">
        <f>SUMPRODUCT((($I141+COLUMN($N$3:$DU$3)-COLUMN($N$3))&gt;='KALENDER MINGGU'!$B$8)*(($I141+COLUMN($N$3:$DU$3)-COLUMN($N$3))&lt;='KALENDER MINGGU'!$C$8)*(N141:DU141))/F141*H141</f>
        <v>0</v>
      </c>
      <c r="DY141" s="210">
        <f>SUMPRODUCT((($I141+COLUMN($N$3:$DU$3)-COLUMN($N$3))&gt;='KALENDER MINGGU'!$B$9)*(($I141+COLUMN($N$3:$DU$3)-COLUMN($N$3))&lt;='KALENDER MINGGU'!$C$9)*(N141:DU141))/F141*H141</f>
        <v>0</v>
      </c>
      <c r="DZ141" s="210">
        <f>SUMPRODUCT((($I141+COLUMN($N$3:$DU$3)-COLUMN($N$3))&gt;='KALENDER MINGGU'!$B$10)*(($I141+COLUMN($N$3:$DU$3)-COLUMN($N$3))&lt;='KALENDER MINGGU'!$C$10)*(N141:DU141))/F141*H141</f>
        <v>0</v>
      </c>
      <c r="EA141" s="210">
        <f>SUMPRODUCT((($I141+COLUMN($N$3:$DU$3)-COLUMN($N$3))&gt;='KALENDER MINGGU'!$B$11)*(($I141+COLUMN($N$3:$DU$3)-COLUMN($N$3))&lt;='KALENDER MINGGU'!$C$11)*(N141:DU141))/F141*H141</f>
        <v>0</v>
      </c>
      <c r="EB141" s="210">
        <f>SUMPRODUCT((($I141+COLUMN($N$3:$DU$3)-COLUMN($N$3))&gt;='KALENDER MINGGU'!$B$12)*(($I141+COLUMN($N$3:$DU$3)-COLUMN($N$3))&lt;='KALENDER MINGGU'!$C$12)*(N141:DU141))/F141*H141</f>
        <v>0</v>
      </c>
      <c r="EC141" s="210">
        <f>SUMPRODUCT((($I141+COLUMN($N$3:$DU$3)-COLUMN($N$3))&gt;='KALENDER MINGGU'!$B$13)*(($I141+COLUMN($N$3:$DU$3)-COLUMN($N$3))&lt;='KALENDER MINGGU'!$C$13)*(N141:DU141))/F141*H141</f>
        <v>0</v>
      </c>
      <c r="ED141" s="210">
        <f>SUMPRODUCT((($I141+COLUMN($N$3:$DU$3)-COLUMN($N$3))&gt;='KALENDER MINGGU'!$B$14)*(($I141+COLUMN($N$3:$DU$3)-COLUMN($N$3))&lt;='KALENDER MINGGU'!$C$14)*(N141:DU141))/F141*H141</f>
        <v>0</v>
      </c>
      <c r="EE141" s="210">
        <f>SUMPRODUCT((($I141+COLUMN($N$3:$DU$3)-COLUMN($N$3))&gt;='KALENDER MINGGU'!$B$15)*(($I141+COLUMN($N$3:$DU$3)-COLUMN($N$3))&lt;='KALENDER MINGGU'!$C$15)*(N141:DU141))/F141*H141</f>
        <v>0</v>
      </c>
      <c r="EF141" s="210">
        <f>SUMPRODUCT((($I141+COLUMN($N$3:$DU$3)-COLUMN($N$3))&gt;='KALENDER MINGGU'!$B$16)*(($I141+COLUMN($N$3:$DU$3)-COLUMN($N$3))&lt;='KALENDER MINGGU'!$C$16)*(N141:DU141))/F141*H141</f>
        <v>0</v>
      </c>
      <c r="EG141" s="210">
        <f>SUMPRODUCT((($I141+COLUMN($N$3:$DU$3)-COLUMN($N$3))&gt;='KALENDER MINGGU'!$B$17)*(($I141+COLUMN($N$3:$DU$3)-COLUMN($N$3))&lt;='KALENDER MINGGU'!$C$17)*(N141:DU141))/F141*H141</f>
        <v>0</v>
      </c>
      <c r="EH141" s="210">
        <f>SUMPRODUCT((($I141+COLUMN($N$3:$DU$3)-COLUMN($N$3))&gt;='KALENDER MINGGU'!$B$18)*(($I141+COLUMN($N$3:$DU$3)-COLUMN($N$3))&lt;='KALENDER MINGGU'!$C$18)*(N141:DU141))/F141*H141</f>
        <v>0</v>
      </c>
      <c r="EI141" s="210">
        <f>SUMPRODUCT((($I141+COLUMN($N$3:$DU$3)-COLUMN($N$3))&gt;='KALENDER MINGGU'!$B$19)*(($I141+COLUMN($N$3:$DU$3)-COLUMN($N$3))&lt;='KALENDER MINGGU'!$C$19)*(N141:DU141))/F141*H141</f>
        <v>0</v>
      </c>
      <c r="EJ141" s="210">
        <f>SUMPRODUCT((($I141+COLUMN($N$3:$DU$3)-COLUMN($N$3))&gt;='KALENDER MINGGU'!$B$20)*(($I141+COLUMN($N$3:$DU$3)-COLUMN($N$3))&lt;='KALENDER MINGGU'!$C$20)*(N141:DU141))/F141*H141</f>
        <v>0</v>
      </c>
      <c r="EK141" s="210">
        <f>SUMPRODUCT((($I141+COLUMN($N$3:$DU$3)-COLUMN($N$3))&gt;='KALENDER MINGGU'!$B$21)*(($I141+COLUMN($N$3:$DU$3)-COLUMN($N$3))&lt;='KALENDER MINGGU'!$C$21)*(N141:DU141))/F141*H141</f>
        <v>0</v>
      </c>
    </row>
    <row r="142" spans="1:141" ht="21.75" customHeight="1" x14ac:dyDescent="0.2">
      <c r="A142" s="208">
        <v>138</v>
      </c>
      <c r="B142" s="208">
        <v>245</v>
      </c>
      <c r="C142" s="208" t="str">
        <f>IF(B142&lt;160,'BOBOT PEK'!$B$4,IF(B142&lt;207,'BOBOT PEK'!$B$160,'BOBOT PEK'!$B$207))</f>
        <v>Toko OT 24 Jam</v>
      </c>
      <c r="D142" s="208" t="s">
        <v>112</v>
      </c>
      <c r="E142" s="214" t="str">
        <f>'BOBOT PEK'!C245</f>
        <v>Signage
neon box</v>
      </c>
      <c r="F142" s="209">
        <f>IF(OR('BOBOT PEK'!E245="",'BOBOT PEK'!E245=0),1,'BOBOT PEK'!E245)</f>
        <v>1</v>
      </c>
      <c r="G142" s="208" t="str">
        <f>IF('BOBOT PEK'!F245="","ls",'BOBOT PEK'!F245)</f>
        <v>ls</v>
      </c>
      <c r="H142" s="210">
        <f>'BOBOT PEK'!J245</f>
        <v>0.20466997037121271</v>
      </c>
      <c r="I142" s="211">
        <f>'KALENDER MINGGU'!$B$3</f>
        <v>46226</v>
      </c>
      <c r="J142" s="209">
        <f t="shared" si="16"/>
        <v>0</v>
      </c>
      <c r="K142" s="209">
        <f t="shared" si="17"/>
        <v>1</v>
      </c>
      <c r="L142" s="212">
        <f t="shared" si="18"/>
        <v>0</v>
      </c>
      <c r="M142" s="208" t="str">
        <f t="shared" si="19"/>
        <v>OK</v>
      </c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3"/>
      <c r="AC142" s="213"/>
      <c r="AD142" s="213"/>
      <c r="AE142" s="213"/>
      <c r="AF142" s="213"/>
      <c r="AG142" s="213"/>
      <c r="AH142" s="213"/>
      <c r="AI142" s="213"/>
      <c r="AJ142" s="213"/>
      <c r="AK142" s="213"/>
      <c r="AL142" s="213"/>
      <c r="AM142" s="213"/>
      <c r="AN142" s="213"/>
      <c r="AO142" s="213"/>
      <c r="AP142" s="213"/>
      <c r="AQ142" s="213"/>
      <c r="AR142" s="213"/>
      <c r="AS142" s="213"/>
      <c r="AT142" s="213"/>
      <c r="AU142" s="213"/>
      <c r="AV142" s="213"/>
      <c r="AW142" s="213"/>
      <c r="AX142" s="213"/>
      <c r="AY142" s="213"/>
      <c r="AZ142" s="213"/>
      <c r="BA142" s="213"/>
      <c r="BB142" s="213"/>
      <c r="BC142" s="213"/>
      <c r="BD142" s="213"/>
      <c r="BE142" s="213"/>
      <c r="BF142" s="213"/>
      <c r="BG142" s="213"/>
      <c r="BH142" s="213"/>
      <c r="BI142" s="213"/>
      <c r="BJ142" s="213"/>
      <c r="BK142" s="213"/>
      <c r="BL142" s="213"/>
      <c r="BM142" s="213"/>
      <c r="BN142" s="213"/>
      <c r="BO142" s="213"/>
      <c r="BP142" s="213"/>
      <c r="BQ142" s="213"/>
      <c r="BR142" s="213"/>
      <c r="BS142" s="213"/>
      <c r="BT142" s="213"/>
      <c r="BU142" s="213"/>
      <c r="BV142" s="213"/>
      <c r="BW142" s="213"/>
      <c r="BX142" s="213"/>
      <c r="BY142" s="213"/>
      <c r="BZ142" s="213"/>
      <c r="CA142" s="213"/>
      <c r="CB142" s="213"/>
      <c r="CC142" s="213"/>
      <c r="CD142" s="213"/>
      <c r="CE142" s="213"/>
      <c r="CF142" s="213"/>
      <c r="CG142" s="213"/>
      <c r="CH142" s="213"/>
      <c r="CI142" s="213"/>
      <c r="CJ142" s="213"/>
      <c r="CK142" s="213"/>
      <c r="CL142" s="213"/>
      <c r="CM142" s="213"/>
      <c r="CN142" s="213"/>
      <c r="CO142" s="213"/>
      <c r="CP142" s="213"/>
      <c r="CQ142" s="213"/>
      <c r="CR142" s="213"/>
      <c r="CS142" s="213"/>
      <c r="CT142" s="213"/>
      <c r="CU142" s="213"/>
      <c r="CV142" s="213"/>
      <c r="CW142" s="213"/>
      <c r="CX142" s="213"/>
      <c r="CY142" s="213"/>
      <c r="CZ142" s="213"/>
      <c r="DA142" s="213"/>
      <c r="DB142" s="213"/>
      <c r="DC142" s="213"/>
      <c r="DD142" s="213"/>
      <c r="DE142" s="213"/>
      <c r="DF142" s="213"/>
      <c r="DG142" s="213"/>
      <c r="DH142" s="213"/>
      <c r="DI142" s="213"/>
      <c r="DJ142" s="213"/>
      <c r="DK142" s="213"/>
      <c r="DL142" s="213"/>
      <c r="DM142" s="213"/>
      <c r="DN142" s="213"/>
      <c r="DO142" s="213"/>
      <c r="DP142" s="213"/>
      <c r="DQ142" s="213"/>
      <c r="DR142" s="213"/>
      <c r="DS142" s="213"/>
      <c r="DT142" s="213"/>
      <c r="DU142" s="213"/>
      <c r="DV142" s="210">
        <f>SUMPRODUCT((($I142+COLUMN($N$3:$DU$3)-COLUMN($N$3))&gt;='KALENDER MINGGU'!$B$6)*(($I142+COLUMN($N$3:$DU$3)-COLUMN($N$3))&lt;='KALENDER MINGGU'!$C$6)*(N142:DU142))/F142*H142</f>
        <v>0</v>
      </c>
      <c r="DW142" s="210">
        <f>SUMPRODUCT((($I142+COLUMN($N$3:$DU$3)-COLUMN($N$3))&gt;='KALENDER MINGGU'!$B$7)*(($I142+COLUMN($N$3:$DU$3)-COLUMN($N$3))&lt;='KALENDER MINGGU'!$C$7)*(N142:DU142))/F142*H142</f>
        <v>0</v>
      </c>
      <c r="DX142" s="210">
        <f>SUMPRODUCT((($I142+COLUMN($N$3:$DU$3)-COLUMN($N$3))&gt;='KALENDER MINGGU'!$B$8)*(($I142+COLUMN($N$3:$DU$3)-COLUMN($N$3))&lt;='KALENDER MINGGU'!$C$8)*(N142:DU142))/F142*H142</f>
        <v>0</v>
      </c>
      <c r="DY142" s="210">
        <f>SUMPRODUCT((($I142+COLUMN($N$3:$DU$3)-COLUMN($N$3))&gt;='KALENDER MINGGU'!$B$9)*(($I142+COLUMN($N$3:$DU$3)-COLUMN($N$3))&lt;='KALENDER MINGGU'!$C$9)*(N142:DU142))/F142*H142</f>
        <v>0</v>
      </c>
      <c r="DZ142" s="210">
        <f>SUMPRODUCT((($I142+COLUMN($N$3:$DU$3)-COLUMN($N$3))&gt;='KALENDER MINGGU'!$B$10)*(($I142+COLUMN($N$3:$DU$3)-COLUMN($N$3))&lt;='KALENDER MINGGU'!$C$10)*(N142:DU142))/F142*H142</f>
        <v>0</v>
      </c>
      <c r="EA142" s="210">
        <f>SUMPRODUCT((($I142+COLUMN($N$3:$DU$3)-COLUMN($N$3))&gt;='KALENDER MINGGU'!$B$11)*(($I142+COLUMN($N$3:$DU$3)-COLUMN($N$3))&lt;='KALENDER MINGGU'!$C$11)*(N142:DU142))/F142*H142</f>
        <v>0</v>
      </c>
      <c r="EB142" s="210">
        <f>SUMPRODUCT((($I142+COLUMN($N$3:$DU$3)-COLUMN($N$3))&gt;='KALENDER MINGGU'!$B$12)*(($I142+COLUMN($N$3:$DU$3)-COLUMN($N$3))&lt;='KALENDER MINGGU'!$C$12)*(N142:DU142))/F142*H142</f>
        <v>0</v>
      </c>
      <c r="EC142" s="210">
        <f>SUMPRODUCT((($I142+COLUMN($N$3:$DU$3)-COLUMN($N$3))&gt;='KALENDER MINGGU'!$B$13)*(($I142+COLUMN($N$3:$DU$3)-COLUMN($N$3))&lt;='KALENDER MINGGU'!$C$13)*(N142:DU142))/F142*H142</f>
        <v>0</v>
      </c>
      <c r="ED142" s="210">
        <f>SUMPRODUCT((($I142+COLUMN($N$3:$DU$3)-COLUMN($N$3))&gt;='KALENDER MINGGU'!$B$14)*(($I142+COLUMN($N$3:$DU$3)-COLUMN($N$3))&lt;='KALENDER MINGGU'!$C$14)*(N142:DU142))/F142*H142</f>
        <v>0</v>
      </c>
      <c r="EE142" s="210">
        <f>SUMPRODUCT((($I142+COLUMN($N$3:$DU$3)-COLUMN($N$3))&gt;='KALENDER MINGGU'!$B$15)*(($I142+COLUMN($N$3:$DU$3)-COLUMN($N$3))&lt;='KALENDER MINGGU'!$C$15)*(N142:DU142))/F142*H142</f>
        <v>0</v>
      </c>
      <c r="EF142" s="210">
        <f>SUMPRODUCT((($I142+COLUMN($N$3:$DU$3)-COLUMN($N$3))&gt;='KALENDER MINGGU'!$B$16)*(($I142+COLUMN($N$3:$DU$3)-COLUMN($N$3))&lt;='KALENDER MINGGU'!$C$16)*(N142:DU142))/F142*H142</f>
        <v>0</v>
      </c>
      <c r="EG142" s="210">
        <f>SUMPRODUCT((($I142+COLUMN($N$3:$DU$3)-COLUMN($N$3))&gt;='KALENDER MINGGU'!$B$17)*(($I142+COLUMN($N$3:$DU$3)-COLUMN($N$3))&lt;='KALENDER MINGGU'!$C$17)*(N142:DU142))/F142*H142</f>
        <v>0</v>
      </c>
      <c r="EH142" s="210">
        <f>SUMPRODUCT((($I142+COLUMN($N$3:$DU$3)-COLUMN($N$3))&gt;='KALENDER MINGGU'!$B$18)*(($I142+COLUMN($N$3:$DU$3)-COLUMN($N$3))&lt;='KALENDER MINGGU'!$C$18)*(N142:DU142))/F142*H142</f>
        <v>0</v>
      </c>
      <c r="EI142" s="210">
        <f>SUMPRODUCT((($I142+COLUMN($N$3:$DU$3)-COLUMN($N$3))&gt;='KALENDER MINGGU'!$B$19)*(($I142+COLUMN($N$3:$DU$3)-COLUMN($N$3))&lt;='KALENDER MINGGU'!$C$19)*(N142:DU142))/F142*H142</f>
        <v>0</v>
      </c>
      <c r="EJ142" s="210">
        <f>SUMPRODUCT((($I142+COLUMN($N$3:$DU$3)-COLUMN($N$3))&gt;='KALENDER MINGGU'!$B$20)*(($I142+COLUMN($N$3:$DU$3)-COLUMN($N$3))&lt;='KALENDER MINGGU'!$C$20)*(N142:DU142))/F142*H142</f>
        <v>0</v>
      </c>
      <c r="EK142" s="210">
        <f>SUMPRODUCT((($I142+COLUMN($N$3:$DU$3)-COLUMN($N$3))&gt;='KALENDER MINGGU'!$B$21)*(($I142+COLUMN($N$3:$DU$3)-COLUMN($N$3))&lt;='KALENDER MINGGU'!$C$21)*(N142:DU142))/F142*H142</f>
        <v>0</v>
      </c>
    </row>
    <row r="143" spans="1:141" ht="21.75" customHeight="1" x14ac:dyDescent="0.2">
      <c r="A143" s="208">
        <v>139</v>
      </c>
      <c r="B143" s="208">
        <v>248</v>
      </c>
      <c r="C143" s="208" t="str">
        <f>IF(B143&lt;160,'BOBOT PEK'!$B$4,IF(B143&lt;207,'BOBOT PEK'!$B$160,'BOBOT PEK'!$B$207))</f>
        <v>Toko OT 24 Jam</v>
      </c>
      <c r="D143" s="208" t="s">
        <v>122</v>
      </c>
      <c r="E143" s="214" t="str">
        <f>'BOBOT PEK'!C248</f>
        <v>Pemasangan paving area parkir
K150 6cm</v>
      </c>
      <c r="F143" s="209">
        <f>IF(OR('BOBOT PEK'!E248="",'BOBOT PEK'!E248=0),1,'BOBOT PEK'!E248)</f>
        <v>20</v>
      </c>
      <c r="G143" s="208" t="str">
        <f>IF('BOBOT PEK'!F248="","ls",'BOBOT PEK'!F248)</f>
        <v>m2</v>
      </c>
      <c r="H143" s="210">
        <f>'BOBOT PEK'!J248</f>
        <v>9.4659861296685868E-2</v>
      </c>
      <c r="I143" s="211">
        <f>'KALENDER MINGGU'!$B$3</f>
        <v>46226</v>
      </c>
      <c r="J143" s="209">
        <f t="shared" si="16"/>
        <v>4</v>
      </c>
      <c r="K143" s="209">
        <f t="shared" si="17"/>
        <v>16</v>
      </c>
      <c r="L143" s="212">
        <f t="shared" si="18"/>
        <v>0.2</v>
      </c>
      <c r="M143" s="208" t="str">
        <f t="shared" si="19"/>
        <v>OK</v>
      </c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  <c r="AB143" s="213"/>
      <c r="AC143" s="213"/>
      <c r="AD143" s="213"/>
      <c r="AE143" s="213"/>
      <c r="AF143" s="213"/>
      <c r="AG143" s="213"/>
      <c r="AH143" s="213"/>
      <c r="AI143" s="213"/>
      <c r="AJ143" s="213"/>
      <c r="AK143" s="213"/>
      <c r="AL143" s="213"/>
      <c r="AM143" s="213"/>
      <c r="AN143" s="213"/>
      <c r="AO143" s="213"/>
      <c r="AP143" s="213"/>
      <c r="AQ143" s="213"/>
      <c r="AR143" s="213"/>
      <c r="AS143" s="213"/>
      <c r="AT143" s="213"/>
      <c r="AU143" s="213"/>
      <c r="AV143" s="213">
        <f>20%*F143</f>
        <v>4</v>
      </c>
      <c r="AW143" s="213"/>
      <c r="AX143" s="213"/>
      <c r="AY143" s="213"/>
      <c r="AZ143" s="213"/>
      <c r="BA143" s="213"/>
      <c r="BB143" s="213"/>
      <c r="BC143" s="213"/>
      <c r="BD143" s="213"/>
      <c r="BE143" s="213"/>
      <c r="BF143" s="213"/>
      <c r="BG143" s="213"/>
      <c r="BH143" s="213"/>
      <c r="BI143" s="213"/>
      <c r="BJ143" s="213"/>
      <c r="BK143" s="213"/>
      <c r="BL143" s="213"/>
      <c r="BM143" s="213"/>
      <c r="BN143" s="213"/>
      <c r="BO143" s="213"/>
      <c r="BP143" s="213"/>
      <c r="BQ143" s="213"/>
      <c r="BR143" s="213"/>
      <c r="BS143" s="213"/>
      <c r="BT143" s="213"/>
      <c r="BU143" s="213"/>
      <c r="BV143" s="213"/>
      <c r="BW143" s="213"/>
      <c r="BX143" s="213"/>
      <c r="BY143" s="213"/>
      <c r="BZ143" s="213"/>
      <c r="CA143" s="213"/>
      <c r="CB143" s="213"/>
      <c r="CC143" s="213"/>
      <c r="CD143" s="213"/>
      <c r="CE143" s="213"/>
      <c r="CF143" s="213"/>
      <c r="CG143" s="213"/>
      <c r="CH143" s="213"/>
      <c r="CI143" s="213"/>
      <c r="CJ143" s="213"/>
      <c r="CK143" s="213"/>
      <c r="CL143" s="213"/>
      <c r="CM143" s="213"/>
      <c r="CN143" s="213"/>
      <c r="CO143" s="213"/>
      <c r="CP143" s="213"/>
      <c r="CQ143" s="213"/>
      <c r="CR143" s="213"/>
      <c r="CS143" s="213"/>
      <c r="CT143" s="213"/>
      <c r="CU143" s="213"/>
      <c r="CV143" s="213"/>
      <c r="CW143" s="213"/>
      <c r="CX143" s="213"/>
      <c r="CY143" s="213"/>
      <c r="CZ143" s="213"/>
      <c r="DA143" s="213"/>
      <c r="DB143" s="213"/>
      <c r="DC143" s="213"/>
      <c r="DD143" s="213"/>
      <c r="DE143" s="213"/>
      <c r="DF143" s="213"/>
      <c r="DG143" s="213"/>
      <c r="DH143" s="213"/>
      <c r="DI143" s="213"/>
      <c r="DJ143" s="213"/>
      <c r="DK143" s="213"/>
      <c r="DL143" s="213"/>
      <c r="DM143" s="213"/>
      <c r="DN143" s="213"/>
      <c r="DO143" s="213"/>
      <c r="DP143" s="213"/>
      <c r="DQ143" s="213"/>
      <c r="DR143" s="213"/>
      <c r="DS143" s="213"/>
      <c r="DT143" s="213"/>
      <c r="DU143" s="213"/>
      <c r="DV143" s="210">
        <f>SUMPRODUCT((($I143+COLUMN($N$3:$DU$3)-COLUMN($N$3))&gt;='KALENDER MINGGU'!$B$6)*(($I143+COLUMN($N$3:$DU$3)-COLUMN($N$3))&lt;='KALENDER MINGGU'!$C$6)*(N143:DU143))/F143*H143</f>
        <v>0</v>
      </c>
      <c r="DW143" s="210">
        <f>SUMPRODUCT((($I143+COLUMN($N$3:$DU$3)-COLUMN($N$3))&gt;='KALENDER MINGGU'!$B$7)*(($I143+COLUMN($N$3:$DU$3)-COLUMN($N$3))&lt;='KALENDER MINGGU'!$C$7)*(N143:DU143))/F143*H143</f>
        <v>0</v>
      </c>
      <c r="DX143" s="210">
        <f>SUMPRODUCT((($I143+COLUMN($N$3:$DU$3)-COLUMN($N$3))&gt;='KALENDER MINGGU'!$B$8)*(($I143+COLUMN($N$3:$DU$3)-COLUMN($N$3))&lt;='KALENDER MINGGU'!$C$8)*(N143:DU143))/F143*H143</f>
        <v>0</v>
      </c>
      <c r="DY143" s="210">
        <f>SUMPRODUCT((($I143+COLUMN($N$3:$DU$3)-COLUMN($N$3))&gt;='KALENDER MINGGU'!$B$9)*(($I143+COLUMN($N$3:$DU$3)-COLUMN($N$3))&lt;='KALENDER MINGGU'!$C$9)*(N143:DU143))/F143*H143</f>
        <v>0</v>
      </c>
      <c r="DZ143" s="210">
        <f>SUMPRODUCT((($I143+COLUMN($N$3:$DU$3)-COLUMN($N$3))&gt;='KALENDER MINGGU'!$B$10)*(($I143+COLUMN($N$3:$DU$3)-COLUMN($N$3))&lt;='KALENDER MINGGU'!$C$10)*(N143:DU143))/F143*H143</f>
        <v>1.8931972259337175E-2</v>
      </c>
      <c r="EA143" s="210">
        <f>SUMPRODUCT((($I143+COLUMN($N$3:$DU$3)-COLUMN($N$3))&gt;='KALENDER MINGGU'!$B$11)*(($I143+COLUMN($N$3:$DU$3)-COLUMN($N$3))&lt;='KALENDER MINGGU'!$C$11)*(N143:DU143))/F143*H143</f>
        <v>0</v>
      </c>
      <c r="EB143" s="210">
        <f>SUMPRODUCT((($I143+COLUMN($N$3:$DU$3)-COLUMN($N$3))&gt;='KALENDER MINGGU'!$B$12)*(($I143+COLUMN($N$3:$DU$3)-COLUMN($N$3))&lt;='KALENDER MINGGU'!$C$12)*(N143:DU143))/F143*H143</f>
        <v>0</v>
      </c>
      <c r="EC143" s="210">
        <f>SUMPRODUCT((($I143+COLUMN($N$3:$DU$3)-COLUMN($N$3))&gt;='KALENDER MINGGU'!$B$13)*(($I143+COLUMN($N$3:$DU$3)-COLUMN($N$3))&lt;='KALENDER MINGGU'!$C$13)*(N143:DU143))/F143*H143</f>
        <v>0</v>
      </c>
      <c r="ED143" s="210">
        <f>SUMPRODUCT((($I143+COLUMN($N$3:$DU$3)-COLUMN($N$3))&gt;='KALENDER MINGGU'!$B$14)*(($I143+COLUMN($N$3:$DU$3)-COLUMN($N$3))&lt;='KALENDER MINGGU'!$C$14)*(N143:DU143))/F143*H143</f>
        <v>0</v>
      </c>
      <c r="EE143" s="210">
        <f>SUMPRODUCT((($I143+COLUMN($N$3:$DU$3)-COLUMN($N$3))&gt;='KALENDER MINGGU'!$B$15)*(($I143+COLUMN($N$3:$DU$3)-COLUMN($N$3))&lt;='KALENDER MINGGU'!$C$15)*(N143:DU143))/F143*H143</f>
        <v>0</v>
      </c>
      <c r="EF143" s="210">
        <f>SUMPRODUCT((($I143+COLUMN($N$3:$DU$3)-COLUMN($N$3))&gt;='KALENDER MINGGU'!$B$16)*(($I143+COLUMN($N$3:$DU$3)-COLUMN($N$3))&lt;='KALENDER MINGGU'!$C$16)*(N143:DU143))/F143*H143</f>
        <v>0</v>
      </c>
      <c r="EG143" s="210">
        <f>SUMPRODUCT((($I143+COLUMN($N$3:$DU$3)-COLUMN($N$3))&gt;='KALENDER MINGGU'!$B$17)*(($I143+COLUMN($N$3:$DU$3)-COLUMN($N$3))&lt;='KALENDER MINGGU'!$C$17)*(N143:DU143))/F143*H143</f>
        <v>0</v>
      </c>
      <c r="EH143" s="210">
        <f>SUMPRODUCT((($I143+COLUMN($N$3:$DU$3)-COLUMN($N$3))&gt;='KALENDER MINGGU'!$B$18)*(($I143+COLUMN($N$3:$DU$3)-COLUMN($N$3))&lt;='KALENDER MINGGU'!$C$18)*(N143:DU143))/F143*H143</f>
        <v>0</v>
      </c>
      <c r="EI143" s="210">
        <f>SUMPRODUCT((($I143+COLUMN($N$3:$DU$3)-COLUMN($N$3))&gt;='KALENDER MINGGU'!$B$19)*(($I143+COLUMN($N$3:$DU$3)-COLUMN($N$3))&lt;='KALENDER MINGGU'!$C$19)*(N143:DU143))/F143*H143</f>
        <v>0</v>
      </c>
      <c r="EJ143" s="210">
        <f>SUMPRODUCT((($I143+COLUMN($N$3:$DU$3)-COLUMN($N$3))&gt;='KALENDER MINGGU'!$B$20)*(($I143+COLUMN($N$3:$DU$3)-COLUMN($N$3))&lt;='KALENDER MINGGU'!$C$20)*(N143:DU143))/F143*H143</f>
        <v>0</v>
      </c>
      <c r="EK143" s="210">
        <f>SUMPRODUCT((($I143+COLUMN($N$3:$DU$3)-COLUMN($N$3))&gt;='KALENDER MINGGU'!$B$21)*(($I143+COLUMN($N$3:$DU$3)-COLUMN($N$3))&lt;='KALENDER MINGGU'!$C$21)*(N143:DU143))/F143*H143</f>
        <v>0</v>
      </c>
    </row>
    <row r="144" spans="1:141" ht="15" customHeight="1" x14ac:dyDescent="0.2">
      <c r="A144" s="208">
        <v>140</v>
      </c>
      <c r="B144" s="208">
        <v>249</v>
      </c>
      <c r="C144" s="208" t="str">
        <f>IF(B144&lt;160,'BOBOT PEK'!$B$4,IF(B144&lt;207,'BOBOT PEK'!$B$160,'BOBOT PEK'!$B$207))</f>
        <v>Toko OT 24 Jam</v>
      </c>
      <c r="D144" s="208" t="s">
        <v>122</v>
      </c>
      <c r="E144" s="208" t="str">
        <f>'BOBOT PEK'!C249</f>
        <v>cat garis parkir</v>
      </c>
      <c r="F144" s="209">
        <f>IF(OR('BOBOT PEK'!E249="",'BOBOT PEK'!E249=0),1,'BOBOT PEK'!E249)</f>
        <v>1</v>
      </c>
      <c r="G144" s="208" t="str">
        <f>IF('BOBOT PEK'!F249="","ls",'BOBOT PEK'!F249)</f>
        <v>ls</v>
      </c>
      <c r="H144" s="210">
        <f>'BOBOT PEK'!J249</f>
        <v>9.9776610555966198E-3</v>
      </c>
      <c r="I144" s="211">
        <f>'KALENDER MINGGU'!$B$3</f>
        <v>46226</v>
      </c>
      <c r="J144" s="209">
        <f t="shared" si="16"/>
        <v>0</v>
      </c>
      <c r="K144" s="209">
        <f t="shared" si="17"/>
        <v>1</v>
      </c>
      <c r="L144" s="212">
        <f t="shared" si="18"/>
        <v>0</v>
      </c>
      <c r="M144" s="208" t="str">
        <f t="shared" si="19"/>
        <v>OK</v>
      </c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  <c r="AB144" s="213"/>
      <c r="AC144" s="213"/>
      <c r="AD144" s="213"/>
      <c r="AE144" s="213"/>
      <c r="AF144" s="213"/>
      <c r="AG144" s="213"/>
      <c r="AH144" s="213"/>
      <c r="AI144" s="213"/>
      <c r="AJ144" s="213"/>
      <c r="AK144" s="213"/>
      <c r="AL144" s="213"/>
      <c r="AM144" s="213"/>
      <c r="AN144" s="213"/>
      <c r="AO144" s="213"/>
      <c r="AP144" s="213"/>
      <c r="AQ144" s="213"/>
      <c r="AR144" s="213"/>
      <c r="AS144" s="213"/>
      <c r="AT144" s="213"/>
      <c r="AU144" s="213"/>
      <c r="AV144" s="213"/>
      <c r="AW144" s="213"/>
      <c r="AX144" s="213"/>
      <c r="AY144" s="213"/>
      <c r="AZ144" s="213"/>
      <c r="BA144" s="213"/>
      <c r="BB144" s="213"/>
      <c r="BC144" s="213"/>
      <c r="BD144" s="213"/>
      <c r="BE144" s="213"/>
      <c r="BF144" s="213"/>
      <c r="BG144" s="213"/>
      <c r="BH144" s="213"/>
      <c r="BI144" s="213"/>
      <c r="BJ144" s="213"/>
      <c r="BK144" s="213"/>
      <c r="BL144" s="213"/>
      <c r="BM144" s="213"/>
      <c r="BN144" s="213"/>
      <c r="BO144" s="213"/>
      <c r="BP144" s="213"/>
      <c r="BQ144" s="213"/>
      <c r="BR144" s="213"/>
      <c r="BS144" s="213"/>
      <c r="BT144" s="213"/>
      <c r="BU144" s="213"/>
      <c r="BV144" s="213"/>
      <c r="BW144" s="213"/>
      <c r="BX144" s="213"/>
      <c r="BY144" s="213"/>
      <c r="BZ144" s="213"/>
      <c r="CA144" s="213"/>
      <c r="CB144" s="213"/>
      <c r="CC144" s="213"/>
      <c r="CD144" s="213"/>
      <c r="CE144" s="213"/>
      <c r="CF144" s="213"/>
      <c r="CG144" s="213"/>
      <c r="CH144" s="213"/>
      <c r="CI144" s="213"/>
      <c r="CJ144" s="213"/>
      <c r="CK144" s="213"/>
      <c r="CL144" s="213"/>
      <c r="CM144" s="213"/>
      <c r="CN144" s="213"/>
      <c r="CO144" s="213"/>
      <c r="CP144" s="213"/>
      <c r="CQ144" s="213"/>
      <c r="CR144" s="213"/>
      <c r="CS144" s="213"/>
      <c r="CT144" s="213"/>
      <c r="CU144" s="213"/>
      <c r="CV144" s="213"/>
      <c r="CW144" s="213"/>
      <c r="CX144" s="213"/>
      <c r="CY144" s="213"/>
      <c r="CZ144" s="213"/>
      <c r="DA144" s="213"/>
      <c r="DB144" s="213"/>
      <c r="DC144" s="213"/>
      <c r="DD144" s="213"/>
      <c r="DE144" s="213"/>
      <c r="DF144" s="213"/>
      <c r="DG144" s="213"/>
      <c r="DH144" s="213"/>
      <c r="DI144" s="213"/>
      <c r="DJ144" s="213"/>
      <c r="DK144" s="213"/>
      <c r="DL144" s="213"/>
      <c r="DM144" s="213"/>
      <c r="DN144" s="213"/>
      <c r="DO144" s="213"/>
      <c r="DP144" s="213"/>
      <c r="DQ144" s="213"/>
      <c r="DR144" s="213"/>
      <c r="DS144" s="213"/>
      <c r="DT144" s="213"/>
      <c r="DU144" s="213"/>
      <c r="DV144" s="210">
        <f>SUMPRODUCT((($I144+COLUMN($N$3:$DU$3)-COLUMN($N$3))&gt;='KALENDER MINGGU'!$B$6)*(($I144+COLUMN($N$3:$DU$3)-COLUMN($N$3))&lt;='KALENDER MINGGU'!$C$6)*(N144:DU144))/F144*H144</f>
        <v>0</v>
      </c>
      <c r="DW144" s="210">
        <f>SUMPRODUCT((($I144+COLUMN($N$3:$DU$3)-COLUMN($N$3))&gt;='KALENDER MINGGU'!$B$7)*(($I144+COLUMN($N$3:$DU$3)-COLUMN($N$3))&lt;='KALENDER MINGGU'!$C$7)*(N144:DU144))/F144*H144</f>
        <v>0</v>
      </c>
      <c r="DX144" s="210">
        <f>SUMPRODUCT((($I144+COLUMN($N$3:$DU$3)-COLUMN($N$3))&gt;='KALENDER MINGGU'!$B$8)*(($I144+COLUMN($N$3:$DU$3)-COLUMN($N$3))&lt;='KALENDER MINGGU'!$C$8)*(N144:DU144))/F144*H144</f>
        <v>0</v>
      </c>
      <c r="DY144" s="210">
        <f>SUMPRODUCT((($I144+COLUMN($N$3:$DU$3)-COLUMN($N$3))&gt;='KALENDER MINGGU'!$B$9)*(($I144+COLUMN($N$3:$DU$3)-COLUMN($N$3))&lt;='KALENDER MINGGU'!$C$9)*(N144:DU144))/F144*H144</f>
        <v>0</v>
      </c>
      <c r="DZ144" s="210">
        <f>SUMPRODUCT((($I144+COLUMN($N$3:$DU$3)-COLUMN($N$3))&gt;='KALENDER MINGGU'!$B$10)*(($I144+COLUMN($N$3:$DU$3)-COLUMN($N$3))&lt;='KALENDER MINGGU'!$C$10)*(N144:DU144))/F144*H144</f>
        <v>0</v>
      </c>
      <c r="EA144" s="210">
        <f>SUMPRODUCT((($I144+COLUMN($N$3:$DU$3)-COLUMN($N$3))&gt;='KALENDER MINGGU'!$B$11)*(($I144+COLUMN($N$3:$DU$3)-COLUMN($N$3))&lt;='KALENDER MINGGU'!$C$11)*(N144:DU144))/F144*H144</f>
        <v>0</v>
      </c>
      <c r="EB144" s="210">
        <f>SUMPRODUCT((($I144+COLUMN($N$3:$DU$3)-COLUMN($N$3))&gt;='KALENDER MINGGU'!$B$12)*(($I144+COLUMN($N$3:$DU$3)-COLUMN($N$3))&lt;='KALENDER MINGGU'!$C$12)*(N144:DU144))/F144*H144</f>
        <v>0</v>
      </c>
      <c r="EC144" s="210">
        <f>SUMPRODUCT((($I144+COLUMN($N$3:$DU$3)-COLUMN($N$3))&gt;='KALENDER MINGGU'!$B$13)*(($I144+COLUMN($N$3:$DU$3)-COLUMN($N$3))&lt;='KALENDER MINGGU'!$C$13)*(N144:DU144))/F144*H144</f>
        <v>0</v>
      </c>
      <c r="ED144" s="210">
        <f>SUMPRODUCT((($I144+COLUMN($N$3:$DU$3)-COLUMN($N$3))&gt;='KALENDER MINGGU'!$B$14)*(($I144+COLUMN($N$3:$DU$3)-COLUMN($N$3))&lt;='KALENDER MINGGU'!$C$14)*(N144:DU144))/F144*H144</f>
        <v>0</v>
      </c>
      <c r="EE144" s="210">
        <f>SUMPRODUCT((($I144+COLUMN($N$3:$DU$3)-COLUMN($N$3))&gt;='KALENDER MINGGU'!$B$15)*(($I144+COLUMN($N$3:$DU$3)-COLUMN($N$3))&lt;='KALENDER MINGGU'!$C$15)*(N144:DU144))/F144*H144</f>
        <v>0</v>
      </c>
      <c r="EF144" s="210">
        <f>SUMPRODUCT((($I144+COLUMN($N$3:$DU$3)-COLUMN($N$3))&gt;='KALENDER MINGGU'!$B$16)*(($I144+COLUMN($N$3:$DU$3)-COLUMN($N$3))&lt;='KALENDER MINGGU'!$C$16)*(N144:DU144))/F144*H144</f>
        <v>0</v>
      </c>
      <c r="EG144" s="210">
        <f>SUMPRODUCT((($I144+COLUMN($N$3:$DU$3)-COLUMN($N$3))&gt;='KALENDER MINGGU'!$B$17)*(($I144+COLUMN($N$3:$DU$3)-COLUMN($N$3))&lt;='KALENDER MINGGU'!$C$17)*(N144:DU144))/F144*H144</f>
        <v>0</v>
      </c>
      <c r="EH144" s="210">
        <f>SUMPRODUCT((($I144+COLUMN($N$3:$DU$3)-COLUMN($N$3))&gt;='KALENDER MINGGU'!$B$18)*(($I144+COLUMN($N$3:$DU$3)-COLUMN($N$3))&lt;='KALENDER MINGGU'!$C$18)*(N144:DU144))/F144*H144</f>
        <v>0</v>
      </c>
      <c r="EI144" s="210">
        <f>SUMPRODUCT((($I144+COLUMN($N$3:$DU$3)-COLUMN($N$3))&gt;='KALENDER MINGGU'!$B$19)*(($I144+COLUMN($N$3:$DU$3)-COLUMN($N$3))&lt;='KALENDER MINGGU'!$C$19)*(N144:DU144))/F144*H144</f>
        <v>0</v>
      </c>
      <c r="EJ144" s="210">
        <f>SUMPRODUCT((($I144+COLUMN($N$3:$DU$3)-COLUMN($N$3))&gt;='KALENDER MINGGU'!$B$20)*(($I144+COLUMN($N$3:$DU$3)-COLUMN($N$3))&lt;='KALENDER MINGGU'!$C$20)*(N144:DU144))/F144*H144</f>
        <v>0</v>
      </c>
      <c r="EK144" s="210">
        <f>SUMPRODUCT((($I144+COLUMN($N$3:$DU$3)-COLUMN($N$3))&gt;='KALENDER MINGGU'!$B$21)*(($I144+COLUMN($N$3:$DU$3)-COLUMN($N$3))&lt;='KALENDER MINGGU'!$C$21)*(N144:DU144))/F144*H144</f>
        <v>0</v>
      </c>
    </row>
    <row r="145" spans="1:141" ht="15" customHeight="1" x14ac:dyDescent="0.2">
      <c r="A145" s="208">
        <v>141</v>
      </c>
      <c r="B145" s="208">
        <v>250</v>
      </c>
      <c r="C145" s="208" t="str">
        <f>IF(B145&lt;160,'BOBOT PEK'!$B$4,IF(B145&lt;207,'BOBOT PEK'!$B$160,'BOBOT PEK'!$B$207))</f>
        <v>Toko OT 24 Jam</v>
      </c>
      <c r="D145" s="208" t="s">
        <v>122</v>
      </c>
      <c r="E145" s="208" t="str">
        <f>'BOBOT PEK'!C250</f>
        <v>penggantian atap rg tunggu driver</v>
      </c>
      <c r="F145" s="209">
        <f>IF(OR('BOBOT PEK'!E250="",'BOBOT PEK'!E250=0),1,'BOBOT PEK'!E250)</f>
        <v>30</v>
      </c>
      <c r="G145" s="208" t="str">
        <f>IF('BOBOT PEK'!F250="","ls",'BOBOT PEK'!F250)</f>
        <v>m2</v>
      </c>
      <c r="H145" s="210">
        <f>'BOBOT PEK'!J250</f>
        <v>0.19955322111193238</v>
      </c>
      <c r="I145" s="211">
        <f>'KALENDER MINGGU'!$B$3</f>
        <v>46226</v>
      </c>
      <c r="J145" s="209">
        <f t="shared" si="16"/>
        <v>0</v>
      </c>
      <c r="K145" s="209">
        <f t="shared" si="17"/>
        <v>30</v>
      </c>
      <c r="L145" s="212">
        <f t="shared" si="18"/>
        <v>0</v>
      </c>
      <c r="M145" s="208" t="str">
        <f t="shared" si="19"/>
        <v>OK</v>
      </c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  <c r="AB145" s="213"/>
      <c r="AC145" s="213"/>
      <c r="AD145" s="213"/>
      <c r="AE145" s="213"/>
      <c r="AF145" s="213"/>
      <c r="AG145" s="213"/>
      <c r="AH145" s="213"/>
      <c r="AI145" s="213"/>
      <c r="AJ145" s="213"/>
      <c r="AK145" s="213"/>
      <c r="AL145" s="213"/>
      <c r="AM145" s="213"/>
      <c r="AN145" s="213"/>
      <c r="AO145" s="213"/>
      <c r="AP145" s="213"/>
      <c r="AQ145" s="213"/>
      <c r="AR145" s="213"/>
      <c r="AS145" s="213"/>
      <c r="AT145" s="213"/>
      <c r="AU145" s="213"/>
      <c r="AV145" s="213"/>
      <c r="AW145" s="213"/>
      <c r="AX145" s="213"/>
      <c r="AY145" s="213"/>
      <c r="AZ145" s="213"/>
      <c r="BA145" s="213"/>
      <c r="BB145" s="213"/>
      <c r="BC145" s="213"/>
      <c r="BD145" s="213"/>
      <c r="BE145" s="213"/>
      <c r="BF145" s="213"/>
      <c r="BG145" s="213"/>
      <c r="BH145" s="213"/>
      <c r="BI145" s="213"/>
      <c r="BJ145" s="213"/>
      <c r="BK145" s="213"/>
      <c r="BL145" s="213"/>
      <c r="BM145" s="213"/>
      <c r="BN145" s="213"/>
      <c r="BO145" s="213"/>
      <c r="BP145" s="213"/>
      <c r="BQ145" s="213"/>
      <c r="BR145" s="213"/>
      <c r="BS145" s="213"/>
      <c r="BT145" s="213"/>
      <c r="BU145" s="213"/>
      <c r="BV145" s="213"/>
      <c r="BW145" s="213"/>
      <c r="BX145" s="213"/>
      <c r="BY145" s="213"/>
      <c r="BZ145" s="213"/>
      <c r="CA145" s="213"/>
      <c r="CB145" s="213"/>
      <c r="CC145" s="213"/>
      <c r="CD145" s="213"/>
      <c r="CE145" s="213"/>
      <c r="CF145" s="213"/>
      <c r="CG145" s="213"/>
      <c r="CH145" s="213"/>
      <c r="CI145" s="213"/>
      <c r="CJ145" s="213"/>
      <c r="CK145" s="213"/>
      <c r="CL145" s="213"/>
      <c r="CM145" s="213"/>
      <c r="CN145" s="213"/>
      <c r="CO145" s="213"/>
      <c r="CP145" s="213"/>
      <c r="CQ145" s="213"/>
      <c r="CR145" s="213"/>
      <c r="CS145" s="213"/>
      <c r="CT145" s="213"/>
      <c r="CU145" s="213"/>
      <c r="CV145" s="213"/>
      <c r="CW145" s="213"/>
      <c r="CX145" s="213"/>
      <c r="CY145" s="213"/>
      <c r="CZ145" s="213"/>
      <c r="DA145" s="213"/>
      <c r="DB145" s="213"/>
      <c r="DC145" s="213"/>
      <c r="DD145" s="213"/>
      <c r="DE145" s="213"/>
      <c r="DF145" s="213"/>
      <c r="DG145" s="213"/>
      <c r="DH145" s="213"/>
      <c r="DI145" s="213"/>
      <c r="DJ145" s="213"/>
      <c r="DK145" s="213"/>
      <c r="DL145" s="213"/>
      <c r="DM145" s="213"/>
      <c r="DN145" s="213"/>
      <c r="DO145" s="213"/>
      <c r="DP145" s="213"/>
      <c r="DQ145" s="213"/>
      <c r="DR145" s="213"/>
      <c r="DS145" s="213"/>
      <c r="DT145" s="213"/>
      <c r="DU145" s="213"/>
      <c r="DV145" s="210">
        <f>SUMPRODUCT((($I145+COLUMN($N$3:$DU$3)-COLUMN($N$3))&gt;='KALENDER MINGGU'!$B$6)*(($I145+COLUMN($N$3:$DU$3)-COLUMN($N$3))&lt;='KALENDER MINGGU'!$C$6)*(N145:DU145))/F145*H145</f>
        <v>0</v>
      </c>
      <c r="DW145" s="210">
        <f>SUMPRODUCT((($I145+COLUMN($N$3:$DU$3)-COLUMN($N$3))&gt;='KALENDER MINGGU'!$B$7)*(($I145+COLUMN($N$3:$DU$3)-COLUMN($N$3))&lt;='KALENDER MINGGU'!$C$7)*(N145:DU145))/F145*H145</f>
        <v>0</v>
      </c>
      <c r="DX145" s="210">
        <f>SUMPRODUCT((($I145+COLUMN($N$3:$DU$3)-COLUMN($N$3))&gt;='KALENDER MINGGU'!$B$8)*(($I145+COLUMN($N$3:$DU$3)-COLUMN($N$3))&lt;='KALENDER MINGGU'!$C$8)*(N145:DU145))/F145*H145</f>
        <v>0</v>
      </c>
      <c r="DY145" s="210">
        <f>SUMPRODUCT((($I145+COLUMN($N$3:$DU$3)-COLUMN($N$3))&gt;='KALENDER MINGGU'!$B$9)*(($I145+COLUMN($N$3:$DU$3)-COLUMN($N$3))&lt;='KALENDER MINGGU'!$C$9)*(N145:DU145))/F145*H145</f>
        <v>0</v>
      </c>
      <c r="DZ145" s="210">
        <f>SUMPRODUCT((($I145+COLUMN($N$3:$DU$3)-COLUMN($N$3))&gt;='KALENDER MINGGU'!$B$10)*(($I145+COLUMN($N$3:$DU$3)-COLUMN($N$3))&lt;='KALENDER MINGGU'!$C$10)*(N145:DU145))/F145*H145</f>
        <v>0</v>
      </c>
      <c r="EA145" s="210">
        <f>SUMPRODUCT((($I145+COLUMN($N$3:$DU$3)-COLUMN($N$3))&gt;='KALENDER MINGGU'!$B$11)*(($I145+COLUMN($N$3:$DU$3)-COLUMN($N$3))&lt;='KALENDER MINGGU'!$C$11)*(N145:DU145))/F145*H145</f>
        <v>0</v>
      </c>
      <c r="EB145" s="210">
        <f>SUMPRODUCT((($I145+COLUMN($N$3:$DU$3)-COLUMN($N$3))&gt;='KALENDER MINGGU'!$B$12)*(($I145+COLUMN($N$3:$DU$3)-COLUMN($N$3))&lt;='KALENDER MINGGU'!$C$12)*(N145:DU145))/F145*H145</f>
        <v>0</v>
      </c>
      <c r="EC145" s="210">
        <f>SUMPRODUCT((($I145+COLUMN($N$3:$DU$3)-COLUMN($N$3))&gt;='KALENDER MINGGU'!$B$13)*(($I145+COLUMN($N$3:$DU$3)-COLUMN($N$3))&lt;='KALENDER MINGGU'!$C$13)*(N145:DU145))/F145*H145</f>
        <v>0</v>
      </c>
      <c r="ED145" s="210">
        <f>SUMPRODUCT((($I145+COLUMN($N$3:$DU$3)-COLUMN($N$3))&gt;='KALENDER MINGGU'!$B$14)*(($I145+COLUMN($N$3:$DU$3)-COLUMN($N$3))&lt;='KALENDER MINGGU'!$C$14)*(N145:DU145))/F145*H145</f>
        <v>0</v>
      </c>
      <c r="EE145" s="210">
        <f>SUMPRODUCT((($I145+COLUMN($N$3:$DU$3)-COLUMN($N$3))&gt;='KALENDER MINGGU'!$B$15)*(($I145+COLUMN($N$3:$DU$3)-COLUMN($N$3))&lt;='KALENDER MINGGU'!$C$15)*(N145:DU145))/F145*H145</f>
        <v>0</v>
      </c>
      <c r="EF145" s="210">
        <f>SUMPRODUCT((($I145+COLUMN($N$3:$DU$3)-COLUMN($N$3))&gt;='KALENDER MINGGU'!$B$16)*(($I145+COLUMN($N$3:$DU$3)-COLUMN($N$3))&lt;='KALENDER MINGGU'!$C$16)*(N145:DU145))/F145*H145</f>
        <v>0</v>
      </c>
      <c r="EG145" s="210">
        <f>SUMPRODUCT((($I145+COLUMN($N$3:$DU$3)-COLUMN($N$3))&gt;='KALENDER MINGGU'!$B$17)*(($I145+COLUMN($N$3:$DU$3)-COLUMN($N$3))&lt;='KALENDER MINGGU'!$C$17)*(N145:DU145))/F145*H145</f>
        <v>0</v>
      </c>
      <c r="EH145" s="210">
        <f>SUMPRODUCT((($I145+COLUMN($N$3:$DU$3)-COLUMN($N$3))&gt;='KALENDER MINGGU'!$B$18)*(($I145+COLUMN($N$3:$DU$3)-COLUMN($N$3))&lt;='KALENDER MINGGU'!$C$18)*(N145:DU145))/F145*H145</f>
        <v>0</v>
      </c>
      <c r="EI145" s="210">
        <f>SUMPRODUCT((($I145+COLUMN($N$3:$DU$3)-COLUMN($N$3))&gt;='KALENDER MINGGU'!$B$19)*(($I145+COLUMN($N$3:$DU$3)-COLUMN($N$3))&lt;='KALENDER MINGGU'!$C$19)*(N145:DU145))/F145*H145</f>
        <v>0</v>
      </c>
      <c r="EJ145" s="210">
        <f>SUMPRODUCT((($I145+COLUMN($N$3:$DU$3)-COLUMN($N$3))&gt;='KALENDER MINGGU'!$B$20)*(($I145+COLUMN($N$3:$DU$3)-COLUMN($N$3))&lt;='KALENDER MINGGU'!$C$20)*(N145:DU145))/F145*H145</f>
        <v>0</v>
      </c>
      <c r="EK145" s="210">
        <f>SUMPRODUCT((($I145+COLUMN($N$3:$DU$3)-COLUMN($N$3))&gt;='KALENDER MINGGU'!$B$21)*(($I145+COLUMN($N$3:$DU$3)-COLUMN($N$3))&lt;='KALENDER MINGGU'!$C$21)*(N145:DU145))/F145*H145</f>
        <v>0</v>
      </c>
    </row>
    <row r="146" spans="1:141" ht="15" customHeight="1" x14ac:dyDescent="0.2">
      <c r="A146" s="208">
        <v>142</v>
      </c>
      <c r="B146" s="208">
        <v>253</v>
      </c>
      <c r="C146" s="208" t="str">
        <f>IF(B146&lt;160,'BOBOT PEK'!$B$4,IF(B146&lt;207,'BOBOT PEK'!$B$160,'BOBOT PEK'!$B$207))</f>
        <v>Toko OT 24 Jam</v>
      </c>
      <c r="D146" s="208" t="s">
        <v>126</v>
      </c>
      <c r="E146" s="208" t="str">
        <f>'BOBOT PEK'!C253</f>
        <v>Repair Rak Helm area sekuriti</v>
      </c>
      <c r="F146" s="209">
        <f>IF(OR('BOBOT PEK'!E253="",'BOBOT PEK'!E253=0),1,'BOBOT PEK'!E253)</f>
        <v>1</v>
      </c>
      <c r="G146" s="208" t="str">
        <f>IF('BOBOT PEK'!F253="","ls",'BOBOT PEK'!F253)</f>
        <v>ls</v>
      </c>
      <c r="H146" s="210">
        <f>'BOBOT PEK'!J253</f>
        <v>6.7796927685464206E-2</v>
      </c>
      <c r="I146" s="211">
        <f>'KALENDER MINGGU'!$B$3</f>
        <v>46226</v>
      </c>
      <c r="J146" s="209">
        <f t="shared" si="16"/>
        <v>1</v>
      </c>
      <c r="K146" s="209">
        <f t="shared" si="17"/>
        <v>0</v>
      </c>
      <c r="L146" s="212">
        <f t="shared" si="18"/>
        <v>1</v>
      </c>
      <c r="M146" s="208" t="str">
        <f t="shared" si="19"/>
        <v>OK</v>
      </c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  <c r="AB146" s="213"/>
      <c r="AC146" s="213"/>
      <c r="AD146" s="213"/>
      <c r="AE146" s="213"/>
      <c r="AF146" s="213"/>
      <c r="AG146" s="213"/>
      <c r="AH146" s="213"/>
      <c r="AI146" s="213"/>
      <c r="AJ146" s="213"/>
      <c r="AK146" s="213"/>
      <c r="AL146" s="213"/>
      <c r="AM146" s="213"/>
      <c r="AN146" s="213"/>
      <c r="AO146" s="213"/>
      <c r="AP146" s="213"/>
      <c r="AQ146" s="213"/>
      <c r="AR146" s="213"/>
      <c r="AS146" s="213"/>
      <c r="AT146" s="213"/>
      <c r="AU146" s="213"/>
      <c r="AV146" s="213"/>
      <c r="AW146" s="213"/>
      <c r="AX146" s="213"/>
      <c r="AY146" s="213"/>
      <c r="AZ146" s="213"/>
      <c r="BA146" s="213"/>
      <c r="BB146" s="213"/>
      <c r="BC146" s="213"/>
      <c r="BD146" s="213"/>
      <c r="BE146" s="213"/>
      <c r="BF146" s="213"/>
      <c r="BG146" s="213"/>
      <c r="BH146" s="213">
        <v>1</v>
      </c>
      <c r="BI146" s="213"/>
      <c r="BJ146" s="213"/>
      <c r="BK146" s="213"/>
      <c r="BL146" s="213"/>
      <c r="BM146" s="213"/>
      <c r="BN146" s="213"/>
      <c r="BO146" s="213"/>
      <c r="BP146" s="213"/>
      <c r="BQ146" s="213"/>
      <c r="BR146" s="213"/>
      <c r="BS146" s="213"/>
      <c r="BT146" s="213"/>
      <c r="BU146" s="213"/>
      <c r="BV146" s="213"/>
      <c r="BW146" s="213"/>
      <c r="BX146" s="213"/>
      <c r="BY146" s="213"/>
      <c r="BZ146" s="213"/>
      <c r="CA146" s="213"/>
      <c r="CB146" s="213"/>
      <c r="CC146" s="213"/>
      <c r="CD146" s="213"/>
      <c r="CE146" s="213"/>
      <c r="CF146" s="213"/>
      <c r="CG146" s="213"/>
      <c r="CH146" s="213"/>
      <c r="CI146" s="213"/>
      <c r="CJ146" s="213"/>
      <c r="CK146" s="213"/>
      <c r="CL146" s="213"/>
      <c r="CM146" s="213"/>
      <c r="CN146" s="213"/>
      <c r="CO146" s="213"/>
      <c r="CP146" s="213"/>
      <c r="CQ146" s="213"/>
      <c r="CR146" s="213"/>
      <c r="CS146" s="213"/>
      <c r="CT146" s="213"/>
      <c r="CU146" s="213"/>
      <c r="CV146" s="213"/>
      <c r="CW146" s="213"/>
      <c r="CX146" s="213"/>
      <c r="CY146" s="213"/>
      <c r="CZ146" s="213"/>
      <c r="DA146" s="213"/>
      <c r="DB146" s="213"/>
      <c r="DC146" s="213"/>
      <c r="DD146" s="213"/>
      <c r="DE146" s="213"/>
      <c r="DF146" s="213"/>
      <c r="DG146" s="213"/>
      <c r="DH146" s="213"/>
      <c r="DI146" s="213"/>
      <c r="DJ146" s="213"/>
      <c r="DK146" s="213"/>
      <c r="DL146" s="213"/>
      <c r="DM146" s="213"/>
      <c r="DN146" s="213"/>
      <c r="DO146" s="213"/>
      <c r="DP146" s="213"/>
      <c r="DQ146" s="213"/>
      <c r="DR146" s="213"/>
      <c r="DS146" s="213"/>
      <c r="DT146" s="213"/>
      <c r="DU146" s="213"/>
      <c r="DV146" s="210">
        <f>SUMPRODUCT((($I146+COLUMN($N$3:$DU$3)-COLUMN($N$3))&gt;='KALENDER MINGGU'!$B$6)*(($I146+COLUMN($N$3:$DU$3)-COLUMN($N$3))&lt;='KALENDER MINGGU'!$C$6)*(N146:DU146))/F146*H146</f>
        <v>0</v>
      </c>
      <c r="DW146" s="210">
        <f>SUMPRODUCT((($I146+COLUMN($N$3:$DU$3)-COLUMN($N$3))&gt;='KALENDER MINGGU'!$B$7)*(($I146+COLUMN($N$3:$DU$3)-COLUMN($N$3))&lt;='KALENDER MINGGU'!$C$7)*(N146:DU146))/F146*H146</f>
        <v>0</v>
      </c>
      <c r="DX146" s="210">
        <f>SUMPRODUCT((($I146+COLUMN($N$3:$DU$3)-COLUMN($N$3))&gt;='KALENDER MINGGU'!$B$8)*(($I146+COLUMN($N$3:$DU$3)-COLUMN($N$3))&lt;='KALENDER MINGGU'!$C$8)*(N146:DU146))/F146*H146</f>
        <v>0</v>
      </c>
      <c r="DY146" s="210">
        <f>SUMPRODUCT((($I146+COLUMN($N$3:$DU$3)-COLUMN($N$3))&gt;='KALENDER MINGGU'!$B$9)*(($I146+COLUMN($N$3:$DU$3)-COLUMN($N$3))&lt;='KALENDER MINGGU'!$C$9)*(N146:DU146))/F146*H146</f>
        <v>0</v>
      </c>
      <c r="DZ146" s="210">
        <f>SUMPRODUCT((($I146+COLUMN($N$3:$DU$3)-COLUMN($N$3))&gt;='KALENDER MINGGU'!$B$10)*(($I146+COLUMN($N$3:$DU$3)-COLUMN($N$3))&lt;='KALENDER MINGGU'!$C$10)*(N146:DU146))/F146*H146</f>
        <v>0</v>
      </c>
      <c r="EA146" s="210">
        <f>SUMPRODUCT((($I146+COLUMN($N$3:$DU$3)-COLUMN($N$3))&gt;='KALENDER MINGGU'!$B$11)*(($I146+COLUMN($N$3:$DU$3)-COLUMN($N$3))&lt;='KALENDER MINGGU'!$C$11)*(N146:DU146))/F146*H146</f>
        <v>0</v>
      </c>
      <c r="EB146" s="210">
        <f>SUMPRODUCT((($I146+COLUMN($N$3:$DU$3)-COLUMN($N$3))&gt;='KALENDER MINGGU'!$B$12)*(($I146+COLUMN($N$3:$DU$3)-COLUMN($N$3))&lt;='KALENDER MINGGU'!$C$12)*(N146:DU146))/F146*H146</f>
        <v>6.7796927685464206E-2</v>
      </c>
      <c r="EC146" s="210">
        <f>SUMPRODUCT((($I146+COLUMN($N$3:$DU$3)-COLUMN($N$3))&gt;='KALENDER MINGGU'!$B$13)*(($I146+COLUMN($N$3:$DU$3)-COLUMN($N$3))&lt;='KALENDER MINGGU'!$C$13)*(N146:DU146))/F146*H146</f>
        <v>0</v>
      </c>
      <c r="ED146" s="210">
        <f>SUMPRODUCT((($I146+COLUMN($N$3:$DU$3)-COLUMN($N$3))&gt;='KALENDER MINGGU'!$B$14)*(($I146+COLUMN($N$3:$DU$3)-COLUMN($N$3))&lt;='KALENDER MINGGU'!$C$14)*(N146:DU146))/F146*H146</f>
        <v>0</v>
      </c>
      <c r="EE146" s="210">
        <f>SUMPRODUCT((($I146+COLUMN($N$3:$DU$3)-COLUMN($N$3))&gt;='KALENDER MINGGU'!$B$15)*(($I146+COLUMN($N$3:$DU$3)-COLUMN($N$3))&lt;='KALENDER MINGGU'!$C$15)*(N146:DU146))/F146*H146</f>
        <v>0</v>
      </c>
      <c r="EF146" s="210">
        <f>SUMPRODUCT((($I146+COLUMN($N$3:$DU$3)-COLUMN($N$3))&gt;='KALENDER MINGGU'!$B$16)*(($I146+COLUMN($N$3:$DU$3)-COLUMN($N$3))&lt;='KALENDER MINGGU'!$C$16)*(N146:DU146))/F146*H146</f>
        <v>0</v>
      </c>
      <c r="EG146" s="210">
        <f>SUMPRODUCT((($I146+COLUMN($N$3:$DU$3)-COLUMN($N$3))&gt;='KALENDER MINGGU'!$B$17)*(($I146+COLUMN($N$3:$DU$3)-COLUMN($N$3))&lt;='KALENDER MINGGU'!$C$17)*(N146:DU146))/F146*H146</f>
        <v>0</v>
      </c>
      <c r="EH146" s="210">
        <f>SUMPRODUCT((($I146+COLUMN($N$3:$DU$3)-COLUMN($N$3))&gt;='KALENDER MINGGU'!$B$18)*(($I146+COLUMN($N$3:$DU$3)-COLUMN($N$3))&lt;='KALENDER MINGGU'!$C$18)*(N146:DU146))/F146*H146</f>
        <v>0</v>
      </c>
      <c r="EI146" s="210">
        <f>SUMPRODUCT((($I146+COLUMN($N$3:$DU$3)-COLUMN($N$3))&gt;='KALENDER MINGGU'!$B$19)*(($I146+COLUMN($N$3:$DU$3)-COLUMN($N$3))&lt;='KALENDER MINGGU'!$C$19)*(N146:DU146))/F146*H146</f>
        <v>0</v>
      </c>
      <c r="EJ146" s="210">
        <f>SUMPRODUCT((($I146+COLUMN($N$3:$DU$3)-COLUMN($N$3))&gt;='KALENDER MINGGU'!$B$20)*(($I146+COLUMN($N$3:$DU$3)-COLUMN($N$3))&lt;='KALENDER MINGGU'!$C$20)*(N146:DU146))/F146*H146</f>
        <v>0</v>
      </c>
      <c r="EK146" s="210">
        <f>SUMPRODUCT((($I146+COLUMN($N$3:$DU$3)-COLUMN($N$3))&gt;='KALENDER MINGGU'!$B$21)*(($I146+COLUMN($N$3:$DU$3)-COLUMN($N$3))&lt;='KALENDER MINGGU'!$C$21)*(N146:DU146))/F146*H146</f>
        <v>0</v>
      </c>
    </row>
    <row r="147" spans="1:141" ht="15" customHeight="1" x14ac:dyDescent="0.2">
      <c r="A147" s="208">
        <v>143</v>
      </c>
      <c r="B147" s="208">
        <v>254</v>
      </c>
      <c r="C147" s="208" t="str">
        <f>IF(B147&lt;160,'BOBOT PEK'!$B$4,IF(B147&lt;207,'BOBOT PEK'!$B$160,'BOBOT PEK'!$B$207))</f>
        <v>Toko OT 24 Jam</v>
      </c>
      <c r="D147" s="208" t="s">
        <v>126</v>
      </c>
      <c r="E147" s="208" t="str">
        <f>'BOBOT PEK'!C254</f>
        <v>Repair meja sekuriti</v>
      </c>
      <c r="F147" s="209">
        <f>IF(OR('BOBOT PEK'!E254="",'BOBOT PEK'!E254=0),1,'BOBOT PEK'!E254)</f>
        <v>1</v>
      </c>
      <c r="G147" s="208" t="str">
        <f>IF('BOBOT PEK'!F254="","ls",'BOBOT PEK'!F254)</f>
        <v>ls</v>
      </c>
      <c r="H147" s="210">
        <f>'BOBOT PEK'!J254</f>
        <v>5.1167492592803177E-2</v>
      </c>
      <c r="I147" s="211">
        <f>'KALENDER MINGGU'!$B$3</f>
        <v>46226</v>
      </c>
      <c r="J147" s="209">
        <f t="shared" si="16"/>
        <v>1</v>
      </c>
      <c r="K147" s="209">
        <f t="shared" si="17"/>
        <v>0</v>
      </c>
      <c r="L147" s="212">
        <f t="shared" si="18"/>
        <v>1</v>
      </c>
      <c r="M147" s="208" t="str">
        <f t="shared" si="19"/>
        <v>OK</v>
      </c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  <c r="AB147" s="213"/>
      <c r="AC147" s="213"/>
      <c r="AD147" s="213"/>
      <c r="AE147" s="213"/>
      <c r="AF147" s="213"/>
      <c r="AG147" s="213"/>
      <c r="AH147" s="213"/>
      <c r="AI147" s="213"/>
      <c r="AJ147" s="213"/>
      <c r="AK147" s="213"/>
      <c r="AL147" s="213"/>
      <c r="AM147" s="213"/>
      <c r="AN147" s="213"/>
      <c r="AO147" s="213"/>
      <c r="AP147" s="213"/>
      <c r="AQ147" s="213"/>
      <c r="AR147" s="213"/>
      <c r="AS147" s="213"/>
      <c r="AT147" s="213"/>
      <c r="AU147" s="213"/>
      <c r="AV147" s="213"/>
      <c r="AW147" s="213"/>
      <c r="AX147" s="213"/>
      <c r="AY147" s="213"/>
      <c r="AZ147" s="213"/>
      <c r="BA147" s="213"/>
      <c r="BB147" s="213"/>
      <c r="BC147" s="213"/>
      <c r="BD147" s="213"/>
      <c r="BE147" s="213"/>
      <c r="BF147" s="213"/>
      <c r="BG147" s="213"/>
      <c r="BH147" s="213">
        <v>1</v>
      </c>
      <c r="BI147" s="213"/>
      <c r="BJ147" s="213"/>
      <c r="BK147" s="213"/>
      <c r="BL147" s="213"/>
      <c r="BM147" s="213"/>
      <c r="BN147" s="213"/>
      <c r="BO147" s="213"/>
      <c r="BP147" s="213"/>
      <c r="BQ147" s="213"/>
      <c r="BR147" s="213"/>
      <c r="BS147" s="213"/>
      <c r="BT147" s="213"/>
      <c r="BU147" s="213"/>
      <c r="BV147" s="213"/>
      <c r="BW147" s="213"/>
      <c r="BX147" s="213"/>
      <c r="BY147" s="213"/>
      <c r="BZ147" s="213"/>
      <c r="CA147" s="213"/>
      <c r="CB147" s="213"/>
      <c r="CC147" s="213"/>
      <c r="CD147" s="213"/>
      <c r="CE147" s="213"/>
      <c r="CF147" s="213"/>
      <c r="CG147" s="213"/>
      <c r="CH147" s="213"/>
      <c r="CI147" s="213"/>
      <c r="CJ147" s="213"/>
      <c r="CK147" s="213"/>
      <c r="CL147" s="213"/>
      <c r="CM147" s="213"/>
      <c r="CN147" s="213"/>
      <c r="CO147" s="213"/>
      <c r="CP147" s="213"/>
      <c r="CQ147" s="213"/>
      <c r="CR147" s="213"/>
      <c r="CS147" s="213"/>
      <c r="CT147" s="213"/>
      <c r="CU147" s="213"/>
      <c r="CV147" s="213"/>
      <c r="CW147" s="213"/>
      <c r="CX147" s="213"/>
      <c r="CY147" s="213"/>
      <c r="CZ147" s="213"/>
      <c r="DA147" s="213"/>
      <c r="DB147" s="213"/>
      <c r="DC147" s="213"/>
      <c r="DD147" s="213"/>
      <c r="DE147" s="213"/>
      <c r="DF147" s="213"/>
      <c r="DG147" s="213"/>
      <c r="DH147" s="213"/>
      <c r="DI147" s="213"/>
      <c r="DJ147" s="213"/>
      <c r="DK147" s="213"/>
      <c r="DL147" s="213"/>
      <c r="DM147" s="213"/>
      <c r="DN147" s="213"/>
      <c r="DO147" s="213"/>
      <c r="DP147" s="213"/>
      <c r="DQ147" s="213"/>
      <c r="DR147" s="213"/>
      <c r="DS147" s="213"/>
      <c r="DT147" s="213"/>
      <c r="DU147" s="213"/>
      <c r="DV147" s="210">
        <f>SUMPRODUCT((($I147+COLUMN($N$3:$DU$3)-COLUMN($N$3))&gt;='KALENDER MINGGU'!$B$6)*(($I147+COLUMN($N$3:$DU$3)-COLUMN($N$3))&lt;='KALENDER MINGGU'!$C$6)*(N147:DU147))/F147*H147</f>
        <v>0</v>
      </c>
      <c r="DW147" s="210">
        <f>SUMPRODUCT((($I147+COLUMN($N$3:$DU$3)-COLUMN($N$3))&gt;='KALENDER MINGGU'!$B$7)*(($I147+COLUMN($N$3:$DU$3)-COLUMN($N$3))&lt;='KALENDER MINGGU'!$C$7)*(N147:DU147))/F147*H147</f>
        <v>0</v>
      </c>
      <c r="DX147" s="210">
        <f>SUMPRODUCT((($I147+COLUMN($N$3:$DU$3)-COLUMN($N$3))&gt;='KALENDER MINGGU'!$B$8)*(($I147+COLUMN($N$3:$DU$3)-COLUMN($N$3))&lt;='KALENDER MINGGU'!$C$8)*(N147:DU147))/F147*H147</f>
        <v>0</v>
      </c>
      <c r="DY147" s="210">
        <f>SUMPRODUCT((($I147+COLUMN($N$3:$DU$3)-COLUMN($N$3))&gt;='KALENDER MINGGU'!$B$9)*(($I147+COLUMN($N$3:$DU$3)-COLUMN($N$3))&lt;='KALENDER MINGGU'!$C$9)*(N147:DU147))/F147*H147</f>
        <v>0</v>
      </c>
      <c r="DZ147" s="210">
        <f>SUMPRODUCT((($I147+COLUMN($N$3:$DU$3)-COLUMN($N$3))&gt;='KALENDER MINGGU'!$B$10)*(($I147+COLUMN($N$3:$DU$3)-COLUMN($N$3))&lt;='KALENDER MINGGU'!$C$10)*(N147:DU147))/F147*H147</f>
        <v>0</v>
      </c>
      <c r="EA147" s="210">
        <f>SUMPRODUCT((($I147+COLUMN($N$3:$DU$3)-COLUMN($N$3))&gt;='KALENDER MINGGU'!$B$11)*(($I147+COLUMN($N$3:$DU$3)-COLUMN($N$3))&lt;='KALENDER MINGGU'!$C$11)*(N147:DU147))/F147*H147</f>
        <v>0</v>
      </c>
      <c r="EB147" s="210">
        <f>SUMPRODUCT((($I147+COLUMN($N$3:$DU$3)-COLUMN($N$3))&gt;='KALENDER MINGGU'!$B$12)*(($I147+COLUMN($N$3:$DU$3)-COLUMN($N$3))&lt;='KALENDER MINGGU'!$C$12)*(N147:DU147))/F147*H147</f>
        <v>5.1167492592803177E-2</v>
      </c>
      <c r="EC147" s="210">
        <f>SUMPRODUCT((($I147+COLUMN($N$3:$DU$3)-COLUMN($N$3))&gt;='KALENDER MINGGU'!$B$13)*(($I147+COLUMN($N$3:$DU$3)-COLUMN($N$3))&lt;='KALENDER MINGGU'!$C$13)*(N147:DU147))/F147*H147</f>
        <v>0</v>
      </c>
      <c r="ED147" s="210">
        <f>SUMPRODUCT((($I147+COLUMN($N$3:$DU$3)-COLUMN($N$3))&gt;='KALENDER MINGGU'!$B$14)*(($I147+COLUMN($N$3:$DU$3)-COLUMN($N$3))&lt;='KALENDER MINGGU'!$C$14)*(N147:DU147))/F147*H147</f>
        <v>0</v>
      </c>
      <c r="EE147" s="210">
        <f>SUMPRODUCT((($I147+COLUMN($N$3:$DU$3)-COLUMN($N$3))&gt;='KALENDER MINGGU'!$B$15)*(($I147+COLUMN($N$3:$DU$3)-COLUMN($N$3))&lt;='KALENDER MINGGU'!$C$15)*(N147:DU147))/F147*H147</f>
        <v>0</v>
      </c>
      <c r="EF147" s="210">
        <f>SUMPRODUCT((($I147+COLUMN($N$3:$DU$3)-COLUMN($N$3))&gt;='KALENDER MINGGU'!$B$16)*(($I147+COLUMN($N$3:$DU$3)-COLUMN($N$3))&lt;='KALENDER MINGGU'!$C$16)*(N147:DU147))/F147*H147</f>
        <v>0</v>
      </c>
      <c r="EG147" s="210">
        <f>SUMPRODUCT((($I147+COLUMN($N$3:$DU$3)-COLUMN($N$3))&gt;='KALENDER MINGGU'!$B$17)*(($I147+COLUMN($N$3:$DU$3)-COLUMN($N$3))&lt;='KALENDER MINGGU'!$C$17)*(N147:DU147))/F147*H147</f>
        <v>0</v>
      </c>
      <c r="EH147" s="210">
        <f>SUMPRODUCT((($I147+COLUMN($N$3:$DU$3)-COLUMN($N$3))&gt;='KALENDER MINGGU'!$B$18)*(($I147+COLUMN($N$3:$DU$3)-COLUMN($N$3))&lt;='KALENDER MINGGU'!$C$18)*(N147:DU147))/F147*H147</f>
        <v>0</v>
      </c>
      <c r="EI147" s="210">
        <f>SUMPRODUCT((($I147+COLUMN($N$3:$DU$3)-COLUMN($N$3))&gt;='KALENDER MINGGU'!$B$19)*(($I147+COLUMN($N$3:$DU$3)-COLUMN($N$3))&lt;='KALENDER MINGGU'!$C$19)*(N147:DU147))/F147*H147</f>
        <v>0</v>
      </c>
      <c r="EJ147" s="210">
        <f>SUMPRODUCT((($I147+COLUMN($N$3:$DU$3)-COLUMN($N$3))&gt;='KALENDER MINGGU'!$B$20)*(($I147+COLUMN($N$3:$DU$3)-COLUMN($N$3))&lt;='KALENDER MINGGU'!$C$20)*(N147:DU147))/F147*H147</f>
        <v>0</v>
      </c>
      <c r="EK147" s="210">
        <f>SUMPRODUCT((($I147+COLUMN($N$3:$DU$3)-COLUMN($N$3))&gt;='KALENDER MINGGU'!$B$21)*(($I147+COLUMN($N$3:$DU$3)-COLUMN($N$3))&lt;='KALENDER MINGGU'!$C$21)*(N147:DU147))/F147*H147</f>
        <v>0</v>
      </c>
    </row>
    <row r="148" spans="1:141" ht="15" customHeight="1" x14ac:dyDescent="0.2">
      <c r="A148" s="208">
        <v>144</v>
      </c>
      <c r="B148" s="208">
        <v>255</v>
      </c>
      <c r="C148" s="208" t="str">
        <f>IF(B148&lt;160,'BOBOT PEK'!$B$4,IF(B148&lt;207,'BOBOT PEK'!$B$160,'BOBOT PEK'!$B$207))</f>
        <v>Toko OT 24 Jam</v>
      </c>
      <c r="D148" s="208" t="s">
        <v>126</v>
      </c>
      <c r="E148" s="208" t="str">
        <f>'BOBOT PEK'!C255</f>
        <v>Repair lemari sekuriti</v>
      </c>
      <c r="F148" s="209">
        <f>IF(OR('BOBOT PEK'!E255="",'BOBOT PEK'!E255=0),1,'BOBOT PEK'!E255)</f>
        <v>1</v>
      </c>
      <c r="G148" s="208" t="str">
        <f>IF('BOBOT PEK'!F255="","ls",'BOBOT PEK'!F255)</f>
        <v>ls</v>
      </c>
      <c r="H148" s="210">
        <f>'BOBOT PEK'!J255</f>
        <v>2.6862933611221666E-2</v>
      </c>
      <c r="I148" s="211">
        <f>'KALENDER MINGGU'!$B$3</f>
        <v>46226</v>
      </c>
      <c r="J148" s="209">
        <f t="shared" si="16"/>
        <v>1</v>
      </c>
      <c r="K148" s="209">
        <f t="shared" si="17"/>
        <v>0</v>
      </c>
      <c r="L148" s="212">
        <f t="shared" si="18"/>
        <v>1</v>
      </c>
      <c r="M148" s="208" t="str">
        <f t="shared" si="19"/>
        <v>OK</v>
      </c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3"/>
      <c r="AC148" s="213"/>
      <c r="AD148" s="213"/>
      <c r="AE148" s="213"/>
      <c r="AF148" s="213"/>
      <c r="AG148" s="213"/>
      <c r="AH148" s="213"/>
      <c r="AI148" s="213"/>
      <c r="AJ148" s="213"/>
      <c r="AK148" s="213"/>
      <c r="AL148" s="213"/>
      <c r="AM148" s="213"/>
      <c r="AN148" s="213"/>
      <c r="AO148" s="213"/>
      <c r="AP148" s="213"/>
      <c r="AQ148" s="213"/>
      <c r="AR148" s="213"/>
      <c r="AS148" s="213"/>
      <c r="AT148" s="213"/>
      <c r="AU148" s="213"/>
      <c r="AV148" s="213"/>
      <c r="AW148" s="213"/>
      <c r="AX148" s="213"/>
      <c r="AY148" s="213"/>
      <c r="AZ148" s="213"/>
      <c r="BA148" s="213"/>
      <c r="BB148" s="213"/>
      <c r="BC148" s="213"/>
      <c r="BD148" s="213"/>
      <c r="BE148" s="213"/>
      <c r="BF148" s="213"/>
      <c r="BG148" s="213"/>
      <c r="BH148" s="213">
        <v>1</v>
      </c>
      <c r="BI148" s="213"/>
      <c r="BJ148" s="213"/>
      <c r="BK148" s="213"/>
      <c r="BL148" s="213"/>
      <c r="BM148" s="213"/>
      <c r="BN148" s="213"/>
      <c r="BO148" s="213"/>
      <c r="BP148" s="213"/>
      <c r="BQ148" s="213"/>
      <c r="BR148" s="213"/>
      <c r="BS148" s="213"/>
      <c r="BT148" s="213"/>
      <c r="BU148" s="213"/>
      <c r="BV148" s="213"/>
      <c r="BW148" s="213"/>
      <c r="BX148" s="213"/>
      <c r="BY148" s="213"/>
      <c r="BZ148" s="213"/>
      <c r="CA148" s="213"/>
      <c r="CB148" s="213"/>
      <c r="CC148" s="213"/>
      <c r="CD148" s="213"/>
      <c r="CE148" s="213"/>
      <c r="CF148" s="213"/>
      <c r="CG148" s="213"/>
      <c r="CH148" s="213"/>
      <c r="CI148" s="213"/>
      <c r="CJ148" s="213"/>
      <c r="CK148" s="213"/>
      <c r="CL148" s="213"/>
      <c r="CM148" s="213"/>
      <c r="CN148" s="213"/>
      <c r="CO148" s="213"/>
      <c r="CP148" s="213"/>
      <c r="CQ148" s="213"/>
      <c r="CR148" s="213"/>
      <c r="CS148" s="213"/>
      <c r="CT148" s="213"/>
      <c r="CU148" s="213"/>
      <c r="CV148" s="213"/>
      <c r="CW148" s="213"/>
      <c r="CX148" s="213"/>
      <c r="CY148" s="213"/>
      <c r="CZ148" s="213"/>
      <c r="DA148" s="213"/>
      <c r="DB148" s="213"/>
      <c r="DC148" s="213"/>
      <c r="DD148" s="213"/>
      <c r="DE148" s="213"/>
      <c r="DF148" s="213"/>
      <c r="DG148" s="213"/>
      <c r="DH148" s="213"/>
      <c r="DI148" s="213"/>
      <c r="DJ148" s="213"/>
      <c r="DK148" s="213"/>
      <c r="DL148" s="213"/>
      <c r="DM148" s="213"/>
      <c r="DN148" s="213"/>
      <c r="DO148" s="213"/>
      <c r="DP148" s="213"/>
      <c r="DQ148" s="213"/>
      <c r="DR148" s="213"/>
      <c r="DS148" s="213"/>
      <c r="DT148" s="213"/>
      <c r="DU148" s="213"/>
      <c r="DV148" s="210">
        <f>SUMPRODUCT((($I148+COLUMN($N$3:$DU$3)-COLUMN($N$3))&gt;='KALENDER MINGGU'!$B$6)*(($I148+COLUMN($N$3:$DU$3)-COLUMN($N$3))&lt;='KALENDER MINGGU'!$C$6)*(N148:DU148))/F148*H148</f>
        <v>0</v>
      </c>
      <c r="DW148" s="210">
        <f>SUMPRODUCT((($I148+COLUMN($N$3:$DU$3)-COLUMN($N$3))&gt;='KALENDER MINGGU'!$B$7)*(($I148+COLUMN($N$3:$DU$3)-COLUMN($N$3))&lt;='KALENDER MINGGU'!$C$7)*(N148:DU148))/F148*H148</f>
        <v>0</v>
      </c>
      <c r="DX148" s="210">
        <f>SUMPRODUCT((($I148+COLUMN($N$3:$DU$3)-COLUMN($N$3))&gt;='KALENDER MINGGU'!$B$8)*(($I148+COLUMN($N$3:$DU$3)-COLUMN($N$3))&lt;='KALENDER MINGGU'!$C$8)*(N148:DU148))/F148*H148</f>
        <v>0</v>
      </c>
      <c r="DY148" s="210">
        <f>SUMPRODUCT((($I148+COLUMN($N$3:$DU$3)-COLUMN($N$3))&gt;='KALENDER MINGGU'!$B$9)*(($I148+COLUMN($N$3:$DU$3)-COLUMN($N$3))&lt;='KALENDER MINGGU'!$C$9)*(N148:DU148))/F148*H148</f>
        <v>0</v>
      </c>
      <c r="DZ148" s="210">
        <f>SUMPRODUCT((($I148+COLUMN($N$3:$DU$3)-COLUMN($N$3))&gt;='KALENDER MINGGU'!$B$10)*(($I148+COLUMN($N$3:$DU$3)-COLUMN($N$3))&lt;='KALENDER MINGGU'!$C$10)*(N148:DU148))/F148*H148</f>
        <v>0</v>
      </c>
      <c r="EA148" s="210">
        <f>SUMPRODUCT((($I148+COLUMN($N$3:$DU$3)-COLUMN($N$3))&gt;='KALENDER MINGGU'!$B$11)*(($I148+COLUMN($N$3:$DU$3)-COLUMN($N$3))&lt;='KALENDER MINGGU'!$C$11)*(N148:DU148))/F148*H148</f>
        <v>0</v>
      </c>
      <c r="EB148" s="210">
        <f>SUMPRODUCT((($I148+COLUMN($N$3:$DU$3)-COLUMN($N$3))&gt;='KALENDER MINGGU'!$B$12)*(($I148+COLUMN($N$3:$DU$3)-COLUMN($N$3))&lt;='KALENDER MINGGU'!$C$12)*(N148:DU148))/F148*H148</f>
        <v>2.6862933611221666E-2</v>
      </c>
      <c r="EC148" s="210">
        <f>SUMPRODUCT((($I148+COLUMN($N$3:$DU$3)-COLUMN($N$3))&gt;='KALENDER MINGGU'!$B$13)*(($I148+COLUMN($N$3:$DU$3)-COLUMN($N$3))&lt;='KALENDER MINGGU'!$C$13)*(N148:DU148))/F148*H148</f>
        <v>0</v>
      </c>
      <c r="ED148" s="210">
        <f>SUMPRODUCT((($I148+COLUMN($N$3:$DU$3)-COLUMN($N$3))&gt;='KALENDER MINGGU'!$B$14)*(($I148+COLUMN($N$3:$DU$3)-COLUMN($N$3))&lt;='KALENDER MINGGU'!$C$14)*(N148:DU148))/F148*H148</f>
        <v>0</v>
      </c>
      <c r="EE148" s="210">
        <f>SUMPRODUCT((($I148+COLUMN($N$3:$DU$3)-COLUMN($N$3))&gt;='KALENDER MINGGU'!$B$15)*(($I148+COLUMN($N$3:$DU$3)-COLUMN($N$3))&lt;='KALENDER MINGGU'!$C$15)*(N148:DU148))/F148*H148</f>
        <v>0</v>
      </c>
      <c r="EF148" s="210">
        <f>SUMPRODUCT((($I148+COLUMN($N$3:$DU$3)-COLUMN($N$3))&gt;='KALENDER MINGGU'!$B$16)*(($I148+COLUMN($N$3:$DU$3)-COLUMN($N$3))&lt;='KALENDER MINGGU'!$C$16)*(N148:DU148))/F148*H148</f>
        <v>0</v>
      </c>
      <c r="EG148" s="210">
        <f>SUMPRODUCT((($I148+COLUMN($N$3:$DU$3)-COLUMN($N$3))&gt;='KALENDER MINGGU'!$B$17)*(($I148+COLUMN($N$3:$DU$3)-COLUMN($N$3))&lt;='KALENDER MINGGU'!$C$17)*(N148:DU148))/F148*H148</f>
        <v>0</v>
      </c>
      <c r="EH148" s="210">
        <f>SUMPRODUCT((($I148+COLUMN($N$3:$DU$3)-COLUMN($N$3))&gt;='KALENDER MINGGU'!$B$18)*(($I148+COLUMN($N$3:$DU$3)-COLUMN($N$3))&lt;='KALENDER MINGGU'!$C$18)*(N148:DU148))/F148*H148</f>
        <v>0</v>
      </c>
      <c r="EI148" s="210">
        <f>SUMPRODUCT((($I148+COLUMN($N$3:$DU$3)-COLUMN($N$3))&gt;='KALENDER MINGGU'!$B$19)*(($I148+COLUMN($N$3:$DU$3)-COLUMN($N$3))&lt;='KALENDER MINGGU'!$C$19)*(N148:DU148))/F148*H148</f>
        <v>0</v>
      </c>
      <c r="EJ148" s="210">
        <f>SUMPRODUCT((($I148+COLUMN($N$3:$DU$3)-COLUMN($N$3))&gt;='KALENDER MINGGU'!$B$20)*(($I148+COLUMN($N$3:$DU$3)-COLUMN($N$3))&lt;='KALENDER MINGGU'!$C$20)*(N148:DU148))/F148*H148</f>
        <v>0</v>
      </c>
      <c r="EK148" s="210">
        <f>SUMPRODUCT((($I148+COLUMN($N$3:$DU$3)-COLUMN($N$3))&gt;='KALENDER MINGGU'!$B$21)*(($I148+COLUMN($N$3:$DU$3)-COLUMN($N$3))&lt;='KALENDER MINGGU'!$C$21)*(N148:DU148))/F148*H148</f>
        <v>0</v>
      </c>
    </row>
  </sheetData>
  <conditionalFormatting sqref="M4:M148">
    <cfRule type="expression" dxfId="12" priority="2">
      <formula>$M4="MELEBIHI VOLUME!"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609"/>
  <sheetViews>
    <sheetView showGridLines="0" zoomScaleNormal="100" workbookViewId="0">
      <pane ySplit="16" topLeftCell="A17" activePane="bottomLeft" state="frozen"/>
      <selection pane="bottomLeft" activeCell="K17" sqref="K17"/>
    </sheetView>
  </sheetViews>
  <sheetFormatPr defaultColWidth="14.42578125" defaultRowHeight="12.75" x14ac:dyDescent="0.2"/>
  <cols>
    <col min="1" max="1" width="14.28515625" customWidth="1"/>
    <col min="2" max="2" width="16" customWidth="1"/>
    <col min="3" max="3" width="12.42578125" customWidth="1"/>
    <col min="4" max="4" width="65" customWidth="1"/>
    <col min="5" max="5" width="11" customWidth="1"/>
    <col min="6" max="6" width="13" customWidth="1"/>
    <col min="7" max="7" width="12" customWidth="1"/>
    <col min="8" max="9" width="13" customWidth="1"/>
    <col min="10" max="10" width="11" customWidth="1"/>
    <col min="11" max="11" width="12" customWidth="1"/>
    <col min="12" max="12" width="9" customWidth="1"/>
    <col min="13" max="13" width="14" customWidth="1"/>
    <col min="14" max="14" width="12" customWidth="1"/>
    <col min="15" max="15" width="13" customWidth="1"/>
    <col min="16" max="16" width="17.42578125" customWidth="1"/>
    <col min="17" max="24" width="13" hidden="1" customWidth="1"/>
  </cols>
  <sheetData>
    <row r="1" spans="1:26" ht="25.5" customHeight="1" x14ac:dyDescent="0.2">
      <c r="A1" s="294" t="s">
        <v>674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</row>
    <row r="2" spans="1:26" ht="25.5" customHeight="1" x14ac:dyDescent="0.25">
      <c r="A2" s="151" t="s">
        <v>675</v>
      </c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</row>
    <row r="3" spans="1:26" ht="18" customHeight="1" x14ac:dyDescent="0.25">
      <c r="A3" s="114" t="s">
        <v>676</v>
      </c>
      <c r="B3" s="114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</row>
    <row r="4" spans="1:26" ht="18" customHeight="1" x14ac:dyDescent="0.25">
      <c r="A4" s="114" t="s">
        <v>599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</row>
    <row r="5" spans="1:26" ht="12.75" customHeight="1" x14ac:dyDescent="0.2">
      <c r="A5" s="295"/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</row>
    <row r="6" spans="1:26" ht="12.75" customHeight="1" x14ac:dyDescent="0.2"/>
    <row r="7" spans="1:26" ht="15" customHeight="1" x14ac:dyDescent="0.2">
      <c r="A7" s="216" t="s">
        <v>677</v>
      </c>
      <c r="B7" s="217" t="str">
        <f>'CETAK RENCANA MINGGUAN'!$B$10</f>
        <v>Minggu Ke-6</v>
      </c>
      <c r="C7" s="216" t="s">
        <v>678</v>
      </c>
      <c r="D7" s="218">
        <f t="array" ref="D7">YEAR(INDEX('KALENDER MINGGU'!$B$6:$B$21,$B$8))</f>
        <v>2026</v>
      </c>
      <c r="E7" s="219" t="s">
        <v>644</v>
      </c>
      <c r="F7" s="220">
        <f t="array" ref="F7">INDEX('KALENDER MINGGU'!$B$6:$B$21,$B$8)</f>
        <v>46261</v>
      </c>
      <c r="G7" s="219" t="s">
        <v>645</v>
      </c>
      <c r="H7" s="220">
        <f t="array" ref="H7">INDEX('KALENDER MINGGU'!$C$6:$C$21,$B$8)</f>
        <v>46267</v>
      </c>
      <c r="I7" s="219" t="s">
        <v>679</v>
      </c>
      <c r="J7" s="221">
        <f ca="1">MIN(16,MAX(1,1+INT((TODAY()-'KALENDER MINGGU'!$B$6)/7)))</f>
        <v>10</v>
      </c>
    </row>
    <row r="8" spans="1:26" ht="12.75" customHeight="1" x14ac:dyDescent="0.2">
      <c r="A8" t="s">
        <v>680</v>
      </c>
      <c r="B8" s="222">
        <f>VALUE(SUBSTITUTE($B$7,"Minggu Ke-",""))</f>
        <v>6</v>
      </c>
      <c r="C8" s="152"/>
    </row>
    <row r="9" spans="1:26" ht="15" customHeight="1" x14ac:dyDescent="0.25">
      <c r="A9" s="223" t="s">
        <v>681</v>
      </c>
      <c r="C9" s="152"/>
    </row>
    <row r="10" spans="1:26" ht="36" customHeight="1" x14ac:dyDescent="0.2">
      <c r="A10" s="224" t="s">
        <v>682</v>
      </c>
      <c r="B10" s="225">
        <f t="array" ref="B10">ROUND(INDEX(TS!$A:$AB,78,12+$B$8),2)</f>
        <v>0</v>
      </c>
      <c r="C10" s="224" t="s">
        <v>683</v>
      </c>
      <c r="D10" s="225">
        <f t="array" ref="D10">ROUND(INDEX(TS!$A:$AB,80,12+$B$8),2)</f>
        <v>0</v>
      </c>
      <c r="E10" s="226" t="s">
        <v>684</v>
      </c>
      <c r="F10" s="225">
        <f t="array" ref="F10">ROUND(INDEX(TS!$A:$AB,79,12+$B$8),2)</f>
        <v>0</v>
      </c>
      <c r="G10" s="226" t="s">
        <v>685</v>
      </c>
      <c r="H10" s="225">
        <f t="array" ref="H10">ROUND(INDEX(TS!$A:$AB,81,12+$B$8),2)</f>
        <v>0</v>
      </c>
      <c r="I10" s="226" t="s">
        <v>686</v>
      </c>
      <c r="J10" s="225">
        <f>ROUND(H10-F10,2)</f>
        <v>0</v>
      </c>
    </row>
    <row r="11" spans="1:26" ht="12.75" customHeight="1" x14ac:dyDescent="0.2">
      <c r="A11" s="227"/>
      <c r="C11" s="152"/>
      <c r="E11" s="228"/>
      <c r="G11" s="228"/>
    </row>
    <row r="12" spans="1:26" ht="36" customHeight="1" x14ac:dyDescent="0.2">
      <c r="A12" s="224" t="s">
        <v>687</v>
      </c>
      <c r="B12" s="229">
        <f>COUNTIF($C$17:$C$610,"&gt;0")*0+COUNTIF($A$17:$A$610,$B$8)</f>
        <v>31</v>
      </c>
      <c r="C12" s="224" t="s">
        <v>688</v>
      </c>
      <c r="D12" s="229">
        <f ca="1">COUNTIFS($A$17:$A$610,$B$8,$O$17:$O$610,"COMPLETED")</f>
        <v>1</v>
      </c>
      <c r="E12" s="226" t="s">
        <v>689</v>
      </c>
      <c r="F12" s="229">
        <f ca="1">COUNTIFS($A$17:$A$610,$B$8,$O$17:$O$610,"DELAYED")+COUNTIFS($A$17:$A$610,$B$8,$O$17:$O$610,"CRITICAL")</f>
        <v>30</v>
      </c>
      <c r="G12" s="226" t="s">
        <v>690</v>
      </c>
      <c r="H12" s="229">
        <f ca="1">COUNTIFS($A$17:$A$610,$B$8,$O$17:$O$610,"NOT STARTED")</f>
        <v>0</v>
      </c>
    </row>
    <row r="13" spans="1:26" ht="12.75" customHeight="1" x14ac:dyDescent="0.2"/>
    <row r="14" spans="1:26" ht="12.75" customHeight="1" x14ac:dyDescent="0.2">
      <c r="A14" s="295" t="s">
        <v>691</v>
      </c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</row>
    <row r="15" spans="1:26" ht="12.75" customHeight="1" x14ac:dyDescent="0.2">
      <c r="R15" s="230" t="s">
        <v>692</v>
      </c>
    </row>
    <row r="16" spans="1:26" ht="38.25" customHeight="1" x14ac:dyDescent="0.2">
      <c r="A16" s="231" t="s">
        <v>643</v>
      </c>
      <c r="B16" s="231" t="s">
        <v>693</v>
      </c>
      <c r="C16" s="231" t="s">
        <v>414</v>
      </c>
      <c r="D16" s="231" t="s">
        <v>694</v>
      </c>
      <c r="E16" s="231" t="s">
        <v>695</v>
      </c>
      <c r="F16" s="231" t="s">
        <v>696</v>
      </c>
      <c r="G16" s="231" t="s">
        <v>697</v>
      </c>
      <c r="H16" s="231" t="s">
        <v>698</v>
      </c>
      <c r="I16" s="231" t="s">
        <v>699</v>
      </c>
      <c r="J16" s="231" t="s">
        <v>700</v>
      </c>
      <c r="K16" s="231" t="s">
        <v>701</v>
      </c>
      <c r="L16" s="231" t="s">
        <v>702</v>
      </c>
      <c r="M16" s="231" t="s">
        <v>703</v>
      </c>
      <c r="N16" s="231" t="s">
        <v>704</v>
      </c>
      <c r="O16" s="231" t="s">
        <v>705</v>
      </c>
      <c r="P16" s="231" t="s">
        <v>706</v>
      </c>
      <c r="Q16" s="232"/>
      <c r="R16" s="233" t="s">
        <v>707</v>
      </c>
      <c r="S16" s="233" t="s">
        <v>708</v>
      </c>
      <c r="T16" s="233" t="s">
        <v>695</v>
      </c>
      <c r="U16" s="233" t="s">
        <v>709</v>
      </c>
      <c r="V16" s="233" t="s">
        <v>710</v>
      </c>
      <c r="W16" s="233" t="s">
        <v>711</v>
      </c>
      <c r="X16" s="233" t="s">
        <v>712</v>
      </c>
      <c r="Y16" s="233" t="s">
        <v>713</v>
      </c>
      <c r="Z16" s="233" t="s">
        <v>714</v>
      </c>
    </row>
    <row r="17" spans="1:26" ht="12.75" customHeight="1" x14ac:dyDescent="0.2">
      <c r="A17" s="234">
        <f>IFERROR(IF(COUNTIF($C$17:C17,C17)&lt;=('BOBOT PEK'!V9-'BOBOT PEK'!U9+1),'BOBOT PEK'!U9+COUNTIF($C$17:C17,C17)-1,0),0)</f>
        <v>1</v>
      </c>
      <c r="B17" s="235" t="str">
        <f>IFERROR(TEXT(INDEX('KALENDER MINGGU'!$B$6:$B$21,$A17),"dd/mm")&amp;" - "&amp;TEXT(INDEX('KALENDER MINGGU'!$C$6:$C$21,$A17),"dd/mm"),"")</f>
        <v>23/07 - 29/07</v>
      </c>
      <c r="C17" s="234" t="s">
        <v>417</v>
      </c>
      <c r="D17" s="236" t="str">
        <f>'BOBOT PEK'!C9</f>
        <v>Pekerjaan Persiapan</v>
      </c>
      <c r="E17" s="237">
        <f>'BOBOT PEK'!J9</f>
        <v>0.51167492592803177</v>
      </c>
      <c r="F17" s="237">
        <f>100/('BOBOT PEK'!V9-'BOBOT PEK'!U9+1)</f>
        <v>25</v>
      </c>
      <c r="G17" s="237">
        <f t="shared" ref="G17:G80" si="0">F17/100*E17</f>
        <v>0.12791873148200794</v>
      </c>
      <c r="H17" s="237">
        <f>MIN(100,($A17-'BOBOT PEK'!U9+1)/('BOBOT PEK'!V9-'BOBOT PEK'!U9+1)*100)</f>
        <v>25</v>
      </c>
      <c r="I17" s="237">
        <f>IFERROR(SUM(INDEX(TS!$M:$AB,23,1):INDEX(TS!$M:$AB,23,$A17))/TS!$L$13*100,0)</f>
        <v>0</v>
      </c>
      <c r="J17" s="237">
        <f t="shared" ref="J17:J80" si="1">MAX(0,100-I17)</f>
        <v>100</v>
      </c>
      <c r="K17" s="238"/>
      <c r="L17" s="238"/>
      <c r="M17" s="238"/>
      <c r="N17" s="238"/>
      <c r="O17" s="235" t="str">
        <f ca="1">IF(I17&gt;=99.9,"COMPLETED",IF('BOBOT PEK'!U9&gt;$J$7,"NOT STARTED",IF('BOBOT PEK'!V9&lt;$J$7,"CRITICAL",IF(I17+1&lt;H17,"DELAYED","ON SCHEDULE"))))</f>
        <v>CRITICAL</v>
      </c>
      <c r="P17" s="238"/>
      <c r="Q17" t="str">
        <f>IFERROR(IF(AND($A17=$B$8,'BOBOT PEK'!U9&lt;=$B$8,$B$8&lt;='BOBOT PEK'!V9),COUNTIFS($A$17:$A17,$B$8),""),"")</f>
        <v/>
      </c>
      <c r="R17" t="s">
        <v>715</v>
      </c>
      <c r="S17" t="str">
        <f>TS!B13</f>
        <v>PEKERJAAN PERSIAPAN</v>
      </c>
      <c r="T17" s="239">
        <f>TS!L13</f>
        <v>1.2791873148200794</v>
      </c>
      <c r="U17">
        <v>22</v>
      </c>
      <c r="V17">
        <v>23</v>
      </c>
      <c r="W17">
        <f>'BOBOT PEK'!U14</f>
        <v>1</v>
      </c>
      <c r="X17">
        <f>'BOBOT PEK'!V14</f>
        <v>6</v>
      </c>
      <c r="Y17" s="240">
        <v>9</v>
      </c>
      <c r="Z17" s="240">
        <v>13</v>
      </c>
    </row>
    <row r="18" spans="1:26" ht="12.75" customHeight="1" x14ac:dyDescent="0.2">
      <c r="A18" s="234">
        <f>IFERROR(IF(COUNTIF($C$17:C18,C18)&lt;=('BOBOT PEK'!V10-'BOBOT PEK'!U10+1),'BOBOT PEK'!U10+COUNTIF($C$17:C18,C18)-1,0),0)</f>
        <v>1</v>
      </c>
      <c r="B18" s="235" t="str">
        <f>IFERROR(TEXT(INDEX('KALENDER MINGGU'!$B$6:$B$21,$A18),"dd/mm")&amp;" - "&amp;TEXT(INDEX('KALENDER MINGGU'!$C$6:$C$21,$A18),"dd/mm"),"")</f>
        <v>23/07 - 29/07</v>
      </c>
      <c r="C18" s="234" t="s">
        <v>418</v>
      </c>
      <c r="D18" s="236" t="str">
        <f>'BOBOT PEK'!C10</f>
        <v>Pembersihan Lahan</v>
      </c>
      <c r="E18" s="237">
        <f>'BOBOT PEK'!J10</f>
        <v>0.25583746296401588</v>
      </c>
      <c r="F18" s="237">
        <f>100/('BOBOT PEK'!V10-'BOBOT PEK'!U10+1)</f>
        <v>25</v>
      </c>
      <c r="G18" s="237">
        <f t="shared" si="0"/>
        <v>6.3959365741003971E-2</v>
      </c>
      <c r="H18" s="237">
        <f>MIN(100,($A18-'BOBOT PEK'!U10+1)/('BOBOT PEK'!V10-'BOBOT PEK'!U10+1)*100)</f>
        <v>25</v>
      </c>
      <c r="I18" s="237">
        <f>IFERROR(SUM(INDEX(TS!$M:$AB,23,1):INDEX(TS!$M:$AB,23,$A18))/TS!$L$13*100,0)</f>
        <v>0</v>
      </c>
      <c r="J18" s="237">
        <f t="shared" si="1"/>
        <v>100</v>
      </c>
      <c r="K18" s="238"/>
      <c r="L18" s="238"/>
      <c r="M18" s="238"/>
      <c r="N18" s="238"/>
      <c r="O18" s="235" t="str">
        <f ca="1">IF(I18&gt;=99.9,"COMPLETED",IF('BOBOT PEK'!U10&gt;$J$7,"NOT STARTED",IF('BOBOT PEK'!V10&lt;$J$7,"CRITICAL",IF(I18+1&lt;H18,"DELAYED","ON SCHEDULE"))))</f>
        <v>CRITICAL</v>
      </c>
      <c r="P18" s="238"/>
      <c r="Q18" t="str">
        <f>IFERROR(IF(AND($A18=$B$8,'BOBOT PEK'!U10&lt;=$B$8,$B$8&lt;='BOBOT PEK'!V10),COUNTIFS($A$17:$A18,$B$8),""),"")</f>
        <v/>
      </c>
      <c r="R18" t="s">
        <v>716</v>
      </c>
      <c r="S18" t="str">
        <f>TS!B15</f>
        <v>PEKERJAAN AREA GUDANG UMUM+GUDANG SPM UK.46X54 M</v>
      </c>
      <c r="T18" s="239">
        <f>TS!L15</f>
        <v>16.160561774286879</v>
      </c>
      <c r="U18">
        <v>24</v>
      </c>
      <c r="V18">
        <v>25</v>
      </c>
      <c r="W18">
        <f>'BOBOT PEK'!U29</f>
        <v>6</v>
      </c>
      <c r="X18">
        <f>'BOBOT PEK'!V29</f>
        <v>11</v>
      </c>
      <c r="Y18" s="240">
        <v>16</v>
      </c>
      <c r="Z18" s="240">
        <v>28</v>
      </c>
    </row>
    <row r="19" spans="1:26" ht="12.75" customHeight="1" x14ac:dyDescent="0.2">
      <c r="A19" s="234">
        <f>IFERROR(IF(COUNTIF($C$17:C19,C19)&lt;=('BOBOT PEK'!V11-'BOBOT PEK'!U11+1),'BOBOT PEK'!U11+COUNTIF($C$17:C19,C19)-1,0),0)</f>
        <v>1</v>
      </c>
      <c r="B19" s="235" t="str">
        <f>IFERROR(TEXT(INDEX('KALENDER MINGGU'!$B$6:$B$21,$A19),"dd/mm")&amp;" - "&amp;TEXT(INDEX('KALENDER MINGGU'!$C$6:$C$21,$A19),"dd/mm"),"")</f>
        <v>23/07 - 29/07</v>
      </c>
      <c r="C19" s="234" t="s">
        <v>419</v>
      </c>
      <c r="D19" s="236" t="str">
        <f>'BOBOT PEK'!C11</f>
        <v>Direksi Kit+Gudang Sementara</v>
      </c>
      <c r="E19" s="237">
        <f>'BOBOT PEK'!J11</f>
        <v>0</v>
      </c>
      <c r="F19" s="237">
        <f>100/('BOBOT PEK'!V11-'BOBOT PEK'!U11+1)</f>
        <v>25</v>
      </c>
      <c r="G19" s="237">
        <f t="shared" si="0"/>
        <v>0</v>
      </c>
      <c r="H19" s="237">
        <f>MIN(100,($A19-'BOBOT PEK'!U11+1)/('BOBOT PEK'!V11-'BOBOT PEK'!U11+1)*100)</f>
        <v>25</v>
      </c>
      <c r="I19" s="237">
        <f>IFERROR(SUM(INDEX(TS!$M:$AB,23,1):INDEX(TS!$M:$AB,23,$A19))/TS!$L$13*100,0)</f>
        <v>0</v>
      </c>
      <c r="J19" s="237">
        <f t="shared" si="1"/>
        <v>100</v>
      </c>
      <c r="K19" s="238"/>
      <c r="L19" s="238"/>
      <c r="M19" s="238"/>
      <c r="N19" s="238"/>
      <c r="O19" s="235" t="str">
        <f ca="1">IF(I19&gt;=99.9,"COMPLETED",IF('BOBOT PEK'!U11&gt;$J$7,"NOT STARTED",IF('BOBOT PEK'!V11&lt;$J$7,"CRITICAL",IF(I19+1&lt;H19,"DELAYED","ON SCHEDULE"))))</f>
        <v>CRITICAL</v>
      </c>
      <c r="P19" s="238"/>
      <c r="Q19" t="str">
        <f>IFERROR(IF(AND($A19=$B$8,'BOBOT PEK'!U11&lt;=$B$8,$B$8&lt;='BOBOT PEK'!V11),COUNTIFS($A$17:$A19,$B$8),""),"")</f>
        <v/>
      </c>
      <c r="R19" t="s">
        <v>717</v>
      </c>
      <c r="S19" t="str">
        <f>TS!B17</f>
        <v>PEKERJAAN AREA GUDANG PARKIR SISI SAMPING UK.4,75X37M</v>
      </c>
      <c r="T19" s="239">
        <f>TS!L17</f>
        <v>1.9395038067302042</v>
      </c>
      <c r="U19">
        <v>26</v>
      </c>
      <c r="V19">
        <v>27</v>
      </c>
      <c r="W19">
        <f>'BOBOT PEK'!U42</f>
        <v>7</v>
      </c>
      <c r="X19">
        <f>'BOBOT PEK'!V42</f>
        <v>10</v>
      </c>
      <c r="Y19" s="240">
        <v>32</v>
      </c>
      <c r="Z19" s="240">
        <v>41</v>
      </c>
    </row>
    <row r="20" spans="1:26" ht="12.75" customHeight="1" x14ac:dyDescent="0.2">
      <c r="A20" s="234">
        <f>IFERROR(IF(COUNTIF($C$17:C20,C20)&lt;=('BOBOT PEK'!V12-'BOBOT PEK'!U12+1),'BOBOT PEK'!U12+COUNTIF($C$17:C20,C20)-1,0),0)</f>
        <v>1</v>
      </c>
      <c r="B20" s="235" t="str">
        <f>IFERROR(TEXT(INDEX('KALENDER MINGGU'!$B$6:$B$21,$A20),"dd/mm")&amp;" - "&amp;TEXT(INDEX('KALENDER MINGGU'!$C$6:$C$21,$A20),"dd/mm"),"")</f>
        <v>23/07 - 29/07</v>
      </c>
      <c r="C20" s="234" t="s">
        <v>420</v>
      </c>
      <c r="D20" s="236" t="str">
        <f>'BOBOT PEK'!C12</f>
        <v>Administrasi Lapangan</v>
      </c>
      <c r="E20" s="237">
        <f>'BOBOT PEK'!J12</f>
        <v>0.12791873148200794</v>
      </c>
      <c r="F20" s="237">
        <f>100/('BOBOT PEK'!V12-'BOBOT PEK'!U12+1)</f>
        <v>25</v>
      </c>
      <c r="G20" s="237">
        <f t="shared" si="0"/>
        <v>3.1979682870501985E-2</v>
      </c>
      <c r="H20" s="237">
        <f>MIN(100,($A20-'BOBOT PEK'!U12+1)/('BOBOT PEK'!V12-'BOBOT PEK'!U12+1)*100)</f>
        <v>25</v>
      </c>
      <c r="I20" s="237">
        <f>IFERROR(SUM(INDEX(TS!$M:$AB,23,1):INDEX(TS!$M:$AB,23,$A20))/TS!$L$13*100,0)</f>
        <v>0</v>
      </c>
      <c r="J20" s="237">
        <f t="shared" si="1"/>
        <v>100</v>
      </c>
      <c r="K20" s="238"/>
      <c r="L20" s="238"/>
      <c r="M20" s="238"/>
      <c r="N20" s="238"/>
      <c r="O20" s="235" t="str">
        <f ca="1">IF(I20&gt;=99.9,"COMPLETED",IF('BOBOT PEK'!U12&gt;$J$7,"NOT STARTED",IF('BOBOT PEK'!V12&lt;$J$7,"CRITICAL",IF(I20+1&lt;H20,"DELAYED","ON SCHEDULE"))))</f>
        <v>CRITICAL</v>
      </c>
      <c r="P20" s="238"/>
      <c r="Q20" t="str">
        <f>IFERROR(IF(AND($A20=$B$8,'BOBOT PEK'!U12&lt;=$B$8,$B$8&lt;='BOBOT PEK'!V12),COUNTIFS($A$17:$A20,$B$8),""),"")</f>
        <v/>
      </c>
      <c r="R20" t="s">
        <v>718</v>
      </c>
      <c r="S20" t="str">
        <f>TS!B19</f>
        <v>PEKERJAAN PAGAR SAMPING P 40M x T 2,1M</v>
      </c>
      <c r="T20" s="239">
        <f>TS!L19</f>
        <v>3.3072108837358329</v>
      </c>
      <c r="U20">
        <v>28</v>
      </c>
      <c r="V20">
        <v>29</v>
      </c>
      <c r="W20">
        <f>'BOBOT PEK'!U50</f>
        <v>4</v>
      </c>
      <c r="X20">
        <f>'BOBOT PEK'!V50</f>
        <v>13</v>
      </c>
      <c r="Y20" s="240">
        <v>45</v>
      </c>
      <c r="Z20" s="240">
        <v>49</v>
      </c>
    </row>
    <row r="21" spans="1:26" ht="12.75" customHeight="1" x14ac:dyDescent="0.2">
      <c r="A21" s="234">
        <f>IFERROR(IF(COUNTIF($C$17:C21,C21)&lt;=('BOBOT PEK'!V13-'BOBOT PEK'!U13+1),'BOBOT PEK'!U13+COUNTIF($C$17:C21,C21)-1,0),0)</f>
        <v>1</v>
      </c>
      <c r="B21" s="235" t="str">
        <f>IFERROR(TEXT(INDEX('KALENDER MINGGU'!$B$6:$B$21,$A21),"dd/mm")&amp;" - "&amp;TEXT(INDEX('KALENDER MINGGU'!$C$6:$C$21,$A21),"dd/mm"),"")</f>
        <v>23/07 - 29/07</v>
      </c>
      <c r="C21" s="234" t="s">
        <v>421</v>
      </c>
      <c r="D21" s="236" t="str">
        <f>'BOBOT PEK'!C13</f>
        <v>Skafolding dan Alat Bantu Pekerjaan</v>
      </c>
      <c r="E21" s="237">
        <f>'BOBOT PEK'!J13</f>
        <v>0.38375619444602382</v>
      </c>
      <c r="F21" s="237">
        <f>100/('BOBOT PEK'!V13-'BOBOT PEK'!U13+1)</f>
        <v>16.666666666666668</v>
      </c>
      <c r="G21" s="237">
        <f t="shared" si="0"/>
        <v>6.3959365741003985E-2</v>
      </c>
      <c r="H21" s="237">
        <f>MIN(100,($A21-'BOBOT PEK'!U13+1)/('BOBOT PEK'!V13-'BOBOT PEK'!U13+1)*100)</f>
        <v>16.666666666666664</v>
      </c>
      <c r="I21" s="237">
        <f>IFERROR(SUM(INDEX(TS!$M:$AB,23,1):INDEX(TS!$M:$AB,23,$A21))/TS!$L$13*100,0)</f>
        <v>0</v>
      </c>
      <c r="J21" s="237">
        <f t="shared" si="1"/>
        <v>100</v>
      </c>
      <c r="K21" s="238"/>
      <c r="L21" s="238"/>
      <c r="M21" s="238"/>
      <c r="N21" s="238"/>
      <c r="O21" s="235" t="str">
        <f ca="1">IF(I21&gt;=99.9,"COMPLETED",IF('BOBOT PEK'!U13&gt;$J$7,"NOT STARTED",IF('BOBOT PEK'!V13&lt;$J$7,"CRITICAL",IF(I21+1&lt;H21,"DELAYED","ON SCHEDULE"))))</f>
        <v>CRITICAL</v>
      </c>
      <c r="P21" s="238"/>
      <c r="Q21" t="str">
        <f>IFERROR(IF(AND($A21=$B$8,'BOBOT PEK'!U13&lt;=$B$8,$B$8&lt;='BOBOT PEK'!V13),COUNTIFS($A$17:$A21,$B$8),""),"")</f>
        <v/>
      </c>
      <c r="R21" t="s">
        <v>719</v>
      </c>
      <c r="S21" t="str">
        <f>TS!B21</f>
        <v>PEKERJAAN PAGAR DEPAN PJ,70 M, TINGGI 150 CM</v>
      </c>
      <c r="T21" s="239">
        <f>TS!L21</f>
        <v>1.2841377697284331</v>
      </c>
      <c r="U21">
        <v>30</v>
      </c>
      <c r="V21">
        <v>31</v>
      </c>
      <c r="W21">
        <f>'BOBOT PEK'!U59</f>
        <v>13</v>
      </c>
      <c r="X21">
        <f>'BOBOT PEK'!V59</f>
        <v>14</v>
      </c>
      <c r="Y21" s="240">
        <v>53</v>
      </c>
      <c r="Z21" s="240">
        <v>58</v>
      </c>
    </row>
    <row r="22" spans="1:26" ht="25.5" customHeight="1" x14ac:dyDescent="0.2">
      <c r="A22" s="234">
        <f>IFERROR(IF(COUNTIF($C$17:C22,C22)&lt;=('BOBOT PEK'!V77-'BOBOT PEK'!U77+1),'BOBOT PEK'!U77+COUNTIF($C$17:C22,C22)-1,0),0)</f>
        <v>1</v>
      </c>
      <c r="B22" s="235" t="str">
        <f>IFERROR(TEXT(INDEX('KALENDER MINGGU'!$B$6:$B$21,$A22),"dd/mm")&amp;" - "&amp;TEXT(INDEX('KALENDER MINGGU'!$C$6:$C$21,$A22),"dd/mm"),"")</f>
        <v>23/07 - 29/07</v>
      </c>
      <c r="C22" s="234" t="s">
        <v>464</v>
      </c>
      <c r="D22" s="236" t="str">
        <f>'BOBOT PEK'!C77</f>
        <v xml:space="preserve">Pengupasan aspal existing </v>
      </c>
      <c r="E22" s="237">
        <f>'BOBOT PEK'!J77</f>
        <v>3.3576108639397444</v>
      </c>
      <c r="F22" s="237">
        <f>100/('BOBOT PEK'!V77-'BOBOT PEK'!U77+1)</f>
        <v>6.25</v>
      </c>
      <c r="G22" s="237">
        <f t="shared" si="0"/>
        <v>0.20985067899623402</v>
      </c>
      <c r="H22" s="237">
        <f>MIN(100,($A22-'BOBOT PEK'!U77+1)/('BOBOT PEK'!V77-'BOBOT PEK'!U77+1)*100)</f>
        <v>6.25</v>
      </c>
      <c r="I22" s="237">
        <f>IFERROR(SUM(INDEX(TS!$M:$AB,37,1):INDEX(TS!$M:$AB,37,$A22))/TS!$L$27*100,0)</f>
        <v>0</v>
      </c>
      <c r="J22" s="237">
        <f t="shared" si="1"/>
        <v>100</v>
      </c>
      <c r="K22" s="238"/>
      <c r="L22" s="238"/>
      <c r="M22" s="238"/>
      <c r="N22" s="238" t="s">
        <v>720</v>
      </c>
      <c r="O22" s="235" t="str">
        <f ca="1">IF(I22&gt;=99.9,"COMPLETED",IF('BOBOT PEK'!U77&gt;$J$7,"NOT STARTED",IF('BOBOT PEK'!V77&lt;$J$7,"CRITICAL",IF(I22+1&lt;H22,"DELAYED","ON SCHEDULE"))))</f>
        <v>DELAYED</v>
      </c>
      <c r="P22" s="238"/>
      <c r="Q22" t="str">
        <f>IFERROR(IF(AND($A22=$B$8,'BOBOT PEK'!U77&lt;=$B$8,$B$8&lt;='BOBOT PEK'!V77),COUNTIFS($A$17:$A22,$B$8),""),"")</f>
        <v/>
      </c>
      <c r="R22" t="s">
        <v>721</v>
      </c>
      <c r="S22" t="str">
        <f>TS!B23</f>
        <v xml:space="preserve">PEKERJAAN KANOPI GENSET UK. 5.5 X4 M DAN JEMBATAN TIMBANG </v>
      </c>
      <c r="T22" s="239">
        <f>TS!L23</f>
        <v>0.37032472764041297</v>
      </c>
      <c r="U22">
        <v>32</v>
      </c>
      <c r="V22">
        <v>33</v>
      </c>
      <c r="W22">
        <f>'BOBOT PEK'!U64</f>
        <v>7</v>
      </c>
      <c r="X22">
        <f>'BOBOT PEK'!V64</f>
        <v>8</v>
      </c>
      <c r="Y22" s="240">
        <v>62</v>
      </c>
      <c r="Z22" s="240">
        <v>63</v>
      </c>
    </row>
    <row r="23" spans="1:26" ht="25.5" customHeight="1" x14ac:dyDescent="0.2">
      <c r="A23" s="234">
        <f>IFERROR(IF(COUNTIF($C$17:C23,C23)&lt;=('BOBOT PEK'!V78-'BOBOT PEK'!U78+1),'BOBOT PEK'!U78+COUNTIF($C$17:C23,C23)-1,0),0)</f>
        <v>1</v>
      </c>
      <c r="B23" s="235" t="str">
        <f>IFERROR(TEXT(INDEX('KALENDER MINGGU'!$B$6:$B$21,$A23),"dd/mm")&amp;" - "&amp;TEXT(INDEX('KALENDER MINGGU'!$C$6:$C$21,$A23),"dd/mm"),"")</f>
        <v>23/07 - 29/07</v>
      </c>
      <c r="C23" s="234" t="s">
        <v>465</v>
      </c>
      <c r="D23" s="236" t="str">
        <f>'BOBOT PEK'!C78</f>
        <v xml:space="preserve">Pengupasan beton existing </v>
      </c>
      <c r="E23" s="237">
        <f>'BOBOT PEK'!J78</f>
        <v>1.9430855312117006</v>
      </c>
      <c r="F23" s="237">
        <f>100/('BOBOT PEK'!V78-'BOBOT PEK'!U78+1)</f>
        <v>6.25</v>
      </c>
      <c r="G23" s="237">
        <f t="shared" si="0"/>
        <v>0.12144284570073129</v>
      </c>
      <c r="H23" s="237">
        <f>MIN(100,($A23-'BOBOT PEK'!U78+1)/('BOBOT PEK'!V78-'BOBOT PEK'!U78+1)*100)</f>
        <v>6.25</v>
      </c>
      <c r="I23" s="237">
        <f>IFERROR(SUM(INDEX(TS!$M:$AB,37,1):INDEX(TS!$M:$AB,37,$A23))/TS!$L$27*100,0)</f>
        <v>0</v>
      </c>
      <c r="J23" s="237">
        <f t="shared" si="1"/>
        <v>100</v>
      </c>
      <c r="K23" s="238"/>
      <c r="L23" s="238"/>
      <c r="M23" s="238"/>
      <c r="N23" s="238" t="s">
        <v>720</v>
      </c>
      <c r="O23" s="235" t="str">
        <f ca="1">IF(I23&gt;=99.9,"COMPLETED",IF('BOBOT PEK'!U78&gt;$J$7,"NOT STARTED",IF('BOBOT PEK'!V78&lt;$J$7,"CRITICAL",IF(I23+1&lt;H23,"DELAYED","ON SCHEDULE"))))</f>
        <v>DELAYED</v>
      </c>
      <c r="P23" s="238"/>
      <c r="Q23" t="str">
        <f>IFERROR(IF(AND($A23=$B$8,'BOBOT PEK'!U78&lt;=$B$8,$B$8&lt;='BOBOT PEK'!V78),COUNTIFS($A$17:$A23,$B$8),""),"")</f>
        <v/>
      </c>
      <c r="R23" t="s">
        <v>722</v>
      </c>
      <c r="S23" t="str">
        <f>TS!B25</f>
        <v>PEKERJAAN TAMAN DEPAN UK. 5X8 / 17X8 M, 17X30M, BELAKANG 21X28 / 5X36 M</v>
      </c>
      <c r="T23" s="239">
        <f>TS!L25</f>
        <v>1.0275711699949697</v>
      </c>
      <c r="U23">
        <v>34</v>
      </c>
      <c r="V23">
        <v>35</v>
      </c>
      <c r="W23">
        <f>'BOBOT PEK'!U72</f>
        <v>4</v>
      </c>
      <c r="X23">
        <f>'BOBOT PEK'!V72</f>
        <v>10</v>
      </c>
      <c r="Y23" s="240">
        <v>67</v>
      </c>
      <c r="Z23" s="240">
        <v>71</v>
      </c>
    </row>
    <row r="24" spans="1:26" ht="12.75" customHeight="1" x14ac:dyDescent="0.2">
      <c r="A24" s="234">
        <f>IFERROR(IF(COUNTIF($C$17:C24,C24)&lt;=('BOBOT PEK'!V79-'BOBOT PEK'!U79+1),'BOBOT PEK'!U79+COUNTIF($C$17:C24,C24)-1,0),0)</f>
        <v>1</v>
      </c>
      <c r="B24" s="235" t="str">
        <f>IFERROR(TEXT(INDEX('KALENDER MINGGU'!$B$6:$B$21,$A24),"dd/mm")&amp;" - "&amp;TEXT(INDEX('KALENDER MINGGU'!$C$6:$C$21,$A24),"dd/mm"),"")</f>
        <v>23/07 - 29/07</v>
      </c>
      <c r="C24" s="234" t="s">
        <v>466</v>
      </c>
      <c r="D24" s="236" t="str">
        <f>'BOBOT PEK'!C79</f>
        <v>Pembuangan puing sewa truk</v>
      </c>
      <c r="E24" s="237">
        <f>'BOBOT PEK'!J79</f>
        <v>3.3766707549305637</v>
      </c>
      <c r="F24" s="237">
        <f>100/('BOBOT PEK'!V79-'BOBOT PEK'!U79+1)</f>
        <v>6.25</v>
      </c>
      <c r="G24" s="237">
        <f t="shared" si="0"/>
        <v>0.21104192218316023</v>
      </c>
      <c r="H24" s="237">
        <f>MIN(100,($A24-'BOBOT PEK'!U79+1)/('BOBOT PEK'!V79-'BOBOT PEK'!U79+1)*100)</f>
        <v>6.25</v>
      </c>
      <c r="I24" s="237">
        <f>IFERROR(SUM(INDEX(TS!$M:$AB,37,1):INDEX(TS!$M:$AB,37,$A24))/TS!$L$27*100,0)</f>
        <v>0</v>
      </c>
      <c r="J24" s="237">
        <f t="shared" si="1"/>
        <v>100</v>
      </c>
      <c r="K24" s="238"/>
      <c r="L24" s="238"/>
      <c r="M24" s="238"/>
      <c r="N24" s="238" t="s">
        <v>720</v>
      </c>
      <c r="O24" s="235" t="str">
        <f ca="1">IF(I24&gt;=99.9,"COMPLETED",IF('BOBOT PEK'!U79&gt;$J$7,"NOT STARTED",IF('BOBOT PEK'!V79&lt;$J$7,"CRITICAL",IF(I24+1&lt;H24,"DELAYED","ON SCHEDULE"))))</f>
        <v>DELAYED</v>
      </c>
      <c r="P24" s="238"/>
      <c r="Q24" t="str">
        <f>IFERROR(IF(AND($A24=$B$8,'BOBOT PEK'!U79&lt;=$B$8,$B$8&lt;='BOBOT PEK'!V79),COUNTIFS($A$17:$A24,$B$8),""),"")</f>
        <v/>
      </c>
      <c r="R24" t="s">
        <v>723</v>
      </c>
      <c r="S24" t="str">
        <f>TS!B27</f>
        <v>PEKERJAAN JALAN</v>
      </c>
      <c r="T24" s="239">
        <f>TS!L27</f>
        <v>42.786709996279541</v>
      </c>
      <c r="U24">
        <v>36</v>
      </c>
      <c r="V24">
        <v>37</v>
      </c>
      <c r="W24">
        <f>'BOBOT PEK'!U82</f>
        <v>1</v>
      </c>
      <c r="X24">
        <f>'BOBOT PEK'!V82</f>
        <v>16</v>
      </c>
      <c r="Y24" s="240">
        <v>75</v>
      </c>
      <c r="Z24" s="240">
        <v>81</v>
      </c>
    </row>
    <row r="25" spans="1:26" ht="34.5" customHeight="1" x14ac:dyDescent="0.2">
      <c r="A25" s="234">
        <f>IFERROR(IF(COUNTIF($C$17:C25,C25)&lt;=('BOBOT PEK'!V80-'BOBOT PEK'!U80+1),'BOBOT PEK'!U80+COUNTIF($C$17:C25,C25)-1,0),0)</f>
        <v>1</v>
      </c>
      <c r="B25" s="235" t="str">
        <f>IFERROR(TEXT(INDEX('KALENDER MINGGU'!$B$6:$B$21,$A25),"dd/mm")&amp;" - "&amp;TEXT(INDEX('KALENDER MINGGU'!$C$6:$C$21,$A25),"dd/mm"),"")</f>
        <v>23/07 - 29/07</v>
      </c>
      <c r="C25" s="234" t="s">
        <v>467</v>
      </c>
      <c r="D25" s="236" t="str">
        <f>'BOBOT PEK'!C80</f>
        <v>Besi 13 ulir , kotak 30x30cm</v>
      </c>
      <c r="E25" s="237">
        <f>'BOBOT PEK'!J80</f>
        <v>15.224105695407308</v>
      </c>
      <c r="F25" s="237">
        <f>100/('BOBOT PEK'!V80-'BOBOT PEK'!U80+1)</f>
        <v>6.25</v>
      </c>
      <c r="G25" s="237">
        <f t="shared" si="0"/>
        <v>0.95150660596295678</v>
      </c>
      <c r="H25" s="237">
        <f>MIN(100,($A25-'BOBOT PEK'!U80+1)/('BOBOT PEK'!V80-'BOBOT PEK'!U80+1)*100)</f>
        <v>6.25</v>
      </c>
      <c r="I25" s="237">
        <f>IFERROR(SUM(INDEX(TS!$M:$AB,37,1):INDEX(TS!$M:$AB,37,$A25))/TS!$L$27*100,0)</f>
        <v>0</v>
      </c>
      <c r="J25" s="237">
        <f t="shared" si="1"/>
        <v>100</v>
      </c>
      <c r="K25" s="238"/>
      <c r="L25" s="238"/>
      <c r="M25" s="238"/>
      <c r="N25" s="238" t="s">
        <v>720</v>
      </c>
      <c r="O25" s="235" t="str">
        <f ca="1">IF(I25&gt;=99.9,"COMPLETED",IF('BOBOT PEK'!U80&gt;$J$7,"NOT STARTED",IF('BOBOT PEK'!V80&lt;$J$7,"CRITICAL",IF(I25+1&lt;H25,"DELAYED","ON SCHEDULE"))))</f>
        <v>DELAYED</v>
      </c>
      <c r="P25" s="238"/>
      <c r="Q25" t="str">
        <f>IFERROR(IF(AND($A25=$B$8,'BOBOT PEK'!U80&lt;=$B$8,$B$8&lt;='BOBOT PEK'!V80),COUNTIFS($A$17:$A25,$B$8),""),"")</f>
        <v/>
      </c>
      <c r="R25" t="s">
        <v>724</v>
      </c>
      <c r="S25" t="str">
        <f>TS!B29</f>
        <v>PEKERJAAN PAGAR PERIMETER P 215M + 91M x T 2,4M</v>
      </c>
      <c r="T25" s="239">
        <f>TS!L29</f>
        <v>1.8394201912186812</v>
      </c>
      <c r="U25">
        <v>38</v>
      </c>
      <c r="V25">
        <v>39</v>
      </c>
      <c r="W25">
        <f>'BOBOT PEK'!U87</f>
        <v>5</v>
      </c>
      <c r="X25">
        <f>'BOBOT PEK'!V87</f>
        <v>14</v>
      </c>
      <c r="Y25" s="240">
        <v>85</v>
      </c>
      <c r="Z25" s="240">
        <v>86</v>
      </c>
    </row>
    <row r="26" spans="1:26" ht="25.5" customHeight="1" x14ac:dyDescent="0.2">
      <c r="A26" s="234">
        <f>IFERROR(IF(COUNTIF($C$17:C26,C26)&lt;=('BOBOT PEK'!V81-'BOBOT PEK'!U81+1),'BOBOT PEK'!U81+COUNTIF($C$17:C26,C26)-1,0),0)</f>
        <v>1</v>
      </c>
      <c r="B26" s="235" t="str">
        <f>IFERROR(TEXT(INDEX('KALENDER MINGGU'!$B$6:$B$21,$A26),"dd/mm")&amp;" - "&amp;TEXT(INDEX('KALENDER MINGGU'!$C$6:$C$21,$A26),"dd/mm"),"")</f>
        <v>23/07 - 29/07</v>
      </c>
      <c r="C26" s="234" t="s">
        <v>468</v>
      </c>
      <c r="D26" s="236" t="str">
        <f>'BOBOT PEK'!C81</f>
        <v>Cor ready mix K-350 (tanpa trowel dan line cutting)</v>
      </c>
      <c r="E26" s="237">
        <f>'BOBOT PEK'!J81</f>
        <v>18.885237150790225</v>
      </c>
      <c r="F26" s="237">
        <f>100/('BOBOT PEK'!V81-'BOBOT PEK'!U81+1)</f>
        <v>6.25</v>
      </c>
      <c r="G26" s="237">
        <f t="shared" si="0"/>
        <v>1.1803273219243891</v>
      </c>
      <c r="H26" s="237">
        <f>MIN(100,($A26-'BOBOT PEK'!U81+1)/('BOBOT PEK'!V81-'BOBOT PEK'!U81+1)*100)</f>
        <v>6.25</v>
      </c>
      <c r="I26" s="237">
        <f>IFERROR(SUM(INDEX(TS!$M:$AB,37,1):INDEX(TS!$M:$AB,37,$A26))/TS!$L$27*100,0)</f>
        <v>0</v>
      </c>
      <c r="J26" s="237">
        <f t="shared" si="1"/>
        <v>100</v>
      </c>
      <c r="K26" s="238"/>
      <c r="L26" s="238"/>
      <c r="M26" s="238"/>
      <c r="N26" s="238" t="s">
        <v>720</v>
      </c>
      <c r="O26" s="235" t="str">
        <f ca="1">IF(I26&gt;=99.9,"COMPLETED",IF('BOBOT PEK'!U81&gt;$J$7,"NOT STARTED",IF('BOBOT PEK'!V81&lt;$J$7,"CRITICAL",IF(I26+1&lt;H26,"DELAYED","ON SCHEDULE"))))</f>
        <v>DELAYED</v>
      </c>
      <c r="P26" s="238"/>
      <c r="Q26" t="str">
        <f>IFERROR(IF(AND($A26=$B$8,'BOBOT PEK'!U81&lt;=$B$8,$B$8&lt;='BOBOT PEK'!V81),COUNTIFS($A$17:$A26,$B$8),""),"")</f>
        <v/>
      </c>
      <c r="R26" t="s">
        <v>725</v>
      </c>
      <c r="S26" t="str">
        <f>TS!B31</f>
        <v>PEKERJAAN WATER TORN UK 4X4 M, BENGKEL UK. 12X7 M,. dan GUDANG BELAKANG</v>
      </c>
      <c r="T26" s="239">
        <f>TS!L31</f>
        <v>7.1510280541655407</v>
      </c>
      <c r="U26">
        <v>40</v>
      </c>
      <c r="V26">
        <v>41</v>
      </c>
      <c r="W26">
        <f>'BOBOT PEK'!U106</f>
        <v>4</v>
      </c>
      <c r="X26">
        <f>'BOBOT PEK'!V106</f>
        <v>10</v>
      </c>
      <c r="Y26" s="240">
        <v>90</v>
      </c>
      <c r="Z26" s="240">
        <v>105</v>
      </c>
    </row>
    <row r="27" spans="1:26" ht="25.5" customHeight="1" x14ac:dyDescent="0.2">
      <c r="A27" s="234">
        <f>IFERROR(IF(COUNTIF($C$17:C27,C27)&lt;=('BOBOT PEK'!V9-'BOBOT PEK'!U9+1),'BOBOT PEK'!U9+COUNTIF($C$17:C27,C27)-1,0),0)</f>
        <v>2</v>
      </c>
      <c r="B27" s="235" t="str">
        <f>IFERROR(TEXT(INDEX('KALENDER MINGGU'!$B$6:$B$21,$A27),"dd/mm")&amp;" - "&amp;TEXT(INDEX('KALENDER MINGGU'!$C$6:$C$21,$A27),"dd/mm"),"")</f>
        <v>30/07 - 05/08</v>
      </c>
      <c r="C27" s="234" t="s">
        <v>417</v>
      </c>
      <c r="D27" s="236" t="str">
        <f>'BOBOT PEK'!C9</f>
        <v>Pekerjaan Persiapan</v>
      </c>
      <c r="E27" s="237">
        <f>'BOBOT PEK'!J9</f>
        <v>0.51167492592803177</v>
      </c>
      <c r="F27" s="237">
        <f>100/('BOBOT PEK'!V9-'BOBOT PEK'!U9+1)</f>
        <v>25</v>
      </c>
      <c r="G27" s="237">
        <f t="shared" si="0"/>
        <v>0.12791873148200794</v>
      </c>
      <c r="H27" s="237">
        <f>MIN(100,($A27-'BOBOT PEK'!U9+1)/('BOBOT PEK'!V9-'BOBOT PEK'!U9+1)*100)</f>
        <v>50</v>
      </c>
      <c r="I27" s="237">
        <f>IFERROR(SUM(INDEX(TS!$M:$AB,23,1):INDEX(TS!$M:$AB,23,$A27))/TS!$L$13*100,0)</f>
        <v>0</v>
      </c>
      <c r="J27" s="237">
        <f t="shared" si="1"/>
        <v>100</v>
      </c>
      <c r="K27" s="238"/>
      <c r="L27" s="238"/>
      <c r="M27" s="238"/>
      <c r="N27" s="238" t="s">
        <v>601</v>
      </c>
      <c r="O27" s="235" t="str">
        <f ca="1">IF(I27&gt;=99.9,"COMPLETED",IF('BOBOT PEK'!U9&gt;$J$7,"NOT STARTED",IF('BOBOT PEK'!V9&lt;$J$7,"CRITICAL",IF(I27+1&lt;H27,"DELAYED","ON SCHEDULE"))))</f>
        <v>CRITICAL</v>
      </c>
      <c r="P27" s="238"/>
      <c r="Q27" t="str">
        <f>IFERROR(IF(AND($A27=$B$8,'BOBOT PEK'!U9&lt;=$B$8,$B$8&lt;='BOBOT PEK'!V9),COUNTIFS($A$17:$A27,$B$8),""),"")</f>
        <v/>
      </c>
      <c r="R27" t="s">
        <v>726</v>
      </c>
      <c r="S27" t="str">
        <f>TS!B33</f>
        <v>PEKERJAAN PAVING BLOCK UK. 1,85X169 M DAN SALURAN GOT Timur P 215M</v>
      </c>
      <c r="T27" s="239">
        <f>TS!L33</f>
        <v>2.1298468791754321</v>
      </c>
      <c r="U27">
        <v>42</v>
      </c>
      <c r="V27">
        <v>43</v>
      </c>
      <c r="W27">
        <f>'BOBOT PEK'!U115</f>
        <v>4</v>
      </c>
      <c r="X27">
        <f>'BOBOT PEK'!V115</f>
        <v>10</v>
      </c>
      <c r="Y27" s="240">
        <v>110</v>
      </c>
      <c r="Z27" s="240">
        <v>114</v>
      </c>
    </row>
    <row r="28" spans="1:26" ht="25.5" customHeight="1" x14ac:dyDescent="0.2">
      <c r="A28" s="234">
        <f>IFERROR(IF(COUNTIF($C$17:C28,C28)&lt;=('BOBOT PEK'!V10-'BOBOT PEK'!U10+1),'BOBOT PEK'!U10+COUNTIF($C$17:C28,C28)-1,0),0)</f>
        <v>2</v>
      </c>
      <c r="B28" s="235" t="str">
        <f>IFERROR(TEXT(INDEX('KALENDER MINGGU'!$B$6:$B$21,$A28),"dd/mm")&amp;" - "&amp;TEXT(INDEX('KALENDER MINGGU'!$C$6:$C$21,$A28),"dd/mm"),"")</f>
        <v>30/07 - 05/08</v>
      </c>
      <c r="C28" s="234" t="s">
        <v>418</v>
      </c>
      <c r="D28" s="236" t="str">
        <f>'BOBOT PEK'!C10</f>
        <v>Pembersihan Lahan</v>
      </c>
      <c r="E28" s="237">
        <f>'BOBOT PEK'!J10</f>
        <v>0.25583746296401588</v>
      </c>
      <c r="F28" s="237">
        <f>100/('BOBOT PEK'!V10-'BOBOT PEK'!U10+1)</f>
        <v>25</v>
      </c>
      <c r="G28" s="237">
        <f t="shared" si="0"/>
        <v>6.3959365741003971E-2</v>
      </c>
      <c r="H28" s="237">
        <f>MIN(100,($A28-'BOBOT PEK'!U10+1)/('BOBOT PEK'!V10-'BOBOT PEK'!U10+1)*100)</f>
        <v>50</v>
      </c>
      <c r="I28" s="237">
        <f>IFERROR(SUM(INDEX(TS!$M:$AB,23,1):INDEX(TS!$M:$AB,23,$A28))/TS!$L$13*100,0)</f>
        <v>0</v>
      </c>
      <c r="J28" s="237">
        <f t="shared" si="1"/>
        <v>100</v>
      </c>
      <c r="K28" s="238"/>
      <c r="L28" s="238"/>
      <c r="M28" s="238"/>
      <c r="N28" s="238" t="s">
        <v>601</v>
      </c>
      <c r="O28" s="235" t="str">
        <f ca="1">IF(I28&gt;=99.9,"COMPLETED",IF('BOBOT PEK'!U10&gt;$J$7,"NOT STARTED",IF('BOBOT PEK'!V10&lt;$J$7,"CRITICAL",IF(I28+1&lt;H28,"DELAYED","ON SCHEDULE"))))</f>
        <v>CRITICAL</v>
      </c>
      <c r="P28" s="238"/>
      <c r="Q28" t="str">
        <f>IFERROR(IF(AND($A28=$B$8,'BOBOT PEK'!U10&lt;=$B$8,$B$8&lt;='BOBOT PEK'!V10),COUNTIFS($A$17:$A28,$B$8),""),"")</f>
        <v/>
      </c>
      <c r="R28" t="s">
        <v>727</v>
      </c>
      <c r="S28" t="str">
        <f>TS!B35</f>
        <v>PEKERJAAN PENERANGAN JALAN</v>
      </c>
      <c r="T28" s="239">
        <f>TS!L35</f>
        <v>1.1594553821529199</v>
      </c>
      <c r="U28">
        <v>44</v>
      </c>
      <c r="V28">
        <v>45</v>
      </c>
      <c r="W28">
        <f>'BOBOT PEK'!U121</f>
        <v>7</v>
      </c>
      <c r="X28">
        <f>'BOBOT PEK'!V121</f>
        <v>9</v>
      </c>
      <c r="Y28" s="240">
        <v>118</v>
      </c>
      <c r="Z28" s="240">
        <v>120</v>
      </c>
    </row>
    <row r="29" spans="1:26" ht="38.25" customHeight="1" x14ac:dyDescent="0.2">
      <c r="A29" s="234">
        <f>IFERROR(IF(COUNTIF($C$17:C29,C29)&lt;=('BOBOT PEK'!V11-'BOBOT PEK'!U11+1),'BOBOT PEK'!U11+COUNTIF($C$17:C29,C29)-1,0),0)</f>
        <v>2</v>
      </c>
      <c r="B29" s="235" t="str">
        <f>IFERROR(TEXT(INDEX('KALENDER MINGGU'!$B$6:$B$21,$A29),"dd/mm")&amp;" - "&amp;TEXT(INDEX('KALENDER MINGGU'!$C$6:$C$21,$A29),"dd/mm"),"")</f>
        <v>30/07 - 05/08</v>
      </c>
      <c r="C29" s="234" t="s">
        <v>419</v>
      </c>
      <c r="D29" s="236" t="str">
        <f>'BOBOT PEK'!C11</f>
        <v>Direksi Kit+Gudang Sementara</v>
      </c>
      <c r="E29" s="237">
        <f>'BOBOT PEK'!J11</f>
        <v>0</v>
      </c>
      <c r="F29" s="237">
        <f>100/('BOBOT PEK'!V11-'BOBOT PEK'!U11+1)</f>
        <v>25</v>
      </c>
      <c r="G29" s="237">
        <f t="shared" si="0"/>
        <v>0</v>
      </c>
      <c r="H29" s="237">
        <f>MIN(100,($A29-'BOBOT PEK'!U11+1)/('BOBOT PEK'!V11-'BOBOT PEK'!U11+1)*100)</f>
        <v>50</v>
      </c>
      <c r="I29" s="237">
        <f>IFERROR(SUM(INDEX(TS!$M:$AB,23,1):INDEX(TS!$M:$AB,23,$A29))/TS!$L$13*100,0)</f>
        <v>0</v>
      </c>
      <c r="J29" s="237">
        <f t="shared" si="1"/>
        <v>100</v>
      </c>
      <c r="K29" s="238"/>
      <c r="L29" s="238"/>
      <c r="M29" s="238"/>
      <c r="N29" s="238" t="s">
        <v>601</v>
      </c>
      <c r="O29" s="235" t="str">
        <f ca="1">IF(I29&gt;=99.9,"COMPLETED",IF('BOBOT PEK'!U11&gt;$J$7,"NOT STARTED",IF('BOBOT PEK'!V11&lt;$J$7,"CRITICAL",IF(I29+1&lt;H29,"DELAYED","ON SCHEDULE"))))</f>
        <v>CRITICAL</v>
      </c>
      <c r="P29" s="238"/>
      <c r="Q29" t="str">
        <f>IFERROR(IF(AND($A29=$B$8,'BOBOT PEK'!U11&lt;=$B$8,$B$8&lt;='BOBOT PEK'!V11),COUNTIFS($A$17:$A29,$B$8),""),"")</f>
        <v/>
      </c>
      <c r="R29" t="s">
        <v>728</v>
      </c>
      <c r="S29" t="str">
        <f>TS!B37</f>
        <v>PEKERJAAN SALURAN GOT UTAMA (SEKELILING GUDANG) P156+46+98+17</v>
      </c>
      <c r="T29" s="239">
        <f>TS!L37</f>
        <v>1.4889740344505722</v>
      </c>
      <c r="U29">
        <v>46</v>
      </c>
      <c r="V29">
        <v>47</v>
      </c>
      <c r="W29">
        <f>'BOBOT PEK'!U127</f>
        <v>7</v>
      </c>
      <c r="X29">
        <f>'BOBOT PEK'!V127</f>
        <v>12</v>
      </c>
      <c r="Y29" s="240">
        <v>124</v>
      </c>
      <c r="Z29" s="240">
        <v>126</v>
      </c>
    </row>
    <row r="30" spans="1:26" ht="12.75" customHeight="1" x14ac:dyDescent="0.2">
      <c r="A30" s="234">
        <f>IFERROR(IF(COUNTIF($C$17:C30,C30)&lt;=('BOBOT PEK'!V12-'BOBOT PEK'!U12+1),'BOBOT PEK'!U12+COUNTIF($C$17:C30,C30)-1,0),0)</f>
        <v>2</v>
      </c>
      <c r="B30" s="235" t="str">
        <f>IFERROR(TEXT(INDEX('KALENDER MINGGU'!$B$6:$B$21,$A30),"dd/mm")&amp;" - "&amp;TEXT(INDEX('KALENDER MINGGU'!$C$6:$C$21,$A30),"dd/mm"),"")</f>
        <v>30/07 - 05/08</v>
      </c>
      <c r="C30" s="234" t="s">
        <v>420</v>
      </c>
      <c r="D30" s="236" t="str">
        <f>'BOBOT PEK'!C12</f>
        <v>Administrasi Lapangan</v>
      </c>
      <c r="E30" s="237">
        <f>'BOBOT PEK'!J12</f>
        <v>0.12791873148200794</v>
      </c>
      <c r="F30" s="237">
        <f>100/('BOBOT PEK'!V12-'BOBOT PEK'!U12+1)</f>
        <v>25</v>
      </c>
      <c r="G30" s="237">
        <f t="shared" si="0"/>
        <v>3.1979682870501985E-2</v>
      </c>
      <c r="H30" s="237">
        <f>MIN(100,($A30-'BOBOT PEK'!U12+1)/('BOBOT PEK'!V12-'BOBOT PEK'!U12+1)*100)</f>
        <v>50</v>
      </c>
      <c r="I30" s="237">
        <f>IFERROR(SUM(INDEX(TS!$M:$AB,23,1):INDEX(TS!$M:$AB,23,$A30))/TS!$L$13*100,0)</f>
        <v>0</v>
      </c>
      <c r="J30" s="237">
        <f t="shared" si="1"/>
        <v>100</v>
      </c>
      <c r="K30" s="238"/>
      <c r="L30" s="238"/>
      <c r="M30" s="238"/>
      <c r="N30" s="238" t="s">
        <v>601</v>
      </c>
      <c r="O30" s="235" t="str">
        <f ca="1">IF(I30&gt;=99.9,"COMPLETED",IF('BOBOT PEK'!U12&gt;$J$7,"NOT STARTED",IF('BOBOT PEK'!V12&lt;$J$7,"CRITICAL",IF(I30+1&lt;H30,"DELAYED","ON SCHEDULE"))))</f>
        <v>CRITICAL</v>
      </c>
      <c r="P30" s="238"/>
      <c r="Q30" t="str">
        <f>IFERROR(IF(AND($A30=$B$8,'BOBOT PEK'!U12&lt;=$B$8,$B$8&lt;='BOBOT PEK'!V12),COUNTIFS($A$17:$A30,$B$8),""),"")</f>
        <v/>
      </c>
      <c r="R30" t="s">
        <v>729</v>
      </c>
      <c r="S30" t="str">
        <f>TS!B39</f>
        <v>PEKERJAAN LAIN LAIN</v>
      </c>
      <c r="T30" s="239">
        <f>TS!L39</f>
        <v>0.47969524305752975</v>
      </c>
      <c r="U30">
        <v>48</v>
      </c>
      <c r="V30">
        <v>49</v>
      </c>
      <c r="W30">
        <f>'BOBOT PEK'!U133</f>
        <v>8</v>
      </c>
      <c r="X30">
        <f>'BOBOT PEK'!V133</f>
        <v>12</v>
      </c>
      <c r="Y30" s="240">
        <v>130</v>
      </c>
      <c r="Z30" s="240">
        <v>132</v>
      </c>
    </row>
    <row r="31" spans="1:26" ht="38.25" customHeight="1" x14ac:dyDescent="0.2">
      <c r="A31" s="234">
        <f>IFERROR(IF(COUNTIF($C$17:C31,C31)&lt;=('BOBOT PEK'!V13-'BOBOT PEK'!U13+1),'BOBOT PEK'!U13+COUNTIF($C$17:C31,C31)-1,0),0)</f>
        <v>2</v>
      </c>
      <c r="B31" s="235" t="str">
        <f>IFERROR(TEXT(INDEX('KALENDER MINGGU'!$B$6:$B$21,$A31),"dd/mm")&amp;" - "&amp;TEXT(INDEX('KALENDER MINGGU'!$C$6:$C$21,$A31),"dd/mm"),"")</f>
        <v>30/07 - 05/08</v>
      </c>
      <c r="C31" s="234" t="s">
        <v>421</v>
      </c>
      <c r="D31" s="236" t="str">
        <f>'BOBOT PEK'!C13</f>
        <v>Skafolding dan Alat Bantu Pekerjaan</v>
      </c>
      <c r="E31" s="237">
        <f>'BOBOT PEK'!J13</f>
        <v>0.38375619444602382</v>
      </c>
      <c r="F31" s="237">
        <f>100/('BOBOT PEK'!V13-'BOBOT PEK'!U13+1)</f>
        <v>16.666666666666668</v>
      </c>
      <c r="G31" s="237">
        <f t="shared" si="0"/>
        <v>6.3959365741003985E-2</v>
      </c>
      <c r="H31" s="237">
        <f>MIN(100,($A31-'BOBOT PEK'!U13+1)/('BOBOT PEK'!V13-'BOBOT PEK'!U13+1)*100)</f>
        <v>33.333333333333329</v>
      </c>
      <c r="I31" s="237">
        <f>IFERROR(SUM(INDEX(TS!$M:$AB,23,1):INDEX(TS!$M:$AB,23,$A31))/TS!$L$13*100,0)</f>
        <v>0</v>
      </c>
      <c r="J31" s="237">
        <f t="shared" si="1"/>
        <v>100</v>
      </c>
      <c r="K31" s="238"/>
      <c r="L31" s="238"/>
      <c r="M31" s="238"/>
      <c r="N31" s="238" t="s">
        <v>601</v>
      </c>
      <c r="O31" s="235" t="str">
        <f ca="1">IF(I31&gt;=99.9,"COMPLETED",IF('BOBOT PEK'!U13&gt;$J$7,"NOT STARTED",IF('BOBOT PEK'!V13&lt;$J$7,"CRITICAL",IF(I31+1&lt;H31,"DELAYED","ON SCHEDULE"))))</f>
        <v>CRITICAL</v>
      </c>
      <c r="P31" s="238"/>
      <c r="Q31" t="str">
        <f>IFERROR(IF(AND($A31=$B$8,'BOBOT PEK'!U13&lt;=$B$8,$B$8&lt;='BOBOT PEK'!V13),COUNTIFS($A$17:$A31,$B$8),""),"")</f>
        <v/>
      </c>
      <c r="R31" t="s">
        <v>730</v>
      </c>
      <c r="S31" t="str">
        <f>TS!B41</f>
        <v>PEKERJAAN INTERIOR</v>
      </c>
      <c r="T31" s="239">
        <f>TS!L41</f>
        <v>1.5227445795618224</v>
      </c>
      <c r="U31">
        <v>50</v>
      </c>
      <c r="V31">
        <v>51</v>
      </c>
      <c r="W31">
        <f>'BOBOT PEK'!U144</f>
        <v>7</v>
      </c>
      <c r="X31">
        <f>'BOBOT PEK'!V144</f>
        <v>10</v>
      </c>
      <c r="Y31" s="240">
        <v>136</v>
      </c>
      <c r="Z31" s="240">
        <v>143</v>
      </c>
    </row>
    <row r="32" spans="1:26" ht="25.5" customHeight="1" x14ac:dyDescent="0.2">
      <c r="A32" s="234">
        <f>IFERROR(IF(COUNTIF($C$17:C32,C32)&lt;=('BOBOT PEK'!V77-'BOBOT PEK'!U77+1),'BOBOT PEK'!U77+COUNTIF($C$17:C32,C32)-1,0),0)</f>
        <v>2</v>
      </c>
      <c r="B32" s="235" t="str">
        <f>IFERROR(TEXT(INDEX('KALENDER MINGGU'!$B$6:$B$21,$A32),"dd/mm")&amp;" - "&amp;TEXT(INDEX('KALENDER MINGGU'!$C$6:$C$21,$A32),"dd/mm"),"")</f>
        <v>30/07 - 05/08</v>
      </c>
      <c r="C32" s="234" t="s">
        <v>464</v>
      </c>
      <c r="D32" s="236" t="str">
        <f>'BOBOT PEK'!C77</f>
        <v xml:space="preserve">Pengupasan aspal existing </v>
      </c>
      <c r="E32" s="237">
        <f>'BOBOT PEK'!J77</f>
        <v>3.3576108639397444</v>
      </c>
      <c r="F32" s="237">
        <f>100/('BOBOT PEK'!V77-'BOBOT PEK'!U77+1)</f>
        <v>6.25</v>
      </c>
      <c r="G32" s="237">
        <f t="shared" si="0"/>
        <v>0.20985067899623402</v>
      </c>
      <c r="H32" s="237">
        <f>MIN(100,($A32-'BOBOT PEK'!U77+1)/('BOBOT PEK'!V77-'BOBOT PEK'!U77+1)*100)</f>
        <v>12.5</v>
      </c>
      <c r="I32" s="237">
        <f>IFERROR(SUM(INDEX(TS!$M:$AB,37,1):INDEX(TS!$M:$AB,37,$A32))/TS!$L$27*100,0)</f>
        <v>0</v>
      </c>
      <c r="J32" s="237">
        <f t="shared" si="1"/>
        <v>100</v>
      </c>
      <c r="K32" s="238"/>
      <c r="L32" s="238"/>
      <c r="M32" s="238"/>
      <c r="N32" s="238" t="s">
        <v>720</v>
      </c>
      <c r="O32" s="235" t="str">
        <f ca="1">IF(I32&gt;=99.9,"COMPLETED",IF('BOBOT PEK'!U77&gt;$J$7,"NOT STARTED",IF('BOBOT PEK'!V77&lt;$J$7,"CRITICAL",IF(I32+1&lt;H32,"DELAYED","ON SCHEDULE"))))</f>
        <v>DELAYED</v>
      </c>
      <c r="P32" s="238"/>
      <c r="Q32" t="str">
        <f>IFERROR(IF(AND($A32=$B$8,'BOBOT PEK'!U77&lt;=$B$8,$B$8&lt;='BOBOT PEK'!V77),COUNTIFS($A$17:$A32,$B$8),""),"")</f>
        <v/>
      </c>
      <c r="R32" t="s">
        <v>731</v>
      </c>
      <c r="S32" t="str">
        <f>TS!B44</f>
        <v>PEKERJAAN PERSIAPAN</v>
      </c>
      <c r="T32" s="239">
        <f>TS!L44</f>
        <v>0.3080283054086751</v>
      </c>
      <c r="U32">
        <v>53</v>
      </c>
      <c r="V32">
        <v>54</v>
      </c>
      <c r="W32">
        <f>'BOBOT PEK'!U172</f>
        <v>9</v>
      </c>
      <c r="X32">
        <f>'BOBOT PEK'!V172</f>
        <v>9</v>
      </c>
      <c r="Y32" s="240">
        <v>167</v>
      </c>
      <c r="Z32" s="240">
        <v>171</v>
      </c>
    </row>
    <row r="33" spans="1:26" ht="25.5" customHeight="1" x14ac:dyDescent="0.2">
      <c r="A33" s="234">
        <f>IFERROR(IF(COUNTIF($C$17:C33,C33)&lt;=('BOBOT PEK'!V78-'BOBOT PEK'!U78+1),'BOBOT PEK'!U78+COUNTIF($C$17:C33,C33)-1,0),0)</f>
        <v>2</v>
      </c>
      <c r="B33" s="235" t="str">
        <f>IFERROR(TEXT(INDEX('KALENDER MINGGU'!$B$6:$B$21,$A33),"dd/mm")&amp;" - "&amp;TEXT(INDEX('KALENDER MINGGU'!$C$6:$C$21,$A33),"dd/mm"),"")</f>
        <v>30/07 - 05/08</v>
      </c>
      <c r="C33" s="234" t="s">
        <v>465</v>
      </c>
      <c r="D33" s="236" t="str">
        <f>'BOBOT PEK'!C78</f>
        <v xml:space="preserve">Pengupasan beton existing </v>
      </c>
      <c r="E33" s="237">
        <f>'BOBOT PEK'!J78</f>
        <v>1.9430855312117006</v>
      </c>
      <c r="F33" s="237">
        <f>100/('BOBOT PEK'!V78-'BOBOT PEK'!U78+1)</f>
        <v>6.25</v>
      </c>
      <c r="G33" s="237">
        <f t="shared" si="0"/>
        <v>0.12144284570073129</v>
      </c>
      <c r="H33" s="237">
        <f>MIN(100,($A33-'BOBOT PEK'!U78+1)/('BOBOT PEK'!V78-'BOBOT PEK'!U78+1)*100)</f>
        <v>12.5</v>
      </c>
      <c r="I33" s="237">
        <f>IFERROR(SUM(INDEX(TS!$M:$AB,37,1):INDEX(TS!$M:$AB,37,$A33))/TS!$L$27*100,0)</f>
        <v>0</v>
      </c>
      <c r="J33" s="237">
        <f t="shared" si="1"/>
        <v>100</v>
      </c>
      <c r="K33" s="238"/>
      <c r="L33" s="238"/>
      <c r="M33" s="238"/>
      <c r="N33" s="238" t="s">
        <v>720</v>
      </c>
      <c r="O33" s="235" t="str">
        <f ca="1">IF(I33&gt;=99.9,"COMPLETED",IF('BOBOT PEK'!U78&gt;$J$7,"NOT STARTED",IF('BOBOT PEK'!V78&lt;$J$7,"CRITICAL",IF(I33+1&lt;H33,"DELAYED","ON SCHEDULE"))))</f>
        <v>DELAYED</v>
      </c>
      <c r="P33" s="238"/>
      <c r="Q33" t="str">
        <f>IFERROR(IF(AND($A33=$B$8,'BOBOT PEK'!U78&lt;=$B$8,$B$8&lt;='BOBOT PEK'!V78),COUNTIFS($A$17:$A33,$B$8),""),"")</f>
        <v/>
      </c>
      <c r="R33" t="s">
        <v>732</v>
      </c>
      <c r="S33" t="str">
        <f>TS!B46</f>
        <v>LAPANGAN BADMINTOON</v>
      </c>
      <c r="T33" s="239">
        <f>TS!L46</f>
        <v>1.4145253327280438</v>
      </c>
      <c r="U33">
        <v>55</v>
      </c>
      <c r="V33">
        <v>56</v>
      </c>
      <c r="W33">
        <f>'BOBOT PEK'!U180</f>
        <v>9</v>
      </c>
      <c r="X33">
        <f>'BOBOT PEK'!V180</f>
        <v>12</v>
      </c>
      <c r="Y33" s="240">
        <v>175</v>
      </c>
      <c r="Z33" s="240">
        <v>179</v>
      </c>
    </row>
    <row r="34" spans="1:26" ht="25.5" customHeight="1" x14ac:dyDescent="0.2">
      <c r="A34" s="234">
        <f>IFERROR(IF(COUNTIF($C$17:C34,C34)&lt;=('BOBOT PEK'!V79-'BOBOT PEK'!U79+1),'BOBOT PEK'!U79+COUNTIF($C$17:C34,C34)-1,0),0)</f>
        <v>2</v>
      </c>
      <c r="B34" s="235" t="str">
        <f>IFERROR(TEXT(INDEX('KALENDER MINGGU'!$B$6:$B$21,$A34),"dd/mm")&amp;" - "&amp;TEXT(INDEX('KALENDER MINGGU'!$C$6:$C$21,$A34),"dd/mm"),"")</f>
        <v>30/07 - 05/08</v>
      </c>
      <c r="C34" s="234" t="s">
        <v>466</v>
      </c>
      <c r="D34" s="236" t="str">
        <f>'BOBOT PEK'!C79</f>
        <v>Pembuangan puing sewa truk</v>
      </c>
      <c r="E34" s="237">
        <f>'BOBOT PEK'!J79</f>
        <v>3.3766707549305637</v>
      </c>
      <c r="F34" s="237">
        <f>100/('BOBOT PEK'!V79-'BOBOT PEK'!U79+1)</f>
        <v>6.25</v>
      </c>
      <c r="G34" s="237">
        <f t="shared" si="0"/>
        <v>0.21104192218316023</v>
      </c>
      <c r="H34" s="237">
        <f>MIN(100,($A34-'BOBOT PEK'!U79+1)/('BOBOT PEK'!V79-'BOBOT PEK'!U79+1)*100)</f>
        <v>12.5</v>
      </c>
      <c r="I34" s="237">
        <f>IFERROR(SUM(INDEX(TS!$M:$AB,37,1):INDEX(TS!$M:$AB,37,$A34))/TS!$L$27*100,0)</f>
        <v>0</v>
      </c>
      <c r="J34" s="237">
        <f t="shared" si="1"/>
        <v>100</v>
      </c>
      <c r="K34" s="238"/>
      <c r="L34" s="238"/>
      <c r="M34" s="238"/>
      <c r="N34" s="238" t="s">
        <v>720</v>
      </c>
      <c r="O34" s="235" t="str">
        <f ca="1">IF(I34&gt;=99.9,"COMPLETED",IF('BOBOT PEK'!U79&gt;$J$7,"NOT STARTED",IF('BOBOT PEK'!V79&lt;$J$7,"CRITICAL",IF(I34+1&lt;H34,"DELAYED","ON SCHEDULE"))))</f>
        <v>DELAYED</v>
      </c>
      <c r="P34" s="238"/>
      <c r="Q34" t="str">
        <f>IFERROR(IF(AND($A34=$B$8,'BOBOT PEK'!U79&lt;=$B$8,$B$8&lt;='BOBOT PEK'!V79),COUNTIFS($A$17:$A34,$B$8),""),"")</f>
        <v/>
      </c>
      <c r="R34" t="s">
        <v>733</v>
      </c>
      <c r="S34" t="str">
        <f>TS!B48</f>
        <v>PEKERJAAN AREA GUDANG ATAS</v>
      </c>
      <c r="T34" s="239">
        <f>TS!L48</f>
        <v>7.4696864061603714</v>
      </c>
      <c r="U34">
        <v>57</v>
      </c>
      <c r="V34">
        <v>58</v>
      </c>
      <c r="W34">
        <f>'BOBOT PEK'!U204</f>
        <v>6</v>
      </c>
      <c r="X34">
        <f>'BOBOT PEK'!V204</f>
        <v>14</v>
      </c>
      <c r="Y34" s="240">
        <v>193</v>
      </c>
      <c r="Z34" s="240">
        <v>203</v>
      </c>
    </row>
    <row r="35" spans="1:26" ht="25.5" customHeight="1" x14ac:dyDescent="0.2">
      <c r="A35" s="234">
        <f>IFERROR(IF(COUNTIF($C$17:C35,C35)&lt;=('BOBOT PEK'!V80-'BOBOT PEK'!U80+1),'BOBOT PEK'!U80+COUNTIF($C$17:C35,C35)-1,0),0)</f>
        <v>2</v>
      </c>
      <c r="B35" s="235" t="str">
        <f>IFERROR(TEXT(INDEX('KALENDER MINGGU'!$B$6:$B$21,$A35),"dd/mm")&amp;" - "&amp;TEXT(INDEX('KALENDER MINGGU'!$C$6:$C$21,$A35),"dd/mm"),"")</f>
        <v>30/07 - 05/08</v>
      </c>
      <c r="C35" s="234" t="s">
        <v>467</v>
      </c>
      <c r="D35" s="236" t="str">
        <f>'BOBOT PEK'!C80</f>
        <v>Besi 13 ulir , kotak 30x30cm</v>
      </c>
      <c r="E35" s="237">
        <f>'BOBOT PEK'!J80</f>
        <v>15.224105695407308</v>
      </c>
      <c r="F35" s="237">
        <f>100/('BOBOT PEK'!V80-'BOBOT PEK'!U80+1)</f>
        <v>6.25</v>
      </c>
      <c r="G35" s="237">
        <f t="shared" si="0"/>
        <v>0.95150660596295678</v>
      </c>
      <c r="H35" s="237">
        <f>MIN(100,($A35-'BOBOT PEK'!U80+1)/('BOBOT PEK'!V80-'BOBOT PEK'!U80+1)*100)</f>
        <v>12.5</v>
      </c>
      <c r="I35" s="237">
        <f>IFERROR(SUM(INDEX(TS!$M:$AB,37,1):INDEX(TS!$M:$AB,37,$A35))/TS!$L$27*100,0)</f>
        <v>0</v>
      </c>
      <c r="J35" s="237">
        <f t="shared" si="1"/>
        <v>100</v>
      </c>
      <c r="K35" s="238"/>
      <c r="L35" s="238"/>
      <c r="M35" s="238"/>
      <c r="N35" s="238" t="s">
        <v>720</v>
      </c>
      <c r="O35" s="235" t="str">
        <f ca="1">IF(I35&gt;=99.9,"COMPLETED",IF('BOBOT PEK'!U80&gt;$J$7,"NOT STARTED",IF('BOBOT PEK'!V80&lt;$J$7,"CRITICAL",IF(I35+1&lt;H35,"DELAYED","ON SCHEDULE"))))</f>
        <v>DELAYED</v>
      </c>
      <c r="P35" s="238"/>
      <c r="Q35" t="str">
        <f>IFERROR(IF(AND($A35=$B$8,'BOBOT PEK'!U80&lt;=$B$8,$B$8&lt;='BOBOT PEK'!V80),COUNTIFS($A$17:$A35,$B$8),""),"")</f>
        <v/>
      </c>
      <c r="R35" t="s">
        <v>734</v>
      </c>
      <c r="S35" t="str">
        <f>TS!B51</f>
        <v>Pekerjaan Persiapan</v>
      </c>
      <c r="T35" s="239">
        <f>TS!L51</f>
        <v>0.31263337974202737</v>
      </c>
      <c r="U35">
        <v>60</v>
      </c>
      <c r="V35">
        <v>61</v>
      </c>
      <c r="W35">
        <f>'BOBOT PEK'!U216</f>
        <v>5</v>
      </c>
      <c r="X35">
        <f>'BOBOT PEK'!V216</f>
        <v>7</v>
      </c>
      <c r="Y35" s="240">
        <v>212</v>
      </c>
      <c r="Z35" s="240">
        <v>215</v>
      </c>
    </row>
    <row r="36" spans="1:26" ht="38.25" customHeight="1" x14ac:dyDescent="0.2">
      <c r="A36" s="234">
        <f>IFERROR(IF(COUNTIF($C$17:C36,C36)&lt;=('BOBOT PEK'!V81-'BOBOT PEK'!U81+1),'BOBOT PEK'!U81+COUNTIF($C$17:C36,C36)-1,0),0)</f>
        <v>2</v>
      </c>
      <c r="B36" s="235" t="str">
        <f>IFERROR(TEXT(INDEX('KALENDER MINGGU'!$B$6:$B$21,$A36),"dd/mm")&amp;" - "&amp;TEXT(INDEX('KALENDER MINGGU'!$C$6:$C$21,$A36),"dd/mm"),"")</f>
        <v>30/07 - 05/08</v>
      </c>
      <c r="C36" s="234" t="s">
        <v>468</v>
      </c>
      <c r="D36" s="236" t="str">
        <f>'BOBOT PEK'!C81</f>
        <v>Cor ready mix K-350 (tanpa trowel dan line cutting)</v>
      </c>
      <c r="E36" s="237">
        <f>'BOBOT PEK'!J81</f>
        <v>18.885237150790225</v>
      </c>
      <c r="F36" s="237">
        <f>100/('BOBOT PEK'!V81-'BOBOT PEK'!U81+1)</f>
        <v>6.25</v>
      </c>
      <c r="G36" s="237">
        <f t="shared" si="0"/>
        <v>1.1803273219243891</v>
      </c>
      <c r="H36" s="237">
        <f>MIN(100,($A36-'BOBOT PEK'!U81+1)/('BOBOT PEK'!V81-'BOBOT PEK'!U81+1)*100)</f>
        <v>12.5</v>
      </c>
      <c r="I36" s="237">
        <f>IFERROR(SUM(INDEX(TS!$M:$AB,37,1):INDEX(TS!$M:$AB,37,$A36))/TS!$L$27*100,0)</f>
        <v>0</v>
      </c>
      <c r="J36" s="237">
        <f t="shared" si="1"/>
        <v>100</v>
      </c>
      <c r="K36" s="238"/>
      <c r="L36" s="238"/>
      <c r="M36" s="238"/>
      <c r="N36" s="238" t="s">
        <v>720</v>
      </c>
      <c r="O36" s="235" t="str">
        <f ca="1">IF(I36&gt;=99.9,"COMPLETED",IF('BOBOT PEK'!U81&gt;$J$7,"NOT STARTED",IF('BOBOT PEK'!V81&lt;$J$7,"CRITICAL",IF(I36+1&lt;H36,"DELAYED","ON SCHEDULE"))))</f>
        <v>DELAYED</v>
      </c>
      <c r="P36" s="238"/>
      <c r="Q36" t="str">
        <f>IFERROR(IF(AND($A36=$B$8,'BOBOT PEK'!U81&lt;=$B$8,$B$8&lt;='BOBOT PEK'!V81),COUNTIFS($A$17:$A36,$B$8),""),"")</f>
        <v/>
      </c>
      <c r="R36" t="s">
        <v>735</v>
      </c>
      <c r="S36" t="str">
        <f>TS!B53</f>
        <v>Pekerjaan Struktur - pondasi</v>
      </c>
      <c r="T36" s="239">
        <f>TS!L53</f>
        <v>0.57269216084494956</v>
      </c>
      <c r="U36">
        <v>62</v>
      </c>
      <c r="V36">
        <v>63</v>
      </c>
      <c r="W36">
        <f>'BOBOT PEK'!U223</f>
        <v>5</v>
      </c>
      <c r="X36">
        <f>'BOBOT PEK'!V223</f>
        <v>8</v>
      </c>
      <c r="Y36" s="240">
        <v>218</v>
      </c>
      <c r="Z36" s="240">
        <v>222</v>
      </c>
    </row>
    <row r="37" spans="1:26" ht="34.5" customHeight="1" x14ac:dyDescent="0.2">
      <c r="A37" s="234">
        <f>IFERROR(IF(COUNTIF($C$17:C37,C37)&lt;=('BOBOT PEK'!V9-'BOBOT PEK'!U9+1),'BOBOT PEK'!U9+COUNTIF($C$17:C37,C37)-1,0),0)</f>
        <v>3</v>
      </c>
      <c r="B37" s="235" t="str">
        <f>IFERROR(TEXT(INDEX('KALENDER MINGGU'!$B$6:$B$21,$A37),"dd/mm")&amp;" - "&amp;TEXT(INDEX('KALENDER MINGGU'!$C$6:$C$21,$A37),"dd/mm"),"")</f>
        <v>06/08 - 12/08</v>
      </c>
      <c r="C37" s="234" t="s">
        <v>417</v>
      </c>
      <c r="D37" s="236" t="str">
        <f>'BOBOT PEK'!C9</f>
        <v>Pekerjaan Persiapan</v>
      </c>
      <c r="E37" s="237">
        <f>'BOBOT PEK'!J9</f>
        <v>0.51167492592803177</v>
      </c>
      <c r="F37" s="237">
        <f>100/('BOBOT PEK'!V9-'BOBOT PEK'!U9+1)</f>
        <v>25</v>
      </c>
      <c r="G37" s="237">
        <f t="shared" si="0"/>
        <v>0.12791873148200794</v>
      </c>
      <c r="H37" s="237">
        <f>MIN(100,($A37-'BOBOT PEK'!U9+1)/('BOBOT PEK'!V9-'BOBOT PEK'!U9+1)*100)</f>
        <v>75</v>
      </c>
      <c r="I37" s="237">
        <f>IFERROR(SUM(INDEX(TS!$M:$AB,23,1):INDEX(TS!$M:$AB,23,$A37))/TS!$L$13*100,0)</f>
        <v>0</v>
      </c>
      <c r="J37" s="237">
        <f t="shared" si="1"/>
        <v>100</v>
      </c>
      <c r="K37" s="238"/>
      <c r="L37" s="238"/>
      <c r="M37" s="238"/>
      <c r="N37" s="238" t="s">
        <v>736</v>
      </c>
      <c r="O37" s="235" t="str">
        <f ca="1">IF(I37&gt;=99.9,"COMPLETED",IF('BOBOT PEK'!U9&gt;$J$7,"NOT STARTED",IF('BOBOT PEK'!V9&lt;$J$7,"CRITICAL",IF(I37+1&lt;H37,"DELAYED","ON SCHEDULE"))))</f>
        <v>CRITICAL</v>
      </c>
      <c r="P37" s="238"/>
      <c r="Q37" t="str">
        <f>IFERROR(IF(AND($A37=$B$8,'BOBOT PEK'!U9&lt;=$B$8,$B$8&lt;='BOBOT PEK'!V9),COUNTIFS($A$17:$A37,$B$8),""),"")</f>
        <v/>
      </c>
      <c r="R37" t="s">
        <v>737</v>
      </c>
      <c r="S37" t="str">
        <f>TS!B55</f>
        <v>Pekerjaan Struktur - kolom</v>
      </c>
      <c r="T37" s="239">
        <f>TS!L55</f>
        <v>0.34384555022363733</v>
      </c>
      <c r="U37">
        <v>64</v>
      </c>
      <c r="V37">
        <v>65</v>
      </c>
      <c r="W37">
        <f>'BOBOT PEK'!U227</f>
        <v>5</v>
      </c>
      <c r="X37">
        <f>'BOBOT PEK'!V227</f>
        <v>10</v>
      </c>
      <c r="Y37" s="240">
        <v>225</v>
      </c>
      <c r="Z37" s="240">
        <v>226</v>
      </c>
    </row>
    <row r="38" spans="1:26" ht="38.25" customHeight="1" x14ac:dyDescent="0.2">
      <c r="A38" s="234">
        <f>IFERROR(IF(COUNTIF($C$17:C38,C38)&lt;=('BOBOT PEK'!V10-'BOBOT PEK'!U10+1),'BOBOT PEK'!U10+COUNTIF($C$17:C38,C38)-1,0),0)</f>
        <v>3</v>
      </c>
      <c r="B38" s="235" t="str">
        <f>IFERROR(TEXT(INDEX('KALENDER MINGGU'!$B$6:$B$21,$A38),"dd/mm")&amp;" - "&amp;TEXT(INDEX('KALENDER MINGGU'!$C$6:$C$21,$A38),"dd/mm"),"")</f>
        <v>06/08 - 12/08</v>
      </c>
      <c r="C38" s="234" t="s">
        <v>418</v>
      </c>
      <c r="D38" s="236" t="str">
        <f>'BOBOT PEK'!C10</f>
        <v>Pembersihan Lahan</v>
      </c>
      <c r="E38" s="237">
        <f>'BOBOT PEK'!J10</f>
        <v>0.25583746296401588</v>
      </c>
      <c r="F38" s="237">
        <f>100/('BOBOT PEK'!V10-'BOBOT PEK'!U10+1)</f>
        <v>25</v>
      </c>
      <c r="G38" s="237">
        <f t="shared" si="0"/>
        <v>6.3959365741003971E-2</v>
      </c>
      <c r="H38" s="237">
        <f>MIN(100,($A38-'BOBOT PEK'!U10+1)/('BOBOT PEK'!V10-'BOBOT PEK'!U10+1)*100)</f>
        <v>75</v>
      </c>
      <c r="I38" s="237">
        <f>IFERROR(SUM(INDEX(TS!$M:$AB,23,1):INDEX(TS!$M:$AB,23,$A38))/TS!$L$13*100,0)</f>
        <v>0</v>
      </c>
      <c r="J38" s="237">
        <f t="shared" si="1"/>
        <v>100</v>
      </c>
      <c r="K38" s="238"/>
      <c r="L38" s="238"/>
      <c r="M38" s="238"/>
      <c r="N38" s="238" t="s">
        <v>736</v>
      </c>
      <c r="O38" s="235" t="str">
        <f ca="1">IF(I38&gt;=99.9,"COMPLETED",IF('BOBOT PEK'!U10&gt;$J$7,"NOT STARTED",IF('BOBOT PEK'!V10&lt;$J$7,"CRITICAL",IF(I38+1&lt;H38,"DELAYED","ON SCHEDULE"))))</f>
        <v>CRITICAL</v>
      </c>
      <c r="P38" s="238"/>
      <c r="Q38" t="str">
        <f>IFERROR(IF(AND($A38=$B$8,'BOBOT PEK'!U10&lt;=$B$8,$B$8&lt;='BOBOT PEK'!V10),COUNTIFS($A$17:$A38,$B$8),""),"")</f>
        <v/>
      </c>
      <c r="R38" t="s">
        <v>738</v>
      </c>
      <c r="S38" t="str">
        <f>TS!B57</f>
        <v>Pekerjaan Atap</v>
      </c>
      <c r="T38" s="239">
        <f>TS!L57</f>
        <v>1.4490633902281858</v>
      </c>
      <c r="U38">
        <v>66</v>
      </c>
      <c r="V38">
        <v>67</v>
      </c>
      <c r="W38">
        <f>'BOBOT PEK'!U231</f>
        <v>7</v>
      </c>
      <c r="X38">
        <f>'BOBOT PEK'!V231</f>
        <v>9</v>
      </c>
      <c r="Y38" s="240">
        <v>229</v>
      </c>
      <c r="Z38" s="240">
        <v>230</v>
      </c>
    </row>
    <row r="39" spans="1:26" ht="25.5" customHeight="1" x14ac:dyDescent="0.2">
      <c r="A39" s="234">
        <f>IFERROR(IF(COUNTIF($C$17:C39,C39)&lt;=('BOBOT PEK'!V11-'BOBOT PEK'!U11+1),'BOBOT PEK'!U11+COUNTIF($C$17:C39,C39)-1,0),0)</f>
        <v>3</v>
      </c>
      <c r="B39" s="235" t="str">
        <f>IFERROR(TEXT(INDEX('KALENDER MINGGU'!$B$6:$B$21,$A39),"dd/mm")&amp;" - "&amp;TEXT(INDEX('KALENDER MINGGU'!$C$6:$C$21,$A39),"dd/mm"),"")</f>
        <v>06/08 - 12/08</v>
      </c>
      <c r="C39" s="234" t="s">
        <v>419</v>
      </c>
      <c r="D39" s="236" t="str">
        <f>'BOBOT PEK'!C11</f>
        <v>Direksi Kit+Gudang Sementara</v>
      </c>
      <c r="E39" s="237">
        <f>'BOBOT PEK'!J11</f>
        <v>0</v>
      </c>
      <c r="F39" s="237">
        <f>100/('BOBOT PEK'!V11-'BOBOT PEK'!U11+1)</f>
        <v>25</v>
      </c>
      <c r="G39" s="237">
        <f t="shared" si="0"/>
        <v>0</v>
      </c>
      <c r="H39" s="237">
        <f>MIN(100,($A39-'BOBOT PEK'!U11+1)/('BOBOT PEK'!V11-'BOBOT PEK'!U11+1)*100)</f>
        <v>75</v>
      </c>
      <c r="I39" s="237">
        <f>IFERROR(SUM(INDEX(TS!$M:$AB,23,1):INDEX(TS!$M:$AB,23,$A39))/TS!$L$13*100,0)</f>
        <v>0</v>
      </c>
      <c r="J39" s="237">
        <f t="shared" si="1"/>
        <v>100</v>
      </c>
      <c r="K39" s="238"/>
      <c r="L39" s="238"/>
      <c r="M39" s="238"/>
      <c r="N39" s="238" t="s">
        <v>736</v>
      </c>
      <c r="O39" s="235" t="str">
        <f ca="1">IF(I39&gt;=99.9,"COMPLETED",IF('BOBOT PEK'!U11&gt;$J$7,"NOT STARTED",IF('BOBOT PEK'!V11&lt;$J$7,"CRITICAL",IF(I39+1&lt;H39,"DELAYED","ON SCHEDULE"))))</f>
        <v>CRITICAL</v>
      </c>
      <c r="P39" s="238"/>
      <c r="Q39" t="str">
        <f>IFERROR(IF(AND($A39=$B$8,'BOBOT PEK'!U11&lt;=$B$8,$B$8&lt;='BOBOT PEK'!V11),COUNTIFS($A$17:$A39,$B$8),""),"")</f>
        <v/>
      </c>
      <c r="R39" t="s">
        <v>739</v>
      </c>
      <c r="S39" t="str">
        <f>TS!B59</f>
        <v>Pekerjaan Arsitektur</v>
      </c>
      <c r="T39" s="239">
        <f>TS!L59</f>
        <v>3.7531355816821126</v>
      </c>
      <c r="U39">
        <v>68</v>
      </c>
      <c r="V39">
        <v>69</v>
      </c>
      <c r="W39">
        <f>'BOBOT PEK'!U246</f>
        <v>5</v>
      </c>
      <c r="X39">
        <f>'BOBOT PEK'!V246</f>
        <v>12</v>
      </c>
      <c r="Y39" s="240">
        <v>233</v>
      </c>
      <c r="Z39" s="240">
        <v>245</v>
      </c>
    </row>
    <row r="40" spans="1:26" ht="25.5" customHeight="1" x14ac:dyDescent="0.2">
      <c r="A40" s="234">
        <f>IFERROR(IF(COUNTIF($C$17:C40,C40)&lt;=('BOBOT PEK'!V12-'BOBOT PEK'!U12+1),'BOBOT PEK'!U12+COUNTIF($C$17:C40,C40)-1,0),0)</f>
        <v>3</v>
      </c>
      <c r="B40" s="235" t="str">
        <f>IFERROR(TEXT(INDEX('KALENDER MINGGU'!$B$6:$B$21,$A40),"dd/mm")&amp;" - "&amp;TEXT(INDEX('KALENDER MINGGU'!$C$6:$C$21,$A40),"dd/mm"),"")</f>
        <v>06/08 - 12/08</v>
      </c>
      <c r="C40" s="234" t="s">
        <v>420</v>
      </c>
      <c r="D40" s="236" t="str">
        <f>'BOBOT PEK'!C12</f>
        <v>Administrasi Lapangan</v>
      </c>
      <c r="E40" s="237">
        <f>'BOBOT PEK'!J12</f>
        <v>0.12791873148200794</v>
      </c>
      <c r="F40" s="237">
        <f>100/('BOBOT PEK'!V12-'BOBOT PEK'!U12+1)</f>
        <v>25</v>
      </c>
      <c r="G40" s="237">
        <f t="shared" si="0"/>
        <v>3.1979682870501985E-2</v>
      </c>
      <c r="H40" s="237">
        <f>MIN(100,($A40-'BOBOT PEK'!U12+1)/('BOBOT PEK'!V12-'BOBOT PEK'!U12+1)*100)</f>
        <v>75</v>
      </c>
      <c r="I40" s="237">
        <f>IFERROR(SUM(INDEX(TS!$M:$AB,23,1):INDEX(TS!$M:$AB,23,$A40))/TS!$L$13*100,0)</f>
        <v>0</v>
      </c>
      <c r="J40" s="237">
        <f t="shared" si="1"/>
        <v>100</v>
      </c>
      <c r="K40" s="238"/>
      <c r="L40" s="238"/>
      <c r="M40" s="238"/>
      <c r="N40" s="238" t="s">
        <v>736</v>
      </c>
      <c r="O40" s="235" t="str">
        <f ca="1">IF(I40&gt;=99.9,"COMPLETED",IF('BOBOT PEK'!U12&gt;$J$7,"NOT STARTED",IF('BOBOT PEK'!V12&lt;$J$7,"CRITICAL",IF(I40+1&lt;H40,"DELAYED","ON SCHEDULE"))))</f>
        <v>CRITICAL</v>
      </c>
      <c r="P40" s="238"/>
      <c r="Q40" t="str">
        <f>IFERROR(IF(AND($A40=$B$8,'BOBOT PEK'!U12&lt;=$B$8,$B$8&lt;='BOBOT PEK'!V12),COUNTIFS($A$17:$A40,$B$8),""),"")</f>
        <v/>
      </c>
      <c r="R40" t="s">
        <v>740</v>
      </c>
      <c r="S40" t="str">
        <f>TS!B61</f>
        <v>Pekerjaan Lain lain</v>
      </c>
      <c r="T40" s="239">
        <f>TS!L61</f>
        <v>0.30419074346421487</v>
      </c>
      <c r="U40">
        <v>70</v>
      </c>
      <c r="V40">
        <v>71</v>
      </c>
      <c r="W40">
        <f>'BOBOT PEK'!U251</f>
        <v>9</v>
      </c>
      <c r="X40">
        <f>'BOBOT PEK'!V251</f>
        <v>10</v>
      </c>
      <c r="Y40" s="240">
        <v>248</v>
      </c>
      <c r="Z40" s="240">
        <v>250</v>
      </c>
    </row>
    <row r="41" spans="1:26" ht="25.5" customHeight="1" x14ac:dyDescent="0.2">
      <c r="A41" s="234">
        <f>IFERROR(IF(COUNTIF($C$17:C41,C41)&lt;=('BOBOT PEK'!V13-'BOBOT PEK'!U13+1),'BOBOT PEK'!U13+COUNTIF($C$17:C41,C41)-1,0),0)</f>
        <v>3</v>
      </c>
      <c r="B41" s="235" t="str">
        <f>IFERROR(TEXT(INDEX('KALENDER MINGGU'!$B$6:$B$21,$A41),"dd/mm")&amp;" - "&amp;TEXT(INDEX('KALENDER MINGGU'!$C$6:$C$21,$A41),"dd/mm"),"")</f>
        <v>06/08 - 12/08</v>
      </c>
      <c r="C41" s="234" t="s">
        <v>421</v>
      </c>
      <c r="D41" s="236" t="str">
        <f>'BOBOT PEK'!C13</f>
        <v>Skafolding dan Alat Bantu Pekerjaan</v>
      </c>
      <c r="E41" s="237">
        <f>'BOBOT PEK'!J13</f>
        <v>0.38375619444602382</v>
      </c>
      <c r="F41" s="237">
        <f>100/('BOBOT PEK'!V13-'BOBOT PEK'!U13+1)</f>
        <v>16.666666666666668</v>
      </c>
      <c r="G41" s="237">
        <f t="shared" si="0"/>
        <v>6.3959365741003985E-2</v>
      </c>
      <c r="H41" s="237">
        <f>MIN(100,($A41-'BOBOT PEK'!U13+1)/('BOBOT PEK'!V13-'BOBOT PEK'!U13+1)*100)</f>
        <v>50</v>
      </c>
      <c r="I41" s="237">
        <f>IFERROR(SUM(INDEX(TS!$M:$AB,23,1):INDEX(TS!$M:$AB,23,$A41))/TS!$L$13*100,0)</f>
        <v>0</v>
      </c>
      <c r="J41" s="237">
        <f t="shared" si="1"/>
        <v>100</v>
      </c>
      <c r="K41" s="238"/>
      <c r="L41" s="238"/>
      <c r="M41" s="238"/>
      <c r="N41" s="238" t="s">
        <v>736</v>
      </c>
      <c r="O41" s="235" t="str">
        <f ca="1">IF(I41&gt;=99.9,"COMPLETED",IF('BOBOT PEK'!U13&gt;$J$7,"NOT STARTED",IF('BOBOT PEK'!V13&lt;$J$7,"CRITICAL",IF(I41+1&lt;H41,"DELAYED","ON SCHEDULE"))))</f>
        <v>CRITICAL</v>
      </c>
      <c r="P41" s="238"/>
      <c r="Q41" t="str">
        <f>IFERROR(IF(AND($A41=$B$8,'BOBOT PEK'!U13&lt;=$B$8,$B$8&lt;='BOBOT PEK'!V13),COUNTIFS($A$17:$A41,$B$8),""),"")</f>
        <v/>
      </c>
      <c r="R41" t="s">
        <v>741</v>
      </c>
      <c r="S41" t="str">
        <f>TS!B63</f>
        <v>Pekerjaan Interior Pos Satpam</v>
      </c>
      <c r="T41" s="239">
        <f>TS!L63</f>
        <v>0.14582735388948906</v>
      </c>
      <c r="U41">
        <v>72</v>
      </c>
      <c r="V41">
        <v>73</v>
      </c>
      <c r="W41">
        <f>'BOBOT PEK'!U256</f>
        <v>13</v>
      </c>
      <c r="X41">
        <f>'BOBOT PEK'!V256</f>
        <v>14</v>
      </c>
      <c r="Y41" s="240">
        <v>253</v>
      </c>
      <c r="Z41" s="240">
        <v>255</v>
      </c>
    </row>
    <row r="42" spans="1:26" ht="25.5" customHeight="1" x14ac:dyDescent="0.2">
      <c r="A42" s="234">
        <f>IFERROR(IF(COUNTIF($C$17:C42,C42)&lt;=('BOBOT PEK'!V77-'BOBOT PEK'!U77+1),'BOBOT PEK'!U77+COUNTIF($C$17:C42,C42)-1,0),0)</f>
        <v>3</v>
      </c>
      <c r="B42" s="235" t="str">
        <f>IFERROR(TEXT(INDEX('KALENDER MINGGU'!$B$6:$B$21,$A42),"dd/mm")&amp;" - "&amp;TEXT(INDEX('KALENDER MINGGU'!$C$6:$C$21,$A42),"dd/mm"),"")</f>
        <v>06/08 - 12/08</v>
      </c>
      <c r="C42" s="234" t="s">
        <v>464</v>
      </c>
      <c r="D42" s="236" t="str">
        <f>'BOBOT PEK'!C77</f>
        <v xml:space="preserve">Pengupasan aspal existing </v>
      </c>
      <c r="E42" s="237">
        <f>'BOBOT PEK'!J77</f>
        <v>3.3576108639397444</v>
      </c>
      <c r="F42" s="237">
        <f>100/('BOBOT PEK'!V77-'BOBOT PEK'!U77+1)</f>
        <v>6.25</v>
      </c>
      <c r="G42" s="237">
        <f t="shared" si="0"/>
        <v>0.20985067899623402</v>
      </c>
      <c r="H42" s="237">
        <f>MIN(100,($A42-'BOBOT PEK'!U77+1)/('BOBOT PEK'!V77-'BOBOT PEK'!U77+1)*100)</f>
        <v>18.75</v>
      </c>
      <c r="I42" s="237">
        <f>IFERROR(SUM(INDEX(TS!$M:$AB,37,1):INDEX(TS!$M:$AB,37,$A42))/TS!$L$27*100,0)</f>
        <v>0</v>
      </c>
      <c r="J42" s="237">
        <f t="shared" si="1"/>
        <v>100</v>
      </c>
      <c r="K42" s="238"/>
      <c r="L42" s="238"/>
      <c r="M42" s="238"/>
      <c r="N42" s="238" t="s">
        <v>720</v>
      </c>
      <c r="O42" s="235" t="str">
        <f ca="1">IF(I42&gt;=99.9,"COMPLETED",IF('BOBOT PEK'!U77&gt;$J$7,"NOT STARTED",IF('BOBOT PEK'!V77&lt;$J$7,"CRITICAL",IF(I42+1&lt;H42,"DELAYED","ON SCHEDULE"))))</f>
        <v>DELAYED</v>
      </c>
      <c r="P42" s="238"/>
      <c r="Q42" t="str">
        <f>IFERROR(IF(AND($A42=$B$8,'BOBOT PEK'!U77&lt;=$B$8,$B$8&lt;='BOBOT PEK'!V77),COUNTIFS($A$17:$A42,$B$8),""),"")</f>
        <v/>
      </c>
    </row>
    <row r="43" spans="1:26" ht="23.25" customHeight="1" x14ac:dyDescent="0.2">
      <c r="A43" s="234">
        <f>IFERROR(IF(COUNTIF($C$17:C43,C43)&lt;=('BOBOT PEK'!V78-'BOBOT PEK'!U78+1),'BOBOT PEK'!U78+COUNTIF($C$17:C43,C43)-1,0),0)</f>
        <v>3</v>
      </c>
      <c r="B43" s="235" t="str">
        <f>IFERROR(TEXT(INDEX('KALENDER MINGGU'!$B$6:$B$21,$A43),"dd/mm")&amp;" - "&amp;TEXT(INDEX('KALENDER MINGGU'!$C$6:$C$21,$A43),"dd/mm"),"")</f>
        <v>06/08 - 12/08</v>
      </c>
      <c r="C43" s="234" t="s">
        <v>465</v>
      </c>
      <c r="D43" s="236" t="str">
        <f>'BOBOT PEK'!C78</f>
        <v xml:space="preserve">Pengupasan beton existing </v>
      </c>
      <c r="E43" s="237">
        <f>'BOBOT PEK'!J78</f>
        <v>1.9430855312117006</v>
      </c>
      <c r="F43" s="237">
        <f>100/('BOBOT PEK'!V78-'BOBOT PEK'!U78+1)</f>
        <v>6.25</v>
      </c>
      <c r="G43" s="237">
        <f t="shared" si="0"/>
        <v>0.12144284570073129</v>
      </c>
      <c r="H43" s="237">
        <f>MIN(100,($A43-'BOBOT PEK'!U78+1)/('BOBOT PEK'!V78-'BOBOT PEK'!U78+1)*100)</f>
        <v>18.75</v>
      </c>
      <c r="I43" s="237">
        <f>IFERROR(SUM(INDEX(TS!$M:$AB,37,1):INDEX(TS!$M:$AB,37,$A43))/TS!$L$27*100,0)</f>
        <v>0</v>
      </c>
      <c r="J43" s="237">
        <f t="shared" si="1"/>
        <v>100</v>
      </c>
      <c r="K43" s="238"/>
      <c r="L43" s="238"/>
      <c r="M43" s="238"/>
      <c r="N43" s="238" t="s">
        <v>720</v>
      </c>
      <c r="O43" s="235" t="str">
        <f ca="1">IF(I43&gt;=99.9,"COMPLETED",IF('BOBOT PEK'!U78&gt;$J$7,"NOT STARTED",IF('BOBOT PEK'!V78&lt;$J$7,"CRITICAL",IF(I43+1&lt;H43,"DELAYED","ON SCHEDULE"))))</f>
        <v>DELAYED</v>
      </c>
      <c r="P43" s="238"/>
      <c r="Q43" t="str">
        <f>IFERROR(IF(AND($A43=$B$8,'BOBOT PEK'!U78&lt;=$B$8,$B$8&lt;='BOBOT PEK'!V78),COUNTIFS($A$17:$A43,$B$8),""),"")</f>
        <v/>
      </c>
    </row>
    <row r="44" spans="1:26" ht="38.25" customHeight="1" x14ac:dyDescent="0.2">
      <c r="A44" s="234">
        <f>IFERROR(IF(COUNTIF($C$17:C44,C44)&lt;=('BOBOT PEK'!V79-'BOBOT PEK'!U79+1),'BOBOT PEK'!U79+COUNTIF($C$17:C44,C44)-1,0),0)</f>
        <v>3</v>
      </c>
      <c r="B44" s="235" t="str">
        <f>IFERROR(TEXT(INDEX('KALENDER MINGGU'!$B$6:$B$21,$A44),"dd/mm")&amp;" - "&amp;TEXT(INDEX('KALENDER MINGGU'!$C$6:$C$21,$A44),"dd/mm"),"")</f>
        <v>06/08 - 12/08</v>
      </c>
      <c r="C44" s="234" t="s">
        <v>466</v>
      </c>
      <c r="D44" s="236" t="str">
        <f>'BOBOT PEK'!C79</f>
        <v>Pembuangan puing sewa truk</v>
      </c>
      <c r="E44" s="237">
        <f>'BOBOT PEK'!J79</f>
        <v>3.3766707549305637</v>
      </c>
      <c r="F44" s="237">
        <f>100/('BOBOT PEK'!V79-'BOBOT PEK'!U79+1)</f>
        <v>6.25</v>
      </c>
      <c r="G44" s="237">
        <f t="shared" si="0"/>
        <v>0.21104192218316023</v>
      </c>
      <c r="H44" s="237">
        <f>MIN(100,($A44-'BOBOT PEK'!U79+1)/('BOBOT PEK'!V79-'BOBOT PEK'!U79+1)*100)</f>
        <v>18.75</v>
      </c>
      <c r="I44" s="237">
        <f>IFERROR(SUM(INDEX(TS!$M:$AB,37,1):INDEX(TS!$M:$AB,37,$A44))/TS!$L$27*100,0)</f>
        <v>0</v>
      </c>
      <c r="J44" s="237">
        <f t="shared" si="1"/>
        <v>100</v>
      </c>
      <c r="K44" s="238"/>
      <c r="L44" s="238"/>
      <c r="M44" s="238"/>
      <c r="N44" s="238" t="s">
        <v>720</v>
      </c>
      <c r="O44" s="235" t="str">
        <f ca="1">IF(I44&gt;=99.9,"COMPLETED",IF('BOBOT PEK'!U79&gt;$J$7,"NOT STARTED",IF('BOBOT PEK'!V79&lt;$J$7,"CRITICAL",IF(I44+1&lt;H44,"DELAYED","ON SCHEDULE"))))</f>
        <v>DELAYED</v>
      </c>
      <c r="P44" s="238"/>
      <c r="Q44" t="str">
        <f>IFERROR(IF(AND($A44=$B$8,'BOBOT PEK'!U79&lt;=$B$8,$B$8&lt;='BOBOT PEK'!V79),COUNTIFS($A$17:$A44,$B$8),""),"")</f>
        <v/>
      </c>
    </row>
    <row r="45" spans="1:26" ht="25.5" customHeight="1" x14ac:dyDescent="0.2">
      <c r="A45" s="234">
        <f>IFERROR(IF(COUNTIF($C$17:C45,C45)&lt;=('BOBOT PEK'!V80-'BOBOT PEK'!U80+1),'BOBOT PEK'!U80+COUNTIF($C$17:C45,C45)-1,0),0)</f>
        <v>3</v>
      </c>
      <c r="B45" s="235" t="str">
        <f>IFERROR(TEXT(INDEX('KALENDER MINGGU'!$B$6:$B$21,$A45),"dd/mm")&amp;" - "&amp;TEXT(INDEX('KALENDER MINGGU'!$C$6:$C$21,$A45),"dd/mm"),"")</f>
        <v>06/08 - 12/08</v>
      </c>
      <c r="C45" s="234" t="s">
        <v>467</v>
      </c>
      <c r="D45" s="236" t="str">
        <f>'BOBOT PEK'!C80</f>
        <v>Besi 13 ulir , kotak 30x30cm</v>
      </c>
      <c r="E45" s="237">
        <f>'BOBOT PEK'!J80</f>
        <v>15.224105695407308</v>
      </c>
      <c r="F45" s="237">
        <f>100/('BOBOT PEK'!V80-'BOBOT PEK'!U80+1)</f>
        <v>6.25</v>
      </c>
      <c r="G45" s="237">
        <f t="shared" si="0"/>
        <v>0.95150660596295678</v>
      </c>
      <c r="H45" s="237">
        <f>MIN(100,($A45-'BOBOT PEK'!U80+1)/('BOBOT PEK'!V80-'BOBOT PEK'!U80+1)*100)</f>
        <v>18.75</v>
      </c>
      <c r="I45" s="237">
        <f>IFERROR(SUM(INDEX(TS!$M:$AB,37,1):INDEX(TS!$M:$AB,37,$A45))/TS!$L$27*100,0)</f>
        <v>0</v>
      </c>
      <c r="J45" s="237">
        <f t="shared" si="1"/>
        <v>100</v>
      </c>
      <c r="K45" s="238"/>
      <c r="L45" s="238"/>
      <c r="M45" s="238"/>
      <c r="N45" s="238" t="s">
        <v>720</v>
      </c>
      <c r="O45" s="235" t="str">
        <f ca="1">IF(I45&gt;=99.9,"COMPLETED",IF('BOBOT PEK'!U80&gt;$J$7,"NOT STARTED",IF('BOBOT PEK'!V80&lt;$J$7,"CRITICAL",IF(I45+1&lt;H45,"DELAYED","ON SCHEDULE"))))</f>
        <v>DELAYED</v>
      </c>
      <c r="P45" s="238"/>
      <c r="Q45" t="str">
        <f>IFERROR(IF(AND($A45=$B$8,'BOBOT PEK'!U80&lt;=$B$8,$B$8&lt;='BOBOT PEK'!V80),COUNTIFS($A$17:$A45,$B$8),""),"")</f>
        <v/>
      </c>
    </row>
    <row r="46" spans="1:26" ht="25.5" customHeight="1" x14ac:dyDescent="0.2">
      <c r="A46" s="234">
        <f>IFERROR(IF(COUNTIF($C$17:C46,C46)&lt;=('BOBOT PEK'!V81-'BOBOT PEK'!U81+1),'BOBOT PEK'!U81+COUNTIF($C$17:C46,C46)-1,0),0)</f>
        <v>3</v>
      </c>
      <c r="B46" s="235" t="str">
        <f>IFERROR(TEXT(INDEX('KALENDER MINGGU'!$B$6:$B$21,$A46),"dd/mm")&amp;" - "&amp;TEXT(INDEX('KALENDER MINGGU'!$C$6:$C$21,$A46),"dd/mm"),"")</f>
        <v>06/08 - 12/08</v>
      </c>
      <c r="C46" s="234" t="s">
        <v>468</v>
      </c>
      <c r="D46" s="236" t="str">
        <f>'BOBOT PEK'!C81</f>
        <v>Cor ready mix K-350 (tanpa trowel dan line cutting)</v>
      </c>
      <c r="E46" s="237">
        <f>'BOBOT PEK'!J81</f>
        <v>18.885237150790225</v>
      </c>
      <c r="F46" s="237">
        <f>100/('BOBOT PEK'!V81-'BOBOT PEK'!U81+1)</f>
        <v>6.25</v>
      </c>
      <c r="G46" s="237">
        <f t="shared" si="0"/>
        <v>1.1803273219243891</v>
      </c>
      <c r="H46" s="237">
        <f>MIN(100,($A46-'BOBOT PEK'!U81+1)/('BOBOT PEK'!V81-'BOBOT PEK'!U81+1)*100)</f>
        <v>18.75</v>
      </c>
      <c r="I46" s="237">
        <f>IFERROR(SUM(INDEX(TS!$M:$AB,37,1):INDEX(TS!$M:$AB,37,$A46))/TS!$L$27*100,0)</f>
        <v>0</v>
      </c>
      <c r="J46" s="237">
        <f t="shared" si="1"/>
        <v>100</v>
      </c>
      <c r="K46" s="238"/>
      <c r="L46" s="238"/>
      <c r="M46" s="238"/>
      <c r="N46" s="238" t="s">
        <v>720</v>
      </c>
      <c r="O46" s="235" t="str">
        <f ca="1">IF(I46&gt;=99.9,"COMPLETED",IF('BOBOT PEK'!U81&gt;$J$7,"NOT STARTED",IF('BOBOT PEK'!V81&lt;$J$7,"CRITICAL",IF(I46+1&lt;H46,"DELAYED","ON SCHEDULE"))))</f>
        <v>DELAYED</v>
      </c>
      <c r="P46" s="238"/>
      <c r="Q46" t="str">
        <f>IFERROR(IF(AND($A46=$B$8,'BOBOT PEK'!U81&lt;=$B$8,$B$8&lt;='BOBOT PEK'!V81),COUNTIFS($A$17:$A46,$B$8),""),"")</f>
        <v/>
      </c>
    </row>
    <row r="47" spans="1:26" ht="25.5" customHeight="1" x14ac:dyDescent="0.2">
      <c r="A47" s="234">
        <f>IFERROR(IF(COUNTIF($C$17:C47,C47)&lt;=('BOBOT PEK'!V9-'BOBOT PEK'!U9+1),'BOBOT PEK'!U9+COUNTIF($C$17:C47,C47)-1,0),0)</f>
        <v>4</v>
      </c>
      <c r="B47" s="235" t="str">
        <f>IFERROR(TEXT(INDEX('KALENDER MINGGU'!$B$6:$B$21,$A47),"dd/mm")&amp;" - "&amp;TEXT(INDEX('KALENDER MINGGU'!$C$6:$C$21,$A47),"dd/mm"),"")</f>
        <v>13/08 - 19/08</v>
      </c>
      <c r="C47" s="234" t="s">
        <v>417</v>
      </c>
      <c r="D47" s="236" t="str">
        <f>'BOBOT PEK'!C9</f>
        <v>Pekerjaan Persiapan</v>
      </c>
      <c r="E47" s="237">
        <f>'BOBOT PEK'!J9</f>
        <v>0.51167492592803177</v>
      </c>
      <c r="F47" s="237">
        <f>100/('BOBOT PEK'!V9-'BOBOT PEK'!U9+1)</f>
        <v>25</v>
      </c>
      <c r="G47" s="237">
        <f t="shared" si="0"/>
        <v>0.12791873148200794</v>
      </c>
      <c r="H47" s="237">
        <f>MIN(100,($A47-'BOBOT PEK'!U9+1)/('BOBOT PEK'!V9-'BOBOT PEK'!U9+1)*100)</f>
        <v>100</v>
      </c>
      <c r="I47" s="237">
        <f>IFERROR(SUM(INDEX(TS!$M:$AB,23,1):INDEX(TS!$M:$AB,23,$A47))/TS!$L$13*100,0)</f>
        <v>0</v>
      </c>
      <c r="J47" s="237">
        <f t="shared" si="1"/>
        <v>100</v>
      </c>
      <c r="K47" s="238"/>
      <c r="L47" s="238"/>
      <c r="M47" s="238"/>
      <c r="N47" s="238"/>
      <c r="O47" s="235" t="str">
        <f ca="1">IF(I47&gt;=99.9,"COMPLETED",IF('BOBOT PEK'!U9&gt;$J$7,"NOT STARTED",IF('BOBOT PEK'!V9&lt;$J$7,"CRITICAL",IF(I47+1&lt;H47,"DELAYED","ON SCHEDULE"))))</f>
        <v>CRITICAL</v>
      </c>
      <c r="P47" s="238"/>
      <c r="Q47" t="str">
        <f>IFERROR(IF(AND($A47=$B$8,'BOBOT PEK'!U9&lt;=$B$8,$B$8&lt;='BOBOT PEK'!V9),COUNTIFS($A$17:$A47,$B$8),""),"")</f>
        <v/>
      </c>
    </row>
    <row r="48" spans="1:26" ht="25.5" customHeight="1" x14ac:dyDescent="0.2">
      <c r="A48" s="234">
        <f>IFERROR(IF(COUNTIF($C$17:C48,C48)&lt;=('BOBOT PEK'!V10-'BOBOT PEK'!U10+1),'BOBOT PEK'!U10+COUNTIF($C$17:C48,C48)-1,0),0)</f>
        <v>4</v>
      </c>
      <c r="B48" s="235" t="str">
        <f>IFERROR(TEXT(INDEX('KALENDER MINGGU'!$B$6:$B$21,$A48),"dd/mm")&amp;" - "&amp;TEXT(INDEX('KALENDER MINGGU'!$C$6:$C$21,$A48),"dd/mm"),"")</f>
        <v>13/08 - 19/08</v>
      </c>
      <c r="C48" s="234" t="s">
        <v>418</v>
      </c>
      <c r="D48" s="236" t="str">
        <f>'BOBOT PEK'!C10</f>
        <v>Pembersihan Lahan</v>
      </c>
      <c r="E48" s="237">
        <f>'BOBOT PEK'!J10</f>
        <v>0.25583746296401588</v>
      </c>
      <c r="F48" s="237">
        <f>100/('BOBOT PEK'!V10-'BOBOT PEK'!U10+1)</f>
        <v>25</v>
      </c>
      <c r="G48" s="237">
        <f t="shared" si="0"/>
        <v>6.3959365741003971E-2</v>
      </c>
      <c r="H48" s="237">
        <f>MIN(100,($A48-'BOBOT PEK'!U10+1)/('BOBOT PEK'!V10-'BOBOT PEK'!U10+1)*100)</f>
        <v>100</v>
      </c>
      <c r="I48" s="237">
        <f>IFERROR(SUM(INDEX(TS!$M:$AB,23,1):INDEX(TS!$M:$AB,23,$A48))/TS!$L$13*100,0)</f>
        <v>0</v>
      </c>
      <c r="J48" s="237">
        <f t="shared" si="1"/>
        <v>100</v>
      </c>
      <c r="K48" s="238"/>
      <c r="L48" s="238"/>
      <c r="M48" s="238"/>
      <c r="N48" s="238"/>
      <c r="O48" s="235" t="str">
        <f ca="1">IF(I48&gt;=99.9,"COMPLETED",IF('BOBOT PEK'!U10&gt;$J$7,"NOT STARTED",IF('BOBOT PEK'!V10&lt;$J$7,"CRITICAL",IF(I48+1&lt;H48,"DELAYED","ON SCHEDULE"))))</f>
        <v>CRITICAL</v>
      </c>
      <c r="P48" s="238"/>
      <c r="Q48" t="str">
        <f>IFERROR(IF(AND($A48=$B$8,'BOBOT PEK'!U10&lt;=$B$8,$B$8&lt;='BOBOT PEK'!V10),COUNTIFS($A$17:$A48,$B$8),""),"")</f>
        <v/>
      </c>
    </row>
    <row r="49" spans="1:17" ht="12.75" customHeight="1" x14ac:dyDescent="0.2">
      <c r="A49" s="234">
        <f>IFERROR(IF(COUNTIF($C$17:C49,C49)&lt;=('BOBOT PEK'!V11-'BOBOT PEK'!U11+1),'BOBOT PEK'!U11+COUNTIF($C$17:C49,C49)-1,0),0)</f>
        <v>4</v>
      </c>
      <c r="B49" s="235" t="str">
        <f>IFERROR(TEXT(INDEX('KALENDER MINGGU'!$B$6:$B$21,$A49),"dd/mm")&amp;" - "&amp;TEXT(INDEX('KALENDER MINGGU'!$C$6:$C$21,$A49),"dd/mm"),"")</f>
        <v>13/08 - 19/08</v>
      </c>
      <c r="C49" s="234" t="s">
        <v>419</v>
      </c>
      <c r="D49" s="236" t="str">
        <f>'BOBOT PEK'!C11</f>
        <v>Direksi Kit+Gudang Sementara</v>
      </c>
      <c r="E49" s="237">
        <f>'BOBOT PEK'!J11</f>
        <v>0</v>
      </c>
      <c r="F49" s="237">
        <f>100/('BOBOT PEK'!V11-'BOBOT PEK'!U11+1)</f>
        <v>25</v>
      </c>
      <c r="G49" s="237">
        <f t="shared" si="0"/>
        <v>0</v>
      </c>
      <c r="H49" s="237">
        <f>MIN(100,($A49-'BOBOT PEK'!U11+1)/('BOBOT PEK'!V11-'BOBOT PEK'!U11+1)*100)</f>
        <v>100</v>
      </c>
      <c r="I49" s="237">
        <f>IFERROR(SUM(INDEX(TS!$M:$AB,23,1):INDEX(TS!$M:$AB,23,$A49))/TS!$L$13*100,0)</f>
        <v>0</v>
      </c>
      <c r="J49" s="237">
        <f t="shared" si="1"/>
        <v>100</v>
      </c>
      <c r="K49" s="238"/>
      <c r="L49" s="238"/>
      <c r="M49" s="238"/>
      <c r="N49" s="238"/>
      <c r="O49" s="235" t="str">
        <f ca="1">IF(I49&gt;=99.9,"COMPLETED",IF('BOBOT PEK'!U11&gt;$J$7,"NOT STARTED",IF('BOBOT PEK'!V11&lt;$J$7,"CRITICAL",IF(I49+1&lt;H49,"DELAYED","ON SCHEDULE"))))</f>
        <v>CRITICAL</v>
      </c>
      <c r="P49" s="238"/>
      <c r="Q49" t="str">
        <f>IFERROR(IF(AND($A49=$B$8,'BOBOT PEK'!U11&lt;=$B$8,$B$8&lt;='BOBOT PEK'!V11),COUNTIFS($A$17:$A49,$B$8),""),"")</f>
        <v/>
      </c>
    </row>
    <row r="50" spans="1:17" ht="38.25" customHeight="1" x14ac:dyDescent="0.2">
      <c r="A50" s="234">
        <f>IFERROR(IF(COUNTIF($C$17:C50,C50)&lt;=('BOBOT PEK'!V12-'BOBOT PEK'!U12+1),'BOBOT PEK'!U12+COUNTIF($C$17:C50,C50)-1,0),0)</f>
        <v>4</v>
      </c>
      <c r="B50" s="235" t="str">
        <f>IFERROR(TEXT(INDEX('KALENDER MINGGU'!$B$6:$B$21,$A50),"dd/mm")&amp;" - "&amp;TEXT(INDEX('KALENDER MINGGU'!$C$6:$C$21,$A50),"dd/mm"),"")</f>
        <v>13/08 - 19/08</v>
      </c>
      <c r="C50" s="234" t="s">
        <v>420</v>
      </c>
      <c r="D50" s="236" t="str">
        <f>'BOBOT PEK'!C12</f>
        <v>Administrasi Lapangan</v>
      </c>
      <c r="E50" s="237">
        <f>'BOBOT PEK'!J12</f>
        <v>0.12791873148200794</v>
      </c>
      <c r="F50" s="237">
        <f>100/('BOBOT PEK'!V12-'BOBOT PEK'!U12+1)</f>
        <v>25</v>
      </c>
      <c r="G50" s="237">
        <f t="shared" si="0"/>
        <v>3.1979682870501985E-2</v>
      </c>
      <c r="H50" s="237">
        <f>MIN(100,($A50-'BOBOT PEK'!U12+1)/('BOBOT PEK'!V12-'BOBOT PEK'!U12+1)*100)</f>
        <v>100</v>
      </c>
      <c r="I50" s="237">
        <f>IFERROR(SUM(INDEX(TS!$M:$AB,23,1):INDEX(TS!$M:$AB,23,$A50))/TS!$L$13*100,0)</f>
        <v>0</v>
      </c>
      <c r="J50" s="237">
        <f t="shared" si="1"/>
        <v>100</v>
      </c>
      <c r="K50" s="238"/>
      <c r="L50" s="238"/>
      <c r="M50" s="238"/>
      <c r="N50" s="238"/>
      <c r="O50" s="235" t="str">
        <f ca="1">IF(I50&gt;=99.9,"COMPLETED",IF('BOBOT PEK'!U12&gt;$J$7,"NOT STARTED",IF('BOBOT PEK'!V12&lt;$J$7,"CRITICAL",IF(I50+1&lt;H50,"DELAYED","ON SCHEDULE"))))</f>
        <v>CRITICAL</v>
      </c>
      <c r="P50" s="238"/>
      <c r="Q50" t="str">
        <f>IFERROR(IF(AND($A50=$B$8,'BOBOT PEK'!U12&lt;=$B$8,$B$8&lt;='BOBOT PEK'!V12),COUNTIFS($A$17:$A50,$B$8),""),"")</f>
        <v/>
      </c>
    </row>
    <row r="51" spans="1:17" ht="25.5" customHeight="1" x14ac:dyDescent="0.2">
      <c r="A51" s="234">
        <f>IFERROR(IF(COUNTIF($C$17:C51,C51)&lt;=('BOBOT PEK'!V13-'BOBOT PEK'!U13+1),'BOBOT PEK'!U13+COUNTIF($C$17:C51,C51)-1,0),0)</f>
        <v>4</v>
      </c>
      <c r="B51" s="235" t="str">
        <f>IFERROR(TEXT(INDEX('KALENDER MINGGU'!$B$6:$B$21,$A51),"dd/mm")&amp;" - "&amp;TEXT(INDEX('KALENDER MINGGU'!$C$6:$C$21,$A51),"dd/mm"),"")</f>
        <v>13/08 - 19/08</v>
      </c>
      <c r="C51" s="234" t="s">
        <v>421</v>
      </c>
      <c r="D51" s="236" t="str">
        <f>'BOBOT PEK'!C13</f>
        <v>Skafolding dan Alat Bantu Pekerjaan</v>
      </c>
      <c r="E51" s="237">
        <f>'BOBOT PEK'!J13</f>
        <v>0.38375619444602382</v>
      </c>
      <c r="F51" s="237">
        <f>100/('BOBOT PEK'!V13-'BOBOT PEK'!U13+1)</f>
        <v>16.666666666666668</v>
      </c>
      <c r="G51" s="237">
        <f t="shared" si="0"/>
        <v>6.3959365741003985E-2</v>
      </c>
      <c r="H51" s="237">
        <f>MIN(100,($A51-'BOBOT PEK'!U13+1)/('BOBOT PEK'!V13-'BOBOT PEK'!U13+1)*100)</f>
        <v>66.666666666666657</v>
      </c>
      <c r="I51" s="237">
        <f>IFERROR(SUM(INDEX(TS!$M:$AB,23,1):INDEX(TS!$M:$AB,23,$A51))/TS!$L$13*100,0)</f>
        <v>0</v>
      </c>
      <c r="J51" s="237">
        <f t="shared" si="1"/>
        <v>100</v>
      </c>
      <c r="K51" s="238"/>
      <c r="L51" s="238"/>
      <c r="M51" s="238"/>
      <c r="N51" s="238"/>
      <c r="O51" s="235" t="str">
        <f ca="1">IF(I51&gt;=99.9,"COMPLETED",IF('BOBOT PEK'!U13&gt;$J$7,"NOT STARTED",IF('BOBOT PEK'!V13&lt;$J$7,"CRITICAL",IF(I51+1&lt;H51,"DELAYED","ON SCHEDULE"))))</f>
        <v>CRITICAL</v>
      </c>
      <c r="P51" s="238"/>
      <c r="Q51" t="str">
        <f>IFERROR(IF(AND($A51=$B$8,'BOBOT PEK'!U13&lt;=$B$8,$B$8&lt;='BOBOT PEK'!V13),COUNTIFS($A$17:$A51,$B$8),""),"")</f>
        <v/>
      </c>
    </row>
    <row r="52" spans="1:17" ht="23.25" customHeight="1" x14ac:dyDescent="0.2">
      <c r="A52" s="234">
        <f>IFERROR(IF(COUNTIF($C$17:C52,C52)&lt;=('BOBOT PEK'!V45-'BOBOT PEK'!U45+1),'BOBOT PEK'!U45+COUNTIF($C$17:C52,C52)-1,0),0)</f>
        <v>4</v>
      </c>
      <c r="B52" s="235" t="str">
        <f>IFERROR(TEXT(INDEX('KALENDER MINGGU'!$B$6:$B$21,$A52),"dd/mm")&amp;" - "&amp;TEXT(INDEX('KALENDER MINGGU'!$C$6:$C$21,$A52),"dd/mm"),"")</f>
        <v>13/08 - 19/08</v>
      </c>
      <c r="C52" s="234" t="s">
        <v>446</v>
      </c>
      <c r="D52" s="236" t="str">
        <f>'BOBOT PEK'!C45</f>
        <v>Pekerjaan bongkaran dinding pagar existing</v>
      </c>
      <c r="E52" s="237">
        <f>'BOBOT PEK'!J45</f>
        <v>0.12382533207458367</v>
      </c>
      <c r="F52" s="237">
        <f>100/('BOBOT PEK'!V45-'BOBOT PEK'!U45+1)</f>
        <v>25</v>
      </c>
      <c r="G52" s="237">
        <f t="shared" si="0"/>
        <v>3.0956333018645917E-2</v>
      </c>
      <c r="H52" s="237">
        <f>MIN(100,($A52-'BOBOT PEK'!U45+1)/('BOBOT PEK'!V45-'BOBOT PEK'!U45+1)*100)</f>
        <v>25</v>
      </c>
      <c r="I52" s="237">
        <f>IFERROR(SUM(INDEX(TS!$M:$AB,29,1):INDEX(TS!$M:$AB,29,$A52))/TS!$L$19*100,0)</f>
        <v>0</v>
      </c>
      <c r="J52" s="237">
        <f t="shared" si="1"/>
        <v>100</v>
      </c>
      <c r="K52" s="238"/>
      <c r="L52" s="238"/>
      <c r="M52" s="238"/>
      <c r="N52" s="238"/>
      <c r="O52" s="235" t="str">
        <f ca="1">IF(I52&gt;=99.9,"COMPLETED",IF('BOBOT PEK'!U45&gt;$J$7,"NOT STARTED",IF('BOBOT PEK'!V45&lt;$J$7,"CRITICAL",IF(I52+1&lt;H52,"DELAYED","ON SCHEDULE"))))</f>
        <v>CRITICAL</v>
      </c>
      <c r="P52" s="238"/>
      <c r="Q52" t="str">
        <f>IFERROR(IF(AND($A52=$B$8,'BOBOT PEK'!U45&lt;=$B$8,$B$8&lt;='BOBOT PEK'!V45),COUNTIFS($A$17:$A52,$B$8),""),"")</f>
        <v/>
      </c>
    </row>
    <row r="53" spans="1:17" ht="23.25" customHeight="1" x14ac:dyDescent="0.2">
      <c r="A53" s="234">
        <f>IFERROR(IF(COUNTIF($C$17:C53,C53)&lt;=('BOBOT PEK'!V67-'BOBOT PEK'!U67+1),'BOBOT PEK'!U67+COUNTIF($C$17:C53,C53)-1,0),0)</f>
        <v>4</v>
      </c>
      <c r="B53" s="235" t="str">
        <f>IFERROR(TEXT(INDEX('KALENDER MINGGU'!$B$6:$B$21,$A53),"dd/mm")&amp;" - "&amp;TEXT(INDEX('KALENDER MINGGU'!$C$6:$C$21,$A53),"dd/mm"),"")</f>
        <v>13/08 - 19/08</v>
      </c>
      <c r="C53" s="234" t="s">
        <v>459</v>
      </c>
      <c r="D53" s="236" t="str">
        <f>'BOBOT PEK'!C67</f>
        <v>Kansteen dan ban-banan area dalam taman</v>
      </c>
      <c r="E53" s="237">
        <f>'BOBOT PEK'!J67</f>
        <v>0.81867988148485082</v>
      </c>
      <c r="F53" s="237">
        <f>100/('BOBOT PEK'!V67-'BOBOT PEK'!U67+1)</f>
        <v>14.285714285714286</v>
      </c>
      <c r="G53" s="237">
        <f t="shared" si="0"/>
        <v>0.11695426878355013</v>
      </c>
      <c r="H53" s="237">
        <f>MIN(100,($A53-'BOBOT PEK'!U67+1)/('BOBOT PEK'!V67-'BOBOT PEK'!U67+1)*100)</f>
        <v>14.285714285714285</v>
      </c>
      <c r="I53" s="237">
        <f>IFERROR(SUM(INDEX(TS!$M:$AB,35,1):INDEX(TS!$M:$AB,35,$A53))/TS!$L$25*100,0)</f>
        <v>0</v>
      </c>
      <c r="J53" s="237">
        <f t="shared" si="1"/>
        <v>100</v>
      </c>
      <c r="K53" s="238"/>
      <c r="L53" s="238"/>
      <c r="M53" s="238"/>
      <c r="N53" s="238"/>
      <c r="O53" s="235" t="str">
        <f ca="1">IF(I53&gt;=99.9,"COMPLETED",IF('BOBOT PEK'!U67&gt;$J$7,"NOT STARTED",IF('BOBOT PEK'!V67&lt;$J$7,"CRITICAL",IF(I53+1&lt;H53,"DELAYED","ON SCHEDULE"))))</f>
        <v>DELAYED</v>
      </c>
      <c r="P53" s="238"/>
      <c r="Q53" t="str">
        <f>IFERROR(IF(AND($A53=$B$8,'BOBOT PEK'!U67&lt;=$B$8,$B$8&lt;='BOBOT PEK'!V67),COUNTIFS($A$17:$A53,$B$8),""),"")</f>
        <v/>
      </c>
    </row>
    <row r="54" spans="1:17" ht="25.5" customHeight="1" x14ac:dyDescent="0.2">
      <c r="A54" s="234">
        <f>IFERROR(IF(COUNTIF($C$17:C54,C54)&lt;=('BOBOT PEK'!V69-'BOBOT PEK'!U69+1),'BOBOT PEK'!U69+COUNTIF($C$17:C54,C54)-1,0),0)</f>
        <v>4</v>
      </c>
      <c r="B54" s="235" t="str">
        <f>IFERROR(TEXT(INDEX('KALENDER MINGGU'!$B$6:$B$21,$A54),"dd/mm")&amp;" - "&amp;TEXT(INDEX('KALENDER MINGGU'!$C$6:$C$21,$A54),"dd/mm"),"")</f>
        <v>13/08 - 19/08</v>
      </c>
      <c r="C54" s="234" t="s">
        <v>461</v>
      </c>
      <c r="D54" s="236" t="str">
        <f>'BOBOT PEK'!C69</f>
        <v>Reposisi pintu tempat sampah</v>
      </c>
      <c r="E54" s="237">
        <f>'BOBOT PEK'!J69</f>
        <v>3.8375619444602382E-2</v>
      </c>
      <c r="F54" s="237">
        <f>100/('BOBOT PEK'!V69-'BOBOT PEK'!U69+1)</f>
        <v>50</v>
      </c>
      <c r="G54" s="237">
        <f t="shared" si="0"/>
        <v>1.9187809722301191E-2</v>
      </c>
      <c r="H54" s="237">
        <f>MIN(100,($A54-'BOBOT PEK'!U69+1)/('BOBOT PEK'!V69-'BOBOT PEK'!U69+1)*100)</f>
        <v>50</v>
      </c>
      <c r="I54" s="237">
        <f>IFERROR(SUM(INDEX(TS!$M:$AB,35,1):INDEX(TS!$M:$AB,35,$A54))/TS!$L$25*100,0)</f>
        <v>0</v>
      </c>
      <c r="J54" s="237">
        <f t="shared" si="1"/>
        <v>100</v>
      </c>
      <c r="K54" s="238"/>
      <c r="L54" s="238"/>
      <c r="M54" s="238"/>
      <c r="N54" s="238"/>
      <c r="O54" s="235" t="str">
        <f ca="1">IF(I54&gt;=99.9,"COMPLETED",IF('BOBOT PEK'!U69&gt;$J$7,"NOT STARTED",IF('BOBOT PEK'!V69&lt;$J$7,"CRITICAL",IF(I54+1&lt;H54,"DELAYED","ON SCHEDULE"))))</f>
        <v>CRITICAL</v>
      </c>
      <c r="P54" s="238"/>
      <c r="Q54" t="str">
        <f>IFERROR(IF(AND($A54=$B$8,'BOBOT PEK'!U69&lt;=$B$8,$B$8&lt;='BOBOT PEK'!V69),COUNTIFS($A$17:$A54,$B$8),""),"")</f>
        <v/>
      </c>
    </row>
    <row r="55" spans="1:17" ht="25.5" customHeight="1" x14ac:dyDescent="0.2">
      <c r="A55" s="234">
        <f>IFERROR(IF(COUNTIF($C$17:C55,C55)&lt;=('BOBOT PEK'!V77-'BOBOT PEK'!U77+1),'BOBOT PEK'!U77+COUNTIF($C$17:C55,C55)-1,0),0)</f>
        <v>4</v>
      </c>
      <c r="B55" s="235" t="str">
        <f>IFERROR(TEXT(INDEX('KALENDER MINGGU'!$B$6:$B$21,$A55),"dd/mm")&amp;" - "&amp;TEXT(INDEX('KALENDER MINGGU'!$C$6:$C$21,$A55),"dd/mm"),"")</f>
        <v>13/08 - 19/08</v>
      </c>
      <c r="C55" s="234" t="s">
        <v>464</v>
      </c>
      <c r="D55" s="236" t="str">
        <f>'BOBOT PEK'!C77</f>
        <v xml:space="preserve">Pengupasan aspal existing </v>
      </c>
      <c r="E55" s="237">
        <f>'BOBOT PEK'!J77</f>
        <v>3.3576108639397444</v>
      </c>
      <c r="F55" s="237">
        <f>100/('BOBOT PEK'!V77-'BOBOT PEK'!U77+1)</f>
        <v>6.25</v>
      </c>
      <c r="G55" s="237">
        <f t="shared" si="0"/>
        <v>0.20985067899623402</v>
      </c>
      <c r="H55" s="237">
        <f>MIN(100,($A55-'BOBOT PEK'!U77+1)/('BOBOT PEK'!V77-'BOBOT PEK'!U77+1)*100)</f>
        <v>25</v>
      </c>
      <c r="I55" s="237">
        <f>IFERROR(SUM(INDEX(TS!$M:$AB,37,1):INDEX(TS!$M:$AB,37,$A55))/TS!$L$27*100,0)</f>
        <v>0</v>
      </c>
      <c r="J55" s="237">
        <f t="shared" si="1"/>
        <v>100</v>
      </c>
      <c r="K55" s="238"/>
      <c r="L55" s="238"/>
      <c r="M55" s="238"/>
      <c r="N55" s="238" t="s">
        <v>720</v>
      </c>
      <c r="O55" s="235" t="str">
        <f ca="1">IF(I55&gt;=99.9,"COMPLETED",IF('BOBOT PEK'!U77&gt;$J$7,"NOT STARTED",IF('BOBOT PEK'!V77&lt;$J$7,"CRITICAL",IF(I55+1&lt;H55,"DELAYED","ON SCHEDULE"))))</f>
        <v>DELAYED</v>
      </c>
      <c r="P55" s="238"/>
      <c r="Q55" t="str">
        <f>IFERROR(IF(AND($A55=$B$8,'BOBOT PEK'!U77&lt;=$B$8,$B$8&lt;='BOBOT PEK'!V77),COUNTIFS($A$17:$A55,$B$8),""),"")</f>
        <v/>
      </c>
    </row>
    <row r="56" spans="1:17" ht="12.75" customHeight="1" x14ac:dyDescent="0.2">
      <c r="A56" s="234">
        <f>IFERROR(IF(COUNTIF($C$17:C56,C56)&lt;=('BOBOT PEK'!V78-'BOBOT PEK'!U78+1),'BOBOT PEK'!U78+COUNTIF($C$17:C56,C56)-1,0),0)</f>
        <v>4</v>
      </c>
      <c r="B56" s="235" t="str">
        <f>IFERROR(TEXT(INDEX('KALENDER MINGGU'!$B$6:$B$21,$A56),"dd/mm")&amp;" - "&amp;TEXT(INDEX('KALENDER MINGGU'!$C$6:$C$21,$A56),"dd/mm"),"")</f>
        <v>13/08 - 19/08</v>
      </c>
      <c r="C56" s="234" t="s">
        <v>465</v>
      </c>
      <c r="D56" s="236" t="str">
        <f>'BOBOT PEK'!C78</f>
        <v xml:space="preserve">Pengupasan beton existing </v>
      </c>
      <c r="E56" s="237">
        <f>'BOBOT PEK'!J78</f>
        <v>1.9430855312117006</v>
      </c>
      <c r="F56" s="237">
        <f>100/('BOBOT PEK'!V78-'BOBOT PEK'!U78+1)</f>
        <v>6.25</v>
      </c>
      <c r="G56" s="237">
        <f t="shared" si="0"/>
        <v>0.12144284570073129</v>
      </c>
      <c r="H56" s="237">
        <f>MIN(100,($A56-'BOBOT PEK'!U78+1)/('BOBOT PEK'!V78-'BOBOT PEK'!U78+1)*100)</f>
        <v>25</v>
      </c>
      <c r="I56" s="237">
        <f>IFERROR(SUM(INDEX(TS!$M:$AB,37,1):INDEX(TS!$M:$AB,37,$A56))/TS!$L$27*100,0)</f>
        <v>0</v>
      </c>
      <c r="J56" s="237">
        <f t="shared" si="1"/>
        <v>100</v>
      </c>
      <c r="K56" s="238"/>
      <c r="L56" s="238"/>
      <c r="M56" s="238"/>
      <c r="N56" s="238" t="s">
        <v>720</v>
      </c>
      <c r="O56" s="235" t="str">
        <f ca="1">IF(I56&gt;=99.9,"COMPLETED",IF('BOBOT PEK'!U78&gt;$J$7,"NOT STARTED",IF('BOBOT PEK'!V78&lt;$J$7,"CRITICAL",IF(I56+1&lt;H56,"DELAYED","ON SCHEDULE"))))</f>
        <v>DELAYED</v>
      </c>
      <c r="P56" s="238"/>
      <c r="Q56" t="str">
        <f>IFERROR(IF(AND($A56=$B$8,'BOBOT PEK'!U78&lt;=$B$8,$B$8&lt;='BOBOT PEK'!V78),COUNTIFS($A$17:$A56,$B$8),""),"")</f>
        <v/>
      </c>
    </row>
    <row r="57" spans="1:17" ht="38.25" customHeight="1" x14ac:dyDescent="0.2">
      <c r="A57" s="234">
        <f>IFERROR(IF(COUNTIF($C$17:C57,C57)&lt;=('BOBOT PEK'!V79-'BOBOT PEK'!U79+1),'BOBOT PEK'!U79+COUNTIF($C$17:C57,C57)-1,0),0)</f>
        <v>4</v>
      </c>
      <c r="B57" s="235" t="str">
        <f>IFERROR(TEXT(INDEX('KALENDER MINGGU'!$B$6:$B$21,$A57),"dd/mm")&amp;" - "&amp;TEXT(INDEX('KALENDER MINGGU'!$C$6:$C$21,$A57),"dd/mm"),"")</f>
        <v>13/08 - 19/08</v>
      </c>
      <c r="C57" s="234" t="s">
        <v>466</v>
      </c>
      <c r="D57" s="236" t="str">
        <f>'BOBOT PEK'!C79</f>
        <v>Pembuangan puing sewa truk</v>
      </c>
      <c r="E57" s="237">
        <f>'BOBOT PEK'!J79</f>
        <v>3.3766707549305637</v>
      </c>
      <c r="F57" s="237">
        <f>100/('BOBOT PEK'!V79-'BOBOT PEK'!U79+1)</f>
        <v>6.25</v>
      </c>
      <c r="G57" s="237">
        <f t="shared" si="0"/>
        <v>0.21104192218316023</v>
      </c>
      <c r="H57" s="237">
        <f>MIN(100,($A57-'BOBOT PEK'!U79+1)/('BOBOT PEK'!V79-'BOBOT PEK'!U79+1)*100)</f>
        <v>25</v>
      </c>
      <c r="I57" s="237">
        <f>IFERROR(SUM(INDEX(TS!$M:$AB,37,1):INDEX(TS!$M:$AB,37,$A57))/TS!$L$27*100,0)</f>
        <v>0</v>
      </c>
      <c r="J57" s="237">
        <f t="shared" si="1"/>
        <v>100</v>
      </c>
      <c r="K57" s="238"/>
      <c r="L57" s="238"/>
      <c r="M57" s="238"/>
      <c r="N57" s="238" t="s">
        <v>720</v>
      </c>
      <c r="O57" s="235" t="str">
        <f ca="1">IF(I57&gt;=99.9,"COMPLETED",IF('BOBOT PEK'!U79&gt;$J$7,"NOT STARTED",IF('BOBOT PEK'!V79&lt;$J$7,"CRITICAL",IF(I57+1&lt;H57,"DELAYED","ON SCHEDULE"))))</f>
        <v>DELAYED</v>
      </c>
      <c r="P57" s="238"/>
      <c r="Q57" t="str">
        <f>IFERROR(IF(AND($A57=$B$8,'BOBOT PEK'!U79&lt;=$B$8,$B$8&lt;='BOBOT PEK'!V79),COUNTIFS($A$17:$A57,$B$8),""),"")</f>
        <v/>
      </c>
    </row>
    <row r="58" spans="1:17" ht="25.5" customHeight="1" x14ac:dyDescent="0.2">
      <c r="A58" s="234">
        <f>IFERROR(IF(COUNTIF($C$17:C58,C58)&lt;=('BOBOT PEK'!V80-'BOBOT PEK'!U80+1),'BOBOT PEK'!U80+COUNTIF($C$17:C58,C58)-1,0),0)</f>
        <v>4</v>
      </c>
      <c r="B58" s="235" t="str">
        <f>IFERROR(TEXT(INDEX('KALENDER MINGGU'!$B$6:$B$21,$A58),"dd/mm")&amp;" - "&amp;TEXT(INDEX('KALENDER MINGGU'!$C$6:$C$21,$A58),"dd/mm"),"")</f>
        <v>13/08 - 19/08</v>
      </c>
      <c r="C58" s="234" t="s">
        <v>467</v>
      </c>
      <c r="D58" s="236" t="str">
        <f>'BOBOT PEK'!C80</f>
        <v>Besi 13 ulir , kotak 30x30cm</v>
      </c>
      <c r="E58" s="237">
        <f>'BOBOT PEK'!J80</f>
        <v>15.224105695407308</v>
      </c>
      <c r="F58" s="237">
        <f>100/('BOBOT PEK'!V80-'BOBOT PEK'!U80+1)</f>
        <v>6.25</v>
      </c>
      <c r="G58" s="237">
        <f t="shared" si="0"/>
        <v>0.95150660596295678</v>
      </c>
      <c r="H58" s="237">
        <f>MIN(100,($A58-'BOBOT PEK'!U80+1)/('BOBOT PEK'!V80-'BOBOT PEK'!U80+1)*100)</f>
        <v>25</v>
      </c>
      <c r="I58" s="237">
        <f>IFERROR(SUM(INDEX(TS!$M:$AB,37,1):INDEX(TS!$M:$AB,37,$A58))/TS!$L$27*100,0)</f>
        <v>0</v>
      </c>
      <c r="J58" s="237">
        <f t="shared" si="1"/>
        <v>100</v>
      </c>
      <c r="K58" s="238"/>
      <c r="L58" s="238"/>
      <c r="M58" s="238"/>
      <c r="N58" s="238" t="s">
        <v>720</v>
      </c>
      <c r="O58" s="235" t="str">
        <f ca="1">IF(I58&gt;=99.9,"COMPLETED",IF('BOBOT PEK'!U80&gt;$J$7,"NOT STARTED",IF('BOBOT PEK'!V80&lt;$J$7,"CRITICAL",IF(I58+1&lt;H58,"DELAYED","ON SCHEDULE"))))</f>
        <v>DELAYED</v>
      </c>
      <c r="P58" s="238"/>
      <c r="Q58" t="str">
        <f>IFERROR(IF(AND($A58=$B$8,'BOBOT PEK'!U80&lt;=$B$8,$B$8&lt;='BOBOT PEK'!V80),COUNTIFS($A$17:$A58,$B$8),""),"")</f>
        <v/>
      </c>
    </row>
    <row r="59" spans="1:17" ht="23.25" customHeight="1" x14ac:dyDescent="0.2">
      <c r="A59" s="234">
        <f>IFERROR(IF(COUNTIF($C$17:C59,C59)&lt;=('BOBOT PEK'!V81-'BOBOT PEK'!U81+1),'BOBOT PEK'!U81+COUNTIF($C$17:C59,C59)-1,0),0)</f>
        <v>4</v>
      </c>
      <c r="B59" s="235" t="str">
        <f>IFERROR(TEXT(INDEX('KALENDER MINGGU'!$B$6:$B$21,$A59),"dd/mm")&amp;" - "&amp;TEXT(INDEX('KALENDER MINGGU'!$C$6:$C$21,$A59),"dd/mm"),"")</f>
        <v>13/08 - 19/08</v>
      </c>
      <c r="C59" s="234" t="s">
        <v>468</v>
      </c>
      <c r="D59" s="236" t="str">
        <f>'BOBOT PEK'!C81</f>
        <v>Cor ready mix K-350 (tanpa trowel dan line cutting)</v>
      </c>
      <c r="E59" s="237">
        <f>'BOBOT PEK'!J81</f>
        <v>18.885237150790225</v>
      </c>
      <c r="F59" s="237">
        <f>100/('BOBOT PEK'!V81-'BOBOT PEK'!U81+1)</f>
        <v>6.25</v>
      </c>
      <c r="G59" s="237">
        <f t="shared" si="0"/>
        <v>1.1803273219243891</v>
      </c>
      <c r="H59" s="237">
        <f>MIN(100,($A59-'BOBOT PEK'!U81+1)/('BOBOT PEK'!V81-'BOBOT PEK'!U81+1)*100)</f>
        <v>25</v>
      </c>
      <c r="I59" s="237">
        <f>IFERROR(SUM(INDEX(TS!$M:$AB,37,1):INDEX(TS!$M:$AB,37,$A59))/TS!$L$27*100,0)</f>
        <v>0</v>
      </c>
      <c r="J59" s="237">
        <f t="shared" si="1"/>
        <v>100</v>
      </c>
      <c r="K59" s="238"/>
      <c r="L59" s="238"/>
      <c r="M59" s="238"/>
      <c r="N59" s="238" t="s">
        <v>720</v>
      </c>
      <c r="O59" s="235" t="str">
        <f ca="1">IF(I59&gt;=99.9,"COMPLETED",IF('BOBOT PEK'!U81&gt;$J$7,"NOT STARTED",IF('BOBOT PEK'!V81&lt;$J$7,"CRITICAL",IF(I59+1&lt;H59,"DELAYED","ON SCHEDULE"))))</f>
        <v>DELAYED</v>
      </c>
      <c r="P59" s="238"/>
      <c r="Q59" t="str">
        <f>IFERROR(IF(AND($A59=$B$8,'BOBOT PEK'!U81&lt;=$B$8,$B$8&lt;='BOBOT PEK'!V81),COUNTIFS($A$17:$A59,$B$8),""),"")</f>
        <v/>
      </c>
    </row>
    <row r="60" spans="1:17" ht="23.25" customHeight="1" x14ac:dyDescent="0.2">
      <c r="A60" s="234">
        <f>IFERROR(IF(COUNTIF($C$17:C60,C60)&lt;=('BOBOT PEK'!V93-'BOBOT PEK'!U93+1),'BOBOT PEK'!U93+COUNTIF($C$17:C60,C60)-1,0),0)</f>
        <v>8</v>
      </c>
      <c r="B60" s="235" t="str">
        <f>IFERROR(TEXT(INDEX('KALENDER MINGGU'!$B$6:$B$21,$A60),"dd/mm")&amp;" - "&amp;TEXT(INDEX('KALENDER MINGGU'!$C$6:$C$21,$A60),"dd/mm"),"")</f>
        <v>10/09 - 16/09</v>
      </c>
      <c r="C60" s="234" t="s">
        <v>473</v>
      </c>
      <c r="D60" s="236" t="str">
        <f>'BOBOT PEK'!C93</f>
        <v>Cat ulang exterior musholla</v>
      </c>
      <c r="E60" s="237">
        <f>'BOBOT PEK'!J93</f>
        <v>0.17417414478590201</v>
      </c>
      <c r="F60" s="237">
        <f>100/('BOBOT PEK'!V93-'BOBOT PEK'!U93+1)</f>
        <v>50</v>
      </c>
      <c r="G60" s="237">
        <f t="shared" si="0"/>
        <v>8.7087072392951007E-2</v>
      </c>
      <c r="H60" s="237">
        <f>MIN(100,($A60-'BOBOT PEK'!U93+1)/('BOBOT PEK'!V93-'BOBOT PEK'!U93+1)*100)</f>
        <v>50</v>
      </c>
      <c r="I60" s="237">
        <f>IFERROR(SUM(INDEX(TS!$M:$AB,41,1):INDEX(TS!$M:$AB,41,$A60))/TS!$L$31*100,0)</f>
        <v>10.64703262263675</v>
      </c>
      <c r="J60" s="237">
        <f t="shared" si="1"/>
        <v>89.352967377363257</v>
      </c>
      <c r="K60" s="238"/>
      <c r="L60" s="238"/>
      <c r="M60" s="238"/>
      <c r="N60" s="238"/>
      <c r="O60" s="235" t="str">
        <f ca="1">IF(I60&gt;=99.9,"COMPLETED",IF('BOBOT PEK'!U93&gt;$J$7,"NOT STARTED",IF('BOBOT PEK'!V93&lt;$J$7,"CRITICAL",IF(I60+1&lt;H60,"DELAYED","ON SCHEDULE"))))</f>
        <v>CRITICAL</v>
      </c>
      <c r="P60" s="238"/>
      <c r="Q60" t="str">
        <f>IFERROR(IF(AND($A60=$B$8,'BOBOT PEK'!U93&lt;=$B$8,$B$8&lt;='BOBOT PEK'!V93),COUNTIFS($A$17:$A60,$B$8),""),"")</f>
        <v/>
      </c>
    </row>
    <row r="61" spans="1:17" ht="25.5" customHeight="1" x14ac:dyDescent="0.2">
      <c r="A61" s="234">
        <f>IFERROR(IF(COUNTIF($C$17:C61,C61)&lt;=('BOBOT PEK'!V94-'BOBOT PEK'!U94+1),'BOBOT PEK'!U94+COUNTIF($C$17:C61,C61)-1,0),0)</f>
        <v>8</v>
      </c>
      <c r="B61" s="235" t="str">
        <f>IFERROR(TEXT(INDEX('KALENDER MINGGU'!$B$6:$B$21,$A61),"dd/mm")&amp;" - "&amp;TEXT(INDEX('KALENDER MINGGU'!$C$6:$C$21,$A61),"dd/mm"),"")</f>
        <v>10/09 - 16/09</v>
      </c>
      <c r="C61" s="234" t="s">
        <v>474</v>
      </c>
      <c r="D61" s="236" t="str">
        <f>'BOBOT PEK'!C94</f>
        <v>Penggantian pintu  musholla</v>
      </c>
      <c r="E61" s="237">
        <f>'BOBOT PEK'!J94</f>
        <v>9.9776610555966191E-2</v>
      </c>
      <c r="F61" s="237">
        <f>100/('BOBOT PEK'!V94-'BOBOT PEK'!U94+1)</f>
        <v>50</v>
      </c>
      <c r="G61" s="237">
        <f t="shared" si="0"/>
        <v>4.9888305277983096E-2</v>
      </c>
      <c r="H61" s="237">
        <f>MIN(100,($A61-'BOBOT PEK'!U94+1)/('BOBOT PEK'!V94-'BOBOT PEK'!U94+1)*100)</f>
        <v>50</v>
      </c>
      <c r="I61" s="237">
        <f>IFERROR(SUM(INDEX(TS!$M:$AB,41,1):INDEX(TS!$M:$AB,41,$A61))/TS!$L$31*100,0)</f>
        <v>10.64703262263675</v>
      </c>
      <c r="J61" s="237">
        <f t="shared" si="1"/>
        <v>89.352967377363257</v>
      </c>
      <c r="K61" s="238"/>
      <c r="L61" s="238"/>
      <c r="M61" s="238"/>
      <c r="N61" s="238"/>
      <c r="O61" s="235" t="str">
        <f ca="1">IF(I61&gt;=99.9,"COMPLETED",IF('BOBOT PEK'!U94&gt;$J$7,"NOT STARTED",IF('BOBOT PEK'!V94&lt;$J$7,"CRITICAL",IF(I61+1&lt;H61,"DELAYED","ON SCHEDULE"))))</f>
        <v>CRITICAL</v>
      </c>
      <c r="P61" s="238"/>
      <c r="Q61" t="str">
        <f>IFERROR(IF(AND($A61=$B$8,'BOBOT PEK'!U94&lt;=$B$8,$B$8&lt;='BOBOT PEK'!V94),COUNTIFS($A$17:$A61,$B$8),""),"")</f>
        <v/>
      </c>
    </row>
    <row r="62" spans="1:17" ht="23.25" customHeight="1" x14ac:dyDescent="0.2">
      <c r="A62" s="234">
        <f>IFERROR(IF(COUNTIF($C$17:C62,C62)&lt;=('BOBOT PEK'!V95-'BOBOT PEK'!U95+1),'BOBOT PEK'!U95+COUNTIF($C$17:C62,C62)-1,0),0)</f>
        <v>7</v>
      </c>
      <c r="B62" s="235" t="str">
        <f>IFERROR(TEXT(INDEX('KALENDER MINGGU'!$B$6:$B$21,$A62),"dd/mm")&amp;" - "&amp;TEXT(INDEX('KALENDER MINGGU'!$C$6:$C$21,$A62),"dd/mm"),"")</f>
        <v>03/09 - 09/09</v>
      </c>
      <c r="C62" s="234" t="s">
        <v>475</v>
      </c>
      <c r="D62" s="236" t="str">
        <f>'BOBOT PEK'!C95</f>
        <v>Penggantian keramik teras</v>
      </c>
      <c r="E62" s="237">
        <f>'BOBOT PEK'!J95</f>
        <v>6.1400991111363809E-2</v>
      </c>
      <c r="F62" s="237">
        <f>100/('BOBOT PEK'!V95-'BOBOT PEK'!U95+1)</f>
        <v>50</v>
      </c>
      <c r="G62" s="237">
        <f t="shared" si="0"/>
        <v>3.0700495555681905E-2</v>
      </c>
      <c r="H62" s="237">
        <f>MIN(100,($A62-'BOBOT PEK'!U95+1)/('BOBOT PEK'!V95-'BOBOT PEK'!U95+1)*100)</f>
        <v>50</v>
      </c>
      <c r="I62" s="237">
        <f>IFERROR(SUM(INDEX(TS!$M:$AB,41,1):INDEX(TS!$M:$AB,41,$A62))/TS!$L$31*100,0)</f>
        <v>5.3235163113183752</v>
      </c>
      <c r="J62" s="237">
        <f t="shared" si="1"/>
        <v>94.676483688681628</v>
      </c>
      <c r="K62" s="238"/>
      <c r="L62" s="238"/>
      <c r="M62" s="238"/>
      <c r="N62" s="238"/>
      <c r="O62" s="235" t="str">
        <f ca="1">IF(I62&gt;=99.9,"COMPLETED",IF('BOBOT PEK'!U95&gt;$J$7,"NOT STARTED",IF('BOBOT PEK'!V95&lt;$J$7,"CRITICAL",IF(I62+1&lt;H62,"DELAYED","ON SCHEDULE"))))</f>
        <v>CRITICAL</v>
      </c>
      <c r="P62" s="238"/>
      <c r="Q62" t="str">
        <f>IFERROR(IF(AND($A62=$B$8,'BOBOT PEK'!U95&lt;=$B$8,$B$8&lt;='BOBOT PEK'!V95),COUNTIFS($A$17:$A62,$B$8),""),"")</f>
        <v/>
      </c>
    </row>
    <row r="63" spans="1:17" ht="38.25" customHeight="1" x14ac:dyDescent="0.2">
      <c r="A63" s="234">
        <f>IFERROR(IF(COUNTIF($C$17:C63,C63)&lt;=('BOBOT PEK'!V96-'BOBOT PEK'!U96+1),'BOBOT PEK'!U96+COUNTIF($C$17:C63,C63)-1,0),0)</f>
        <v>8</v>
      </c>
      <c r="B63" s="235" t="str">
        <f>IFERROR(TEXT(INDEX('KALENDER MINGGU'!$B$6:$B$21,$A63),"dd/mm")&amp;" - "&amp;TEXT(INDEX('KALENDER MINGGU'!$C$6:$C$21,$A63),"dd/mm"),"")</f>
        <v>10/09 - 16/09</v>
      </c>
      <c r="C63" s="234" t="s">
        <v>476</v>
      </c>
      <c r="D63" s="236" t="str">
        <f>'BOBOT PEK'!C96</f>
        <v>Pembuatan tempat wudhu</v>
      </c>
      <c r="E63" s="237">
        <f>'BOBOT PEK'!J96</f>
        <v>6.907611500028428E-2</v>
      </c>
      <c r="F63" s="237">
        <f>100/('BOBOT PEK'!V96-'BOBOT PEK'!U96+1)</f>
        <v>50</v>
      </c>
      <c r="G63" s="237">
        <f t="shared" si="0"/>
        <v>3.453805750014214E-2</v>
      </c>
      <c r="H63" s="237">
        <f>MIN(100,($A63-'BOBOT PEK'!U96+1)/('BOBOT PEK'!V96-'BOBOT PEK'!U96+1)*100)</f>
        <v>50</v>
      </c>
      <c r="I63" s="237">
        <f>IFERROR(SUM(INDEX(TS!$M:$AB,41,1):INDEX(TS!$M:$AB,41,$A63))/TS!$L$31*100,0)</f>
        <v>10.64703262263675</v>
      </c>
      <c r="J63" s="237">
        <f t="shared" si="1"/>
        <v>89.352967377363257</v>
      </c>
      <c r="K63" s="238"/>
      <c r="L63" s="238"/>
      <c r="M63" s="238"/>
      <c r="N63" s="238"/>
      <c r="O63" s="235" t="str">
        <f ca="1">IF(I63&gt;=99.9,"COMPLETED",IF('BOBOT PEK'!U96&gt;$J$7,"NOT STARTED",IF('BOBOT PEK'!V96&lt;$J$7,"CRITICAL",IF(I63+1&lt;H63,"DELAYED","ON SCHEDULE"))))</f>
        <v>CRITICAL</v>
      </c>
      <c r="P63" s="238"/>
      <c r="Q63" t="str">
        <f>IFERROR(IF(AND($A63=$B$8,'BOBOT PEK'!U96&lt;=$B$8,$B$8&lt;='BOBOT PEK'!V96),COUNTIFS($A$17:$A63,$B$8),""),"")</f>
        <v/>
      </c>
    </row>
    <row r="64" spans="1:17" ht="25.5" customHeight="1" x14ac:dyDescent="0.2">
      <c r="A64" s="234">
        <f>IFERROR(IF(COUNTIF($C$17:C64,C64)&lt;=('BOBOT PEK'!V97-'BOBOT PEK'!U97+1),'BOBOT PEK'!U97+COUNTIF($C$17:C64,C64)-1,0),0)</f>
        <v>8</v>
      </c>
      <c r="B64" s="235" t="str">
        <f>IFERROR(TEXT(INDEX('KALENDER MINGGU'!$B$6:$B$21,$A64),"dd/mm")&amp;" - "&amp;TEXT(INDEX('KALENDER MINGGU'!$C$6:$C$21,$A64),"dd/mm"),"")</f>
        <v>10/09 - 16/09</v>
      </c>
      <c r="C64" s="234" t="s">
        <v>477</v>
      </c>
      <c r="D64" s="236" t="str">
        <f>'BOBOT PEK'!C97</f>
        <v>Pembuatan instalasi wastafel</v>
      </c>
      <c r="E64" s="237">
        <f>'BOBOT PEK'!J97</f>
        <v>5.116749259280318E-3</v>
      </c>
      <c r="F64" s="237">
        <f>100/('BOBOT PEK'!V97-'BOBOT PEK'!U97+1)</f>
        <v>50</v>
      </c>
      <c r="G64" s="237">
        <f t="shared" si="0"/>
        <v>2.558374629640159E-3</v>
      </c>
      <c r="H64" s="237">
        <f>MIN(100,($A64-'BOBOT PEK'!U97+1)/('BOBOT PEK'!V97-'BOBOT PEK'!U97+1)*100)</f>
        <v>50</v>
      </c>
      <c r="I64" s="237">
        <f>IFERROR(SUM(INDEX(TS!$M:$AB,41,1):INDEX(TS!$M:$AB,41,$A64))/TS!$L$31*100,0)</f>
        <v>10.64703262263675</v>
      </c>
      <c r="J64" s="237">
        <f t="shared" si="1"/>
        <v>89.352967377363257</v>
      </c>
      <c r="K64" s="238"/>
      <c r="L64" s="238"/>
      <c r="M64" s="238"/>
      <c r="N64" s="238"/>
      <c r="O64" s="235" t="str">
        <f ca="1">IF(I64&gt;=99.9,"COMPLETED",IF('BOBOT PEK'!U97&gt;$J$7,"NOT STARTED",IF('BOBOT PEK'!V97&lt;$J$7,"CRITICAL",IF(I64+1&lt;H64,"DELAYED","ON SCHEDULE"))))</f>
        <v>CRITICAL</v>
      </c>
      <c r="P64" s="238"/>
      <c r="Q64" t="str">
        <f>IFERROR(IF(AND($A64=$B$8,'BOBOT PEK'!U97&lt;=$B$8,$B$8&lt;='BOBOT PEK'!V97),COUNTIFS($A$17:$A64,$B$8),""),"")</f>
        <v/>
      </c>
    </row>
    <row r="65" spans="1:17" ht="23.25" customHeight="1" x14ac:dyDescent="0.2">
      <c r="A65" s="234">
        <f>IFERROR(IF(COUNTIF($C$17:C65,C65)&lt;=('BOBOT PEK'!V98-'BOBOT PEK'!U98+1),'BOBOT PEK'!U98+COUNTIF($C$17:C65,C65)-1,0),0)</f>
        <v>7</v>
      </c>
      <c r="B65" s="235" t="str">
        <f>IFERROR(TEXT(INDEX('KALENDER MINGGU'!$B$6:$B$21,$A65),"dd/mm")&amp;" - "&amp;TEXT(INDEX('KALENDER MINGGU'!$C$6:$C$21,$A65),"dd/mm"),"")</f>
        <v>03/09 - 09/09</v>
      </c>
      <c r="C65" s="234" t="s">
        <v>478</v>
      </c>
      <c r="D65" s="236" t="str">
        <f>'BOBOT PEK'!C98</f>
        <v>Pekerjaan lantai bengkel</v>
      </c>
      <c r="E65" s="237">
        <f>'BOBOT PEK'!J98</f>
        <v>0</v>
      </c>
      <c r="F65" s="237">
        <f>100/('BOBOT PEK'!V98-'BOBOT PEK'!U98+1)</f>
        <v>33.333333333333336</v>
      </c>
      <c r="G65" s="237">
        <f t="shared" si="0"/>
        <v>0</v>
      </c>
      <c r="H65" s="237">
        <f>MIN(100,($A65-'BOBOT PEK'!U98+1)/('BOBOT PEK'!V98-'BOBOT PEK'!U98+1)*100)</f>
        <v>33.333333333333329</v>
      </c>
      <c r="I65" s="237">
        <f>IFERROR(SUM(INDEX(TS!$M:$AB,41,1):INDEX(TS!$M:$AB,41,$A65))/TS!$L$31*100,0)</f>
        <v>5.3235163113183752</v>
      </c>
      <c r="J65" s="237">
        <f t="shared" si="1"/>
        <v>94.676483688681628</v>
      </c>
      <c r="K65" s="238"/>
      <c r="L65" s="238"/>
      <c r="M65" s="238"/>
      <c r="N65" s="238"/>
      <c r="O65" s="235" t="str">
        <f ca="1">IF(I65&gt;=99.9,"COMPLETED",IF('BOBOT PEK'!U98&gt;$J$7,"NOT STARTED",IF('BOBOT PEK'!V98&lt;$J$7,"CRITICAL",IF(I65+1&lt;H65,"DELAYED","ON SCHEDULE"))))</f>
        <v>CRITICAL</v>
      </c>
      <c r="P65" s="238"/>
      <c r="Q65" t="str">
        <f>IFERROR(IF(AND($A65=$B$8,'BOBOT PEK'!U98&lt;=$B$8,$B$8&lt;='BOBOT PEK'!V98),COUNTIFS($A$17:$A65,$B$8),""),"")</f>
        <v/>
      </c>
    </row>
    <row r="66" spans="1:17" ht="34.5" customHeight="1" x14ac:dyDescent="0.2">
      <c r="A66" s="234">
        <f>IFERROR(IF(COUNTIF($C$17:C66,C66)&lt;=('BOBOT PEK'!V99-'BOBOT PEK'!U99+1),'BOBOT PEK'!U99+COUNTIF($C$17:C66,C66)-1,0),0)</f>
        <v>7</v>
      </c>
      <c r="B66" s="235" t="str">
        <f>IFERROR(TEXT(INDEX('KALENDER MINGGU'!$B$6:$B$21,$A66),"dd/mm")&amp;" - "&amp;TEXT(INDEX('KALENDER MINGGU'!$C$6:$C$21,$A66),"dd/mm"),"")</f>
        <v>03/09 - 09/09</v>
      </c>
      <c r="C66" s="234" t="s">
        <v>479</v>
      </c>
      <c r="D66" s="236" t="str">
        <f>'BOBOT PEK'!C99</f>
        <v>Land clearing</v>
      </c>
      <c r="E66" s="237">
        <f>'BOBOT PEK'!J99</f>
        <v>0.36840594666818283</v>
      </c>
      <c r="F66" s="237">
        <f>100/('BOBOT PEK'!V99-'BOBOT PEK'!U99+1)</f>
        <v>33.333333333333336</v>
      </c>
      <c r="G66" s="237">
        <f t="shared" si="0"/>
        <v>0.12280198222272762</v>
      </c>
      <c r="H66" s="237">
        <f>MIN(100,($A66-'BOBOT PEK'!U99+1)/('BOBOT PEK'!V99-'BOBOT PEK'!U99+1)*100)</f>
        <v>33.333333333333329</v>
      </c>
      <c r="I66" s="237">
        <f>IFERROR(SUM(INDEX(TS!$M:$AB,41,1):INDEX(TS!$M:$AB,41,$A66))/TS!$L$31*100,0)</f>
        <v>5.3235163113183752</v>
      </c>
      <c r="J66" s="237">
        <f t="shared" si="1"/>
        <v>94.676483688681628</v>
      </c>
      <c r="K66" s="238"/>
      <c r="L66" s="238"/>
      <c r="M66" s="238"/>
      <c r="N66" s="238"/>
      <c r="O66" s="235" t="str">
        <f ca="1">IF(I66&gt;=99.9,"COMPLETED",IF('BOBOT PEK'!U99&gt;$J$7,"NOT STARTED",IF('BOBOT PEK'!V99&lt;$J$7,"CRITICAL",IF(I66+1&lt;H66,"DELAYED","ON SCHEDULE"))))</f>
        <v>CRITICAL</v>
      </c>
      <c r="P66" s="238"/>
      <c r="Q66" t="str">
        <f>IFERROR(IF(AND($A66=$B$8,'BOBOT PEK'!U99&lt;=$B$8,$B$8&lt;='BOBOT PEK'!V99),COUNTIFS($A$17:$A66,$B$8),""),"")</f>
        <v/>
      </c>
    </row>
    <row r="67" spans="1:17" ht="12.75" customHeight="1" x14ac:dyDescent="0.2">
      <c r="A67" s="234">
        <f>IFERROR(IF(COUNTIF($C$17:C67,C67)&lt;=('BOBOT PEK'!V100-'BOBOT PEK'!U100+1),'BOBOT PEK'!U100+COUNTIF($C$17:C67,C67)-1,0),0)</f>
        <v>7</v>
      </c>
      <c r="B67" s="235" t="str">
        <f>IFERROR(TEXT(INDEX('KALENDER MINGGU'!$B$6:$B$21,$A67),"dd/mm")&amp;" - "&amp;TEXT(INDEX('KALENDER MINGGU'!$C$6:$C$21,$A67),"dd/mm"),"")</f>
        <v>03/09 - 09/09</v>
      </c>
      <c r="C67" s="234" t="s">
        <v>480</v>
      </c>
      <c r="D67" s="236" t="str">
        <f>'BOBOT PEK'!C100</f>
        <v>Perataan dan pemadatan tanah taman belakang</v>
      </c>
      <c r="E67" s="237">
        <f>'BOBOT PEK'!J100</f>
        <v>0.14736237866727314</v>
      </c>
      <c r="F67" s="237">
        <f>100/('BOBOT PEK'!V100-'BOBOT PEK'!U100+1)</f>
        <v>33.333333333333336</v>
      </c>
      <c r="G67" s="237">
        <f t="shared" si="0"/>
        <v>4.9120792889091054E-2</v>
      </c>
      <c r="H67" s="237">
        <f>MIN(100,($A67-'BOBOT PEK'!U100+1)/('BOBOT PEK'!V100-'BOBOT PEK'!U100+1)*100)</f>
        <v>33.333333333333329</v>
      </c>
      <c r="I67" s="237">
        <f>IFERROR(SUM(INDEX(TS!$M:$AB,41,1):INDEX(TS!$M:$AB,41,$A67))/TS!$L$31*100,0)</f>
        <v>5.3235163113183752</v>
      </c>
      <c r="J67" s="237">
        <f t="shared" si="1"/>
        <v>94.676483688681628</v>
      </c>
      <c r="K67" s="238"/>
      <c r="L67" s="238"/>
      <c r="M67" s="238"/>
      <c r="N67" s="238"/>
      <c r="O67" s="235" t="str">
        <f ca="1">IF(I67&gt;=99.9,"COMPLETED",IF('BOBOT PEK'!U100&gt;$J$7,"NOT STARTED",IF('BOBOT PEK'!V100&lt;$J$7,"CRITICAL",IF(I67+1&lt;H67,"DELAYED","ON SCHEDULE"))))</f>
        <v>CRITICAL</v>
      </c>
      <c r="P67" s="238"/>
      <c r="Q67" t="str">
        <f>IFERROR(IF(AND($A67=$B$8,'BOBOT PEK'!U100&lt;=$B$8,$B$8&lt;='BOBOT PEK'!V100),COUNTIFS($A$17:$A67,$B$8),""),"")</f>
        <v/>
      </c>
    </row>
    <row r="68" spans="1:17" ht="23.25" customHeight="1" x14ac:dyDescent="0.2">
      <c r="A68" s="234">
        <f>IFERROR(IF(COUNTIF($C$17:C68,C68)&lt;=('BOBOT PEK'!V101-'BOBOT PEK'!U101+1),'BOBOT PEK'!U101+COUNTIF($C$17:C68,C68)-1,0),0)</f>
        <v>6</v>
      </c>
      <c r="B68" s="235" t="str">
        <f>IFERROR(TEXT(INDEX('KALENDER MINGGU'!$B$6:$B$21,$A68),"dd/mm")&amp;" - "&amp;TEXT(INDEX('KALENDER MINGGU'!$C$6:$C$21,$A68),"dd/mm"),"")</f>
        <v>27/08 - 02/09</v>
      </c>
      <c r="C68" s="234" t="s">
        <v>481</v>
      </c>
      <c r="D68" s="236" t="str">
        <f>'BOBOT PEK'!C101</f>
        <v xml:space="preserve">Finishing paving </v>
      </c>
      <c r="E68" s="237">
        <f>'BOBOT PEK'!J101</f>
        <v>2.7016436089000075</v>
      </c>
      <c r="F68" s="237">
        <f>100/('BOBOT PEK'!V101-'BOBOT PEK'!U101+1)</f>
        <v>25</v>
      </c>
      <c r="G68" s="237">
        <f t="shared" si="0"/>
        <v>0.67541090222500189</v>
      </c>
      <c r="H68" s="237">
        <f>MIN(100,($A68-'BOBOT PEK'!U101+1)/('BOBOT PEK'!V101-'BOBOT PEK'!U101+1)*100)</f>
        <v>25</v>
      </c>
      <c r="I68" s="237">
        <f>IFERROR(SUM(INDEX(TS!$M:$AB,41,1):INDEX(TS!$M:$AB,41,$A68))/TS!$L$31*100,0)</f>
        <v>0</v>
      </c>
      <c r="J68" s="237">
        <f t="shared" si="1"/>
        <v>100</v>
      </c>
      <c r="K68" s="238"/>
      <c r="L68" s="238"/>
      <c r="M68" s="238"/>
      <c r="N68" s="238"/>
      <c r="O68" s="235" t="str">
        <f ca="1">IF(I68&gt;=99.9,"COMPLETED",IF('BOBOT PEK'!U101&gt;$J$7,"NOT STARTED",IF('BOBOT PEK'!V101&lt;$J$7,"CRITICAL",IF(I68+1&lt;H68,"DELAYED","ON SCHEDULE"))))</f>
        <v>CRITICAL</v>
      </c>
      <c r="P68" s="238"/>
      <c r="Q68">
        <f>IFERROR(IF(AND($A68=$B$8,'BOBOT PEK'!U101&lt;=$B$8,$B$8&lt;='BOBOT PEK'!V101),COUNTIFS($A$17:$A68,$B$8),""),"")</f>
        <v>1</v>
      </c>
    </row>
    <row r="69" spans="1:17" ht="34.5" customHeight="1" x14ac:dyDescent="0.2">
      <c r="A69" s="234">
        <f>IFERROR(IF(COUNTIF($C$17:C69,C69)&lt;=('BOBOT PEK'!V102-'BOBOT PEK'!U102+1),'BOBOT PEK'!U102+COUNTIF($C$17:C69,C69)-1,0),0)</f>
        <v>7</v>
      </c>
      <c r="B69" s="235" t="str">
        <f>IFERROR(TEXT(INDEX('KALENDER MINGGU'!$B$6:$B$21,$A69),"dd/mm")&amp;" - "&amp;TEXT(INDEX('KALENDER MINGGU'!$C$6:$C$21,$A69),"dd/mm"),"")</f>
        <v>03/09 - 09/09</v>
      </c>
      <c r="C69" s="234" t="s">
        <v>482</v>
      </c>
      <c r="D69" s="236" t="str">
        <f>'BOBOT PEK'!C102</f>
        <v>Terminasi cor keliling</v>
      </c>
      <c r="E69" s="237">
        <f>'BOBOT PEK'!J102</f>
        <v>0.33770545111250094</v>
      </c>
      <c r="F69" s="237">
        <f>100/('BOBOT PEK'!V102-'BOBOT PEK'!U102+1)</f>
        <v>33.333333333333336</v>
      </c>
      <c r="G69" s="237">
        <f t="shared" si="0"/>
        <v>0.112568483704167</v>
      </c>
      <c r="H69" s="237">
        <f>MIN(100,($A69-'BOBOT PEK'!U102+1)/('BOBOT PEK'!V102-'BOBOT PEK'!U102+1)*100)</f>
        <v>33.333333333333329</v>
      </c>
      <c r="I69" s="237">
        <f>IFERROR(SUM(INDEX(TS!$M:$AB,41,1):INDEX(TS!$M:$AB,41,$A69))/TS!$L$31*100,0)</f>
        <v>5.3235163113183752</v>
      </c>
      <c r="J69" s="237">
        <f t="shared" si="1"/>
        <v>94.676483688681628</v>
      </c>
      <c r="K69" s="238"/>
      <c r="L69" s="238"/>
      <c r="M69" s="238"/>
      <c r="N69" s="238"/>
      <c r="O69" s="235" t="str">
        <f ca="1">IF(I69&gt;=99.9,"COMPLETED",IF('BOBOT PEK'!U102&gt;$J$7,"NOT STARTED",IF('BOBOT PEK'!V102&lt;$J$7,"CRITICAL",IF(I69+1&lt;H69,"DELAYED","ON SCHEDULE"))))</f>
        <v>CRITICAL</v>
      </c>
      <c r="P69" s="238"/>
      <c r="Q69" t="str">
        <f>IFERROR(IF(AND($A69=$B$8,'BOBOT PEK'!U102&lt;=$B$8,$B$8&lt;='BOBOT PEK'!V102),COUNTIFS($A$17:$A69,$B$8),""),"")</f>
        <v/>
      </c>
    </row>
    <row r="70" spans="1:17" ht="23.25" customHeight="1" x14ac:dyDescent="0.2">
      <c r="A70" s="234">
        <f>IFERROR(IF(COUNTIF($C$17:C70,C70)&lt;=('BOBOT PEK'!V103-'BOBOT PEK'!U103+1),'BOBOT PEK'!U103+COUNTIF($C$17:C70,C70)-1,0),0)</f>
        <v>4</v>
      </c>
      <c r="B70" s="235" t="str">
        <f>IFERROR(TEXT(INDEX('KALENDER MINGGU'!$B$6:$B$21,$A70),"dd/mm")&amp;" - "&amp;TEXT(INDEX('KALENDER MINGGU'!$C$6:$C$21,$A70),"dd/mm"),"")</f>
        <v>13/08 - 19/08</v>
      </c>
      <c r="C70" s="234" t="s">
        <v>483</v>
      </c>
      <c r="D70" s="236" t="str">
        <f>'BOBOT PEK'!C103</f>
        <v>Pondasi Struktur bengkel</v>
      </c>
      <c r="E70" s="237">
        <f>'BOBOT PEK'!J103</f>
        <v>0.19955322111193238</v>
      </c>
      <c r="F70" s="237">
        <f>100/('BOBOT PEK'!V103-'BOBOT PEK'!U103+1)</f>
        <v>14.285714285714286</v>
      </c>
      <c r="G70" s="237">
        <f t="shared" si="0"/>
        <v>2.8507603015990344E-2</v>
      </c>
      <c r="H70" s="237">
        <f>MIN(100,($A70-'BOBOT PEK'!U103+1)/('BOBOT PEK'!V103-'BOBOT PEK'!U103+1)*100)</f>
        <v>14.285714285714285</v>
      </c>
      <c r="I70" s="237">
        <f>IFERROR(SUM(INDEX(TS!$M:$AB,41,1):INDEX(TS!$M:$AB,41,$A70))/TS!$L$31*100,0)</f>
        <v>0</v>
      </c>
      <c r="J70" s="237">
        <f t="shared" si="1"/>
        <v>100</v>
      </c>
      <c r="K70" s="238"/>
      <c r="L70" s="238"/>
      <c r="M70" s="238"/>
      <c r="N70" s="238"/>
      <c r="O70" s="235" t="str">
        <f ca="1">IF(I70&gt;=99.9,"COMPLETED",IF('BOBOT PEK'!U103&gt;$J$7,"NOT STARTED",IF('BOBOT PEK'!V103&lt;$J$7,"CRITICAL",IF(I70+1&lt;H70,"DELAYED","ON SCHEDULE"))))</f>
        <v>DELAYED</v>
      </c>
      <c r="P70" s="238"/>
      <c r="Q70" t="str">
        <f>IFERROR(IF(AND($A70=$B$8,'BOBOT PEK'!U103&lt;=$B$8,$B$8&lt;='BOBOT PEK'!V103),COUNTIFS($A$17:$A70,$B$8),""),"")</f>
        <v/>
      </c>
    </row>
    <row r="71" spans="1:17" ht="12.75" customHeight="1" x14ac:dyDescent="0.2">
      <c r="A71" s="234">
        <f>IFERROR(IF(COUNTIF($C$17:C71,C71)&lt;=('BOBOT PEK'!V104-'BOBOT PEK'!U104+1),'BOBOT PEK'!U104+COUNTIF($C$17:C71,C71)-1,0),0)</f>
        <v>4</v>
      </c>
      <c r="B71" s="235" t="str">
        <f>IFERROR(TEXT(INDEX('KALENDER MINGGU'!$B$6:$B$21,$A71),"dd/mm")&amp;" - "&amp;TEXT(INDEX('KALENDER MINGGU'!$C$6:$C$21,$A71),"dd/mm"),"")</f>
        <v>13/08 - 19/08</v>
      </c>
      <c r="C71" s="234" t="s">
        <v>484</v>
      </c>
      <c r="D71" s="236" t="str">
        <f>'BOBOT PEK'!C104</f>
        <v>Atap bengkel dan cucian mobil</v>
      </c>
      <c r="E71" s="237">
        <f>'BOBOT PEK'!J104</f>
        <v>1.4215864467058505</v>
      </c>
      <c r="F71" s="237">
        <f>100/('BOBOT PEK'!V104-'BOBOT PEK'!U104+1)</f>
        <v>14.285714285714286</v>
      </c>
      <c r="G71" s="237">
        <f t="shared" si="0"/>
        <v>0.20308377810083583</v>
      </c>
      <c r="H71" s="237">
        <f>MIN(100,($A71-'BOBOT PEK'!U104+1)/('BOBOT PEK'!V104-'BOBOT PEK'!U104+1)*100)</f>
        <v>14.285714285714285</v>
      </c>
      <c r="I71" s="237">
        <f>IFERROR(SUM(INDEX(TS!$M:$AB,41,1):INDEX(TS!$M:$AB,41,$A71))/TS!$L$31*100,0)</f>
        <v>0</v>
      </c>
      <c r="J71" s="237">
        <f t="shared" si="1"/>
        <v>100</v>
      </c>
      <c r="K71" s="238"/>
      <c r="L71" s="238"/>
      <c r="M71" s="238"/>
      <c r="N71" s="238"/>
      <c r="O71" s="235" t="str">
        <f ca="1">IF(I71&gt;=99.9,"COMPLETED",IF('BOBOT PEK'!U104&gt;$J$7,"NOT STARTED",IF('BOBOT PEK'!V104&lt;$J$7,"CRITICAL",IF(I71+1&lt;H71,"DELAYED","ON SCHEDULE"))))</f>
        <v>DELAYED</v>
      </c>
      <c r="P71" s="238"/>
      <c r="Q71" t="str">
        <f>IFERROR(IF(AND($A71=$B$8,'BOBOT PEK'!U104&lt;=$B$8,$B$8&lt;='BOBOT PEK'!V104),COUNTIFS($A$17:$A71,$B$8),""),"")</f>
        <v/>
      </c>
    </row>
    <row r="72" spans="1:17" ht="38.25" customHeight="1" x14ac:dyDescent="0.2">
      <c r="A72" s="234">
        <f>IFERROR(IF(COUNTIF($C$17:C72,C72)&lt;=('BOBOT PEK'!V105-'BOBOT PEK'!U105+1),'BOBOT PEK'!U105+COUNTIF($C$17:C72,C72)-1,0),0)</f>
        <v>4</v>
      </c>
      <c r="B72" s="235" t="str">
        <f>IFERROR(TEXT(INDEX('KALENDER MINGGU'!$B$6:$B$21,$A72),"dd/mm")&amp;" - "&amp;TEXT(INDEX('KALENDER MINGGU'!$C$6:$C$21,$A72),"dd/mm"),"")</f>
        <v>13/08 - 19/08</v>
      </c>
      <c r="C72" s="234" t="s">
        <v>485</v>
      </c>
      <c r="D72" s="236" t="str">
        <f>'BOBOT PEK'!C105</f>
        <v>Instalasi air bersih ke arah bengkel</v>
      </c>
      <c r="E72" s="237">
        <f>'BOBOT PEK'!J105</f>
        <v>0.14531567896356101</v>
      </c>
      <c r="F72" s="237">
        <f>100/('BOBOT PEK'!V105-'BOBOT PEK'!U105+1)</f>
        <v>14.285714285714286</v>
      </c>
      <c r="G72" s="237">
        <f t="shared" si="0"/>
        <v>2.0759382709080149E-2</v>
      </c>
      <c r="H72" s="237">
        <f>MIN(100,($A72-'BOBOT PEK'!U105+1)/('BOBOT PEK'!V105-'BOBOT PEK'!U105+1)*100)</f>
        <v>14.285714285714285</v>
      </c>
      <c r="I72" s="237">
        <f>IFERROR(SUM(INDEX(TS!$M:$AB,41,1):INDEX(TS!$M:$AB,41,$A72))/TS!$L$31*100,0)</f>
        <v>0</v>
      </c>
      <c r="J72" s="237">
        <f t="shared" si="1"/>
        <v>100</v>
      </c>
      <c r="K72" s="238"/>
      <c r="L72" s="238"/>
      <c r="M72" s="238"/>
      <c r="N72" s="238"/>
      <c r="O72" s="235" t="str">
        <f ca="1">IF(I72&gt;=99.9,"COMPLETED",IF('BOBOT PEK'!U105&gt;$J$7,"NOT STARTED",IF('BOBOT PEK'!V105&lt;$J$7,"CRITICAL",IF(I72+1&lt;H72,"DELAYED","ON SCHEDULE"))))</f>
        <v>DELAYED</v>
      </c>
      <c r="P72" s="238"/>
      <c r="Q72" t="str">
        <f>IFERROR(IF(AND($A72=$B$8,'BOBOT PEK'!U105&lt;=$B$8,$B$8&lt;='BOBOT PEK'!V105),COUNTIFS($A$17:$A72,$B$8),""),"")</f>
        <v/>
      </c>
    </row>
    <row r="73" spans="1:17" ht="12.75" customHeight="1" x14ac:dyDescent="0.2">
      <c r="A73" s="234">
        <f>IFERROR(IF(COUNTIF($C$17:C73,C73)&lt;=('BOBOT PEK'!V110-'BOBOT PEK'!U110+1),'BOBOT PEK'!U110+COUNTIF($C$17:C73,C73)-1,0),0)</f>
        <v>4</v>
      </c>
      <c r="B73" s="235" t="str">
        <f>IFERROR(TEXT(INDEX('KALENDER MINGGU'!$B$6:$B$21,$A73),"dd/mm")&amp;" - "&amp;TEXT(INDEX('KALENDER MINGGU'!$C$6:$C$21,$A73),"dd/mm"),"")</f>
        <v>13/08 - 19/08</v>
      </c>
      <c r="C73" s="234" t="s">
        <v>486</v>
      </c>
      <c r="D73" s="236" t="str">
        <f>'BOBOT PEK'!C110</f>
        <v>Pemadatan dan peninggian lantai ex. Taman samping</v>
      </c>
      <c r="E73" s="237">
        <f>'BOBOT PEK'!J110</f>
        <v>0.51167492592803177</v>
      </c>
      <c r="F73" s="237">
        <f>100/('BOBOT PEK'!V110-'BOBOT PEK'!U110+1)</f>
        <v>16.666666666666668</v>
      </c>
      <c r="G73" s="237">
        <f t="shared" si="0"/>
        <v>8.5279154321338632E-2</v>
      </c>
      <c r="H73" s="237">
        <f>MIN(100,($A73-'BOBOT PEK'!U110+1)/('BOBOT PEK'!V110-'BOBOT PEK'!U110+1)*100)</f>
        <v>16.666666666666664</v>
      </c>
      <c r="I73" s="237">
        <f>IFERROR(SUM(INDEX(TS!$M:$AB,43,1):INDEX(TS!$M:$AB,43,$A73))/TS!$L$33*100,0)</f>
        <v>0</v>
      </c>
      <c r="J73" s="237">
        <f t="shared" si="1"/>
        <v>100</v>
      </c>
      <c r="K73" s="238"/>
      <c r="L73" s="238"/>
      <c r="M73" s="238"/>
      <c r="N73" s="238" t="s">
        <v>720</v>
      </c>
      <c r="O73" s="235" t="str">
        <f ca="1">IF(I73&gt;=99.9,"COMPLETED",IF('BOBOT PEK'!U110&gt;$J$7,"NOT STARTED",IF('BOBOT PEK'!V110&lt;$J$7,"CRITICAL",IF(I73+1&lt;H73,"DELAYED","ON SCHEDULE"))))</f>
        <v>CRITICAL</v>
      </c>
      <c r="P73" s="238"/>
      <c r="Q73" t="str">
        <f>IFERROR(IF(AND($A73=$B$8,'BOBOT PEK'!U110&lt;=$B$8,$B$8&lt;='BOBOT PEK'!V110),COUNTIFS($A$17:$A73,$B$8),""),"")</f>
        <v/>
      </c>
    </row>
    <row r="74" spans="1:17" ht="12.75" customHeight="1" x14ac:dyDescent="0.2">
      <c r="A74" s="234">
        <f>IFERROR(IF(COUNTIF($C$17:C74,C74)&lt;=('BOBOT PEK'!V111-'BOBOT PEK'!U111+1),'BOBOT PEK'!U111+COUNTIF($C$17:C74,C74)-1,0),0)</f>
        <v>8</v>
      </c>
      <c r="B74" s="235" t="str">
        <f>IFERROR(TEXT(INDEX('KALENDER MINGGU'!$B$6:$B$21,$A74),"dd/mm")&amp;" - "&amp;TEXT(INDEX('KALENDER MINGGU'!$C$6:$C$21,$A74),"dd/mm"),"")</f>
        <v>10/09 - 16/09</v>
      </c>
      <c r="C74" s="234" t="s">
        <v>487</v>
      </c>
      <c r="D74" s="236" t="str">
        <f>'BOBOT PEK'!C111</f>
        <v>Pembuatan garis kuning lebar 10cm</v>
      </c>
      <c r="E74" s="237">
        <f>'BOBOT PEK'!J111</f>
        <v>0.15222329046358946</v>
      </c>
      <c r="F74" s="237">
        <f>100/('BOBOT PEK'!V111-'BOBOT PEK'!U111+1)</f>
        <v>50</v>
      </c>
      <c r="G74" s="237">
        <f t="shared" si="0"/>
        <v>7.6111645231794728E-2</v>
      </c>
      <c r="H74" s="237">
        <f>MIN(100,($A74-'BOBOT PEK'!U111+1)/('BOBOT PEK'!V111-'BOBOT PEK'!U111+1)*100)</f>
        <v>50</v>
      </c>
      <c r="I74" s="237">
        <f>IFERROR(SUM(INDEX(TS!$M:$AB,43,1):INDEX(TS!$M:$AB,43,$A74))/TS!$L$33*100,0)</f>
        <v>0</v>
      </c>
      <c r="J74" s="237">
        <f t="shared" si="1"/>
        <v>100</v>
      </c>
      <c r="K74" s="238"/>
      <c r="L74" s="238"/>
      <c r="M74" s="238"/>
      <c r="N74" s="238" t="s">
        <v>720</v>
      </c>
      <c r="O74" s="235" t="str">
        <f ca="1">IF(I74&gt;=99.9,"COMPLETED",IF('BOBOT PEK'!U111&gt;$J$7,"NOT STARTED",IF('BOBOT PEK'!V111&lt;$J$7,"CRITICAL",IF(I74+1&lt;H74,"DELAYED","ON SCHEDULE"))))</f>
        <v>CRITICAL</v>
      </c>
      <c r="P74" s="238"/>
      <c r="Q74" t="str">
        <f>IFERROR(IF(AND($A74=$B$8,'BOBOT PEK'!U111&lt;=$B$8,$B$8&lt;='BOBOT PEK'!V111),COUNTIFS($A$17:$A74,$B$8),""),"")</f>
        <v/>
      </c>
    </row>
    <row r="75" spans="1:17" ht="23.25" customHeight="1" x14ac:dyDescent="0.2">
      <c r="A75" s="234">
        <f>IFERROR(IF(COUNTIF($C$17:C75,C75)&lt;=('BOBOT PEK'!V112-'BOBOT PEK'!U112+1),'BOBOT PEK'!U112+COUNTIF($C$17:C75,C75)-1,0),0)</f>
        <v>4</v>
      </c>
      <c r="B75" s="235" t="str">
        <f>IFERROR(TEXT(INDEX('KALENDER MINGGU'!$B$6:$B$21,$A75),"dd/mm")&amp;" - "&amp;TEXT(INDEX('KALENDER MINGGU'!$C$6:$C$21,$A75),"dd/mm"),"")</f>
        <v>13/08 - 19/08</v>
      </c>
      <c r="C75" s="234" t="s">
        <v>488</v>
      </c>
      <c r="D75" s="236" t="str">
        <f>'BOBOT PEK'!C112</f>
        <v>Pekerjaan got samping</v>
      </c>
      <c r="E75" s="237">
        <f>'BOBOT PEK'!J112</f>
        <v>0</v>
      </c>
      <c r="F75" s="237">
        <f>100/('BOBOT PEK'!V112-'BOBOT PEK'!U112+1)</f>
        <v>16.666666666666668</v>
      </c>
      <c r="G75" s="237">
        <f t="shared" si="0"/>
        <v>0</v>
      </c>
      <c r="H75" s="237">
        <f>MIN(100,($A75-'BOBOT PEK'!U112+1)/('BOBOT PEK'!V112-'BOBOT PEK'!U112+1)*100)</f>
        <v>16.666666666666664</v>
      </c>
      <c r="I75" s="237">
        <f>IFERROR(SUM(INDEX(TS!$M:$AB,43,1):INDEX(TS!$M:$AB,43,$A75))/TS!$L$33*100,0)</f>
        <v>0</v>
      </c>
      <c r="J75" s="237">
        <f t="shared" si="1"/>
        <v>100</v>
      </c>
      <c r="K75" s="238"/>
      <c r="L75" s="238"/>
      <c r="M75" s="238"/>
      <c r="N75" s="238" t="s">
        <v>720</v>
      </c>
      <c r="O75" s="235" t="str">
        <f ca="1">IF(I75&gt;=99.9,"COMPLETED",IF('BOBOT PEK'!U112&gt;$J$7,"NOT STARTED",IF('BOBOT PEK'!V112&lt;$J$7,"CRITICAL",IF(I75+1&lt;H75,"DELAYED","ON SCHEDULE"))))</f>
        <v>CRITICAL</v>
      </c>
      <c r="P75" s="238"/>
      <c r="Q75" t="str">
        <f>IFERROR(IF(AND($A75=$B$8,'BOBOT PEK'!U112&lt;=$B$8,$B$8&lt;='BOBOT PEK'!V112),COUNTIFS($A$17:$A75,$B$8),""),"")</f>
        <v/>
      </c>
    </row>
    <row r="76" spans="1:17" ht="12.75" customHeight="1" x14ac:dyDescent="0.2">
      <c r="A76" s="234">
        <f>IFERROR(IF(COUNTIF($C$17:C76,C76)&lt;=('BOBOT PEK'!V113-'BOBOT PEK'!U113+1),'BOBOT PEK'!U113+COUNTIF($C$17:C76,C76)-1,0),0)</f>
        <v>4</v>
      </c>
      <c r="B76" s="235" t="str">
        <f>IFERROR(TEXT(INDEX('KALENDER MINGGU'!$B$6:$B$21,$A76),"dd/mm")&amp;" - "&amp;TEXT(INDEX('KALENDER MINGGU'!$C$6:$C$21,$A76),"dd/mm"),"")</f>
        <v>13/08 - 19/08</v>
      </c>
      <c r="C76" s="234" t="s">
        <v>489</v>
      </c>
      <c r="D76" s="236" t="str">
        <f>'BOBOT PEK'!C113</f>
        <v>Refinishing saluran</v>
      </c>
      <c r="E76" s="237">
        <f>'BOBOT PEK'!J113</f>
        <v>0.85193875167017286</v>
      </c>
      <c r="F76" s="237">
        <f>100/('BOBOT PEK'!V113-'BOBOT PEK'!U113+1)</f>
        <v>14.285714285714286</v>
      </c>
      <c r="G76" s="237">
        <f t="shared" si="0"/>
        <v>0.12170553595288186</v>
      </c>
      <c r="H76" s="237">
        <f>MIN(100,($A76-'BOBOT PEK'!U113+1)/('BOBOT PEK'!V113-'BOBOT PEK'!U113+1)*100)</f>
        <v>14.285714285714285</v>
      </c>
      <c r="I76" s="237">
        <f>IFERROR(SUM(INDEX(TS!$M:$AB,43,1):INDEX(TS!$M:$AB,43,$A76))/TS!$L$33*100,0)</f>
        <v>0</v>
      </c>
      <c r="J76" s="237">
        <f t="shared" si="1"/>
        <v>100</v>
      </c>
      <c r="K76" s="238"/>
      <c r="L76" s="238"/>
      <c r="M76" s="238"/>
      <c r="N76" s="238" t="s">
        <v>720</v>
      </c>
      <c r="O76" s="235" t="str">
        <f ca="1">IF(I76&gt;=99.9,"COMPLETED",IF('BOBOT PEK'!U113&gt;$J$7,"NOT STARTED",IF('BOBOT PEK'!V113&lt;$J$7,"CRITICAL",IF(I76+1&lt;H76,"DELAYED","ON SCHEDULE"))))</f>
        <v>DELAYED</v>
      </c>
      <c r="P76" s="238"/>
      <c r="Q76" t="str">
        <f>IFERROR(IF(AND($A76=$B$8,'BOBOT PEK'!U113&lt;=$B$8,$B$8&lt;='BOBOT PEK'!V113),COUNTIFS($A$17:$A76,$B$8),""),"")</f>
        <v/>
      </c>
    </row>
    <row r="77" spans="1:17" ht="12.75" customHeight="1" x14ac:dyDescent="0.2">
      <c r="A77" s="234">
        <f>IFERROR(IF(COUNTIF($C$17:C77,C77)&lt;=('BOBOT PEK'!V114-'BOBOT PEK'!U114+1),'BOBOT PEK'!U114+COUNTIF($C$17:C77,C77)-1,0),0)</f>
        <v>4</v>
      </c>
      <c r="B77" s="235" t="str">
        <f>IFERROR(TEXT(INDEX('KALENDER MINGGU'!$B$6:$B$21,$A77),"dd/mm")&amp;" - "&amp;TEXT(INDEX('KALENDER MINGGU'!$C$6:$C$21,$A77),"dd/mm"),"")</f>
        <v>13/08 - 19/08</v>
      </c>
      <c r="C77" s="234" t="s">
        <v>490</v>
      </c>
      <c r="D77" s="236" t="str">
        <f>'BOBOT PEK'!C114</f>
        <v>Pembuatan dinding batu kali</v>
      </c>
      <c r="E77" s="237">
        <f>'BOBOT PEK'!J114</f>
        <v>0.61400991111363812</v>
      </c>
      <c r="F77" s="237">
        <f>100/('BOBOT PEK'!V114-'BOBOT PEK'!U114+1)</f>
        <v>14.285714285714286</v>
      </c>
      <c r="G77" s="237">
        <f t="shared" si="0"/>
        <v>8.7715701587662606E-2</v>
      </c>
      <c r="H77" s="237">
        <f>MIN(100,($A77-'BOBOT PEK'!U114+1)/('BOBOT PEK'!V114-'BOBOT PEK'!U114+1)*100)</f>
        <v>14.285714285714285</v>
      </c>
      <c r="I77" s="237">
        <f>IFERROR(SUM(INDEX(TS!$M:$AB,43,1):INDEX(TS!$M:$AB,43,$A77))/TS!$L$33*100,0)</f>
        <v>0</v>
      </c>
      <c r="J77" s="237">
        <f t="shared" si="1"/>
        <v>100</v>
      </c>
      <c r="K77" s="238"/>
      <c r="L77" s="238"/>
      <c r="M77" s="238"/>
      <c r="N77" s="238" t="s">
        <v>720</v>
      </c>
      <c r="O77" s="235" t="str">
        <f ca="1">IF(I77&gt;=99.9,"COMPLETED",IF('BOBOT PEK'!U114&gt;$J$7,"NOT STARTED",IF('BOBOT PEK'!V114&lt;$J$7,"CRITICAL",IF(I77+1&lt;H77,"DELAYED","ON SCHEDULE"))))</f>
        <v>DELAYED</v>
      </c>
      <c r="P77" s="238"/>
      <c r="Q77" t="str">
        <f>IFERROR(IF(AND($A77=$B$8,'BOBOT PEK'!U114&lt;=$B$8,$B$8&lt;='BOBOT PEK'!V114),COUNTIFS($A$17:$A77,$B$8),""),"")</f>
        <v/>
      </c>
    </row>
    <row r="78" spans="1:17" ht="23.25" customHeight="1" x14ac:dyDescent="0.2">
      <c r="A78" s="234">
        <f>IFERROR(IF(COUNTIF($C$17:C78,C78)&lt;=('BOBOT PEK'!V13-'BOBOT PEK'!U13+1),'BOBOT PEK'!U13+COUNTIF($C$17:C78,C78)-1,0),0)</f>
        <v>5</v>
      </c>
      <c r="B78" s="235" t="str">
        <f>IFERROR(TEXT(INDEX('KALENDER MINGGU'!$B$6:$B$21,$A78),"dd/mm")&amp;" - "&amp;TEXT(INDEX('KALENDER MINGGU'!$C$6:$C$21,$A78),"dd/mm"),"")</f>
        <v>20/08 - 26/08</v>
      </c>
      <c r="C78" s="234" t="s">
        <v>421</v>
      </c>
      <c r="D78" s="236" t="str">
        <f>'BOBOT PEK'!C13</f>
        <v>Skafolding dan Alat Bantu Pekerjaan</v>
      </c>
      <c r="E78" s="237">
        <f>'BOBOT PEK'!J13</f>
        <v>0.38375619444602382</v>
      </c>
      <c r="F78" s="237">
        <f>100/('BOBOT PEK'!V13-'BOBOT PEK'!U13+1)</f>
        <v>16.666666666666668</v>
      </c>
      <c r="G78" s="237">
        <f t="shared" si="0"/>
        <v>6.3959365741003985E-2</v>
      </c>
      <c r="H78" s="237">
        <f>MIN(100,($A78-'BOBOT PEK'!U13+1)/('BOBOT PEK'!V13-'BOBOT PEK'!U13+1)*100)</f>
        <v>83.333333333333343</v>
      </c>
      <c r="I78" s="237">
        <f>IFERROR(SUM(INDEX(TS!$M:$AB,23,1):INDEX(TS!$M:$AB,23,$A78))/TS!$L$13*100,0)</f>
        <v>0</v>
      </c>
      <c r="J78" s="237">
        <f t="shared" si="1"/>
        <v>100</v>
      </c>
      <c r="K78" s="238"/>
      <c r="L78" s="238"/>
      <c r="M78" s="238"/>
      <c r="N78" s="238"/>
      <c r="O78" s="235" t="str">
        <f ca="1">IF(I78&gt;=99.9,"COMPLETED",IF('BOBOT PEK'!U13&gt;$J$7,"NOT STARTED",IF('BOBOT PEK'!V13&lt;$J$7,"CRITICAL",IF(I78+1&lt;H78,"DELAYED","ON SCHEDULE"))))</f>
        <v>CRITICAL</v>
      </c>
      <c r="P78" s="238"/>
      <c r="Q78" t="str">
        <f>IFERROR(IF(AND($A78=$B$8,'BOBOT PEK'!U13&lt;=$B$8,$B$8&lt;='BOBOT PEK'!V13),COUNTIFS($A$17:$A78,$B$8),""),"")</f>
        <v/>
      </c>
    </row>
    <row r="79" spans="1:17" ht="25.5" customHeight="1" x14ac:dyDescent="0.2">
      <c r="A79" s="234">
        <f>IFERROR(IF(COUNTIF($C$17:C79,C79)&lt;=('BOBOT PEK'!V17-'BOBOT PEK'!U17+1),'BOBOT PEK'!U17+COUNTIF($C$17:C79,C79)-1,0),0)</f>
        <v>6</v>
      </c>
      <c r="B79" s="235" t="str">
        <f>IFERROR(TEXT(INDEX('KALENDER MINGGU'!$B$6:$B$21,$A79),"dd/mm")&amp;" - "&amp;TEXT(INDEX('KALENDER MINGGU'!$C$6:$C$21,$A79),"dd/mm"),"")</f>
        <v>27/08 - 02/09</v>
      </c>
      <c r="C79" s="234" t="s">
        <v>424</v>
      </c>
      <c r="D79" s="236" t="str">
        <f>'BOBOT PEK'!C17</f>
        <v>Pasang aluminium bubble dibawah atap+plat strip</v>
      </c>
      <c r="E79" s="237">
        <f>'BOBOT PEK'!J17</f>
        <v>8.8263924722585472</v>
      </c>
      <c r="F79" s="237">
        <f>100/('BOBOT PEK'!V17-'BOBOT PEK'!U17+1)</f>
        <v>25</v>
      </c>
      <c r="G79" s="237">
        <f t="shared" si="0"/>
        <v>2.2065981180646368</v>
      </c>
      <c r="H79" s="237">
        <f>MIN(100,($A79-'BOBOT PEK'!U17+1)/('BOBOT PEK'!V17-'BOBOT PEK'!U17+1)*100)</f>
        <v>25</v>
      </c>
      <c r="I79" s="237">
        <f>IFERROR(SUM(INDEX(TS!$M:$AB,25,1):INDEX(TS!$M:$AB,25,$A79))/TS!$L$15*100,0)</f>
        <v>6.3585114450039812</v>
      </c>
      <c r="J79" s="237">
        <f t="shared" si="1"/>
        <v>93.641488554996016</v>
      </c>
      <c r="K79" s="238"/>
      <c r="L79" s="238"/>
      <c r="M79" s="238"/>
      <c r="N79" s="238"/>
      <c r="O79" s="235" t="str">
        <f ca="1">IF(I79&gt;=99.9,"COMPLETED",IF('BOBOT PEK'!U17&gt;$J$7,"NOT STARTED",IF('BOBOT PEK'!V17&lt;$J$7,"CRITICAL",IF(I79+1&lt;H79,"DELAYED","ON SCHEDULE"))))</f>
        <v>CRITICAL</v>
      </c>
      <c r="P79" s="238"/>
      <c r="Q79">
        <f>IFERROR(IF(AND($A79=$B$8,'BOBOT PEK'!U17&lt;=$B$8,$B$8&lt;='BOBOT PEK'!V17),COUNTIFS($A$17:$A79,$B$8),""),"")</f>
        <v>2</v>
      </c>
    </row>
    <row r="80" spans="1:17" ht="12.75" customHeight="1" x14ac:dyDescent="0.2">
      <c r="A80" s="234">
        <f>IFERROR(IF(COUNTIF($C$17:C80,C80)&lt;=('BOBOT PEK'!V45-'BOBOT PEK'!U45+1),'BOBOT PEK'!U45+COUNTIF($C$17:C80,C80)-1,0),0)</f>
        <v>5</v>
      </c>
      <c r="B80" s="235" t="str">
        <f>IFERROR(TEXT(INDEX('KALENDER MINGGU'!$B$6:$B$21,$A80),"dd/mm")&amp;" - "&amp;TEXT(INDEX('KALENDER MINGGU'!$C$6:$C$21,$A80),"dd/mm"),"")</f>
        <v>20/08 - 26/08</v>
      </c>
      <c r="C80" s="234" t="s">
        <v>446</v>
      </c>
      <c r="D80" s="236" t="str">
        <f>'BOBOT PEK'!C45</f>
        <v>Pekerjaan bongkaran dinding pagar existing</v>
      </c>
      <c r="E80" s="237">
        <f>'BOBOT PEK'!J45</f>
        <v>0.12382533207458367</v>
      </c>
      <c r="F80" s="237">
        <f>100/('BOBOT PEK'!V45-'BOBOT PEK'!U45+1)</f>
        <v>25</v>
      </c>
      <c r="G80" s="237">
        <f t="shared" si="0"/>
        <v>3.0956333018645917E-2</v>
      </c>
      <c r="H80" s="237">
        <f>MIN(100,($A80-'BOBOT PEK'!U45+1)/('BOBOT PEK'!V45-'BOBOT PEK'!U45+1)*100)</f>
        <v>50</v>
      </c>
      <c r="I80" s="237">
        <f>IFERROR(SUM(INDEX(TS!$M:$AB,29,1):INDEX(TS!$M:$AB,29,$A80))/TS!$L$19*100,0)</f>
        <v>0</v>
      </c>
      <c r="J80" s="237">
        <f t="shared" si="1"/>
        <v>100</v>
      </c>
      <c r="K80" s="238"/>
      <c r="L80" s="238"/>
      <c r="M80" s="238"/>
      <c r="N80" s="238"/>
      <c r="O80" s="235" t="str">
        <f ca="1">IF(I80&gt;=99.9,"COMPLETED",IF('BOBOT PEK'!U45&gt;$J$7,"NOT STARTED",IF('BOBOT PEK'!V45&lt;$J$7,"CRITICAL",IF(I80+1&lt;H80,"DELAYED","ON SCHEDULE"))))</f>
        <v>CRITICAL</v>
      </c>
      <c r="P80" s="238"/>
      <c r="Q80" t="str">
        <f>IFERROR(IF(AND($A80=$B$8,'BOBOT PEK'!U45&lt;=$B$8,$B$8&lt;='BOBOT PEK'!V45),COUNTIFS($A$17:$A80,$B$8),""),"")</f>
        <v/>
      </c>
    </row>
    <row r="81" spans="1:17" ht="23.25" customHeight="1" x14ac:dyDescent="0.2">
      <c r="A81" s="234">
        <f>IFERROR(IF(COUNTIF($C$17:C81,C81)&lt;=('BOBOT PEK'!V67-'BOBOT PEK'!U67+1),'BOBOT PEK'!U67+COUNTIF($C$17:C81,C81)-1,0),0)</f>
        <v>5</v>
      </c>
      <c r="B81" s="235" t="str">
        <f>IFERROR(TEXT(INDEX('KALENDER MINGGU'!$B$6:$B$21,$A81),"dd/mm")&amp;" - "&amp;TEXT(INDEX('KALENDER MINGGU'!$C$6:$C$21,$A81),"dd/mm"),"")</f>
        <v>20/08 - 26/08</v>
      </c>
      <c r="C81" s="234" t="s">
        <v>459</v>
      </c>
      <c r="D81" s="236" t="str">
        <f>'BOBOT PEK'!C67</f>
        <v>Kansteen dan ban-banan area dalam taman</v>
      </c>
      <c r="E81" s="237">
        <f>'BOBOT PEK'!J67</f>
        <v>0.81867988148485082</v>
      </c>
      <c r="F81" s="237">
        <f>100/('BOBOT PEK'!V67-'BOBOT PEK'!U67+1)</f>
        <v>14.285714285714286</v>
      </c>
      <c r="G81" s="237">
        <f t="shared" ref="G81:G144" si="2">F81/100*E81</f>
        <v>0.11695426878355013</v>
      </c>
      <c r="H81" s="237">
        <f>MIN(100,($A81-'BOBOT PEK'!U67+1)/('BOBOT PEK'!V67-'BOBOT PEK'!U67+1)*100)</f>
        <v>28.571428571428569</v>
      </c>
      <c r="I81" s="237">
        <f>IFERROR(SUM(INDEX(TS!$M:$AB,35,1):INDEX(TS!$M:$AB,35,$A81))/TS!$L$25*100,0)</f>
        <v>0</v>
      </c>
      <c r="J81" s="237">
        <f t="shared" ref="J81:J144" si="3">MAX(0,100-I81)</f>
        <v>100</v>
      </c>
      <c r="K81" s="238"/>
      <c r="L81" s="238"/>
      <c r="M81" s="238"/>
      <c r="N81" s="238"/>
      <c r="O81" s="235" t="str">
        <f ca="1">IF(I81&gt;=99.9,"COMPLETED",IF('BOBOT PEK'!U67&gt;$J$7,"NOT STARTED",IF('BOBOT PEK'!V67&lt;$J$7,"CRITICAL",IF(I81+1&lt;H81,"DELAYED","ON SCHEDULE"))))</f>
        <v>DELAYED</v>
      </c>
      <c r="P81" s="238"/>
      <c r="Q81" t="str">
        <f>IFERROR(IF(AND($A81=$B$8,'BOBOT PEK'!U67&lt;=$B$8,$B$8&lt;='BOBOT PEK'!V67),COUNTIFS($A$17:$A81,$B$8),""),"")</f>
        <v/>
      </c>
    </row>
    <row r="82" spans="1:17" ht="23.25" customHeight="1" x14ac:dyDescent="0.2">
      <c r="A82" s="234">
        <f>IFERROR(IF(COUNTIF($C$17:C82,C82)&lt;=('BOBOT PEK'!V69-'BOBOT PEK'!U69+1),'BOBOT PEK'!U69+COUNTIF($C$17:C82,C82)-1,0),0)</f>
        <v>5</v>
      </c>
      <c r="B82" s="235" t="str">
        <f>IFERROR(TEXT(INDEX('KALENDER MINGGU'!$B$6:$B$21,$A82),"dd/mm")&amp;" - "&amp;TEXT(INDEX('KALENDER MINGGU'!$C$6:$C$21,$A82),"dd/mm"),"")</f>
        <v>20/08 - 26/08</v>
      </c>
      <c r="C82" s="234" t="s">
        <v>461</v>
      </c>
      <c r="D82" s="236" t="str">
        <f>'BOBOT PEK'!C69</f>
        <v>Reposisi pintu tempat sampah</v>
      </c>
      <c r="E82" s="237">
        <f>'BOBOT PEK'!J69</f>
        <v>3.8375619444602382E-2</v>
      </c>
      <c r="F82" s="237">
        <f>100/('BOBOT PEK'!V69-'BOBOT PEK'!U69+1)</f>
        <v>50</v>
      </c>
      <c r="G82" s="237">
        <f t="shared" si="2"/>
        <v>1.9187809722301191E-2</v>
      </c>
      <c r="H82" s="237">
        <f>MIN(100,($A82-'BOBOT PEK'!U69+1)/('BOBOT PEK'!V69-'BOBOT PEK'!U69+1)*100)</f>
        <v>100</v>
      </c>
      <c r="I82" s="237">
        <f>IFERROR(SUM(INDEX(TS!$M:$AB,35,1):INDEX(TS!$M:$AB,35,$A82))/TS!$L$25*100,0)</f>
        <v>0</v>
      </c>
      <c r="J82" s="237">
        <f t="shared" si="3"/>
        <v>100</v>
      </c>
      <c r="K82" s="238"/>
      <c r="L82" s="238"/>
      <c r="M82" s="238"/>
      <c r="N82" s="238"/>
      <c r="O82" s="235" t="str">
        <f ca="1">IF(I82&gt;=99.9,"COMPLETED",IF('BOBOT PEK'!U69&gt;$J$7,"NOT STARTED",IF('BOBOT PEK'!V69&lt;$J$7,"CRITICAL",IF(I82+1&lt;H82,"DELAYED","ON SCHEDULE"))))</f>
        <v>CRITICAL</v>
      </c>
      <c r="P82" s="238"/>
      <c r="Q82" t="str">
        <f>IFERROR(IF(AND($A82=$B$8,'BOBOT PEK'!U69&lt;=$B$8,$B$8&lt;='BOBOT PEK'!V69),COUNTIFS($A$17:$A82,$B$8),""),"")</f>
        <v/>
      </c>
    </row>
    <row r="83" spans="1:17" ht="12.75" customHeight="1" x14ac:dyDescent="0.2">
      <c r="A83" s="234">
        <f>IFERROR(IF(COUNTIF($C$17:C83,C83)&lt;=('BOBOT PEK'!V77-'BOBOT PEK'!U77+1),'BOBOT PEK'!U77+COUNTIF($C$17:C83,C83)-1,0),0)</f>
        <v>5</v>
      </c>
      <c r="B83" s="235" t="str">
        <f>IFERROR(TEXT(INDEX('KALENDER MINGGU'!$B$6:$B$21,$A83),"dd/mm")&amp;" - "&amp;TEXT(INDEX('KALENDER MINGGU'!$C$6:$C$21,$A83),"dd/mm"),"")</f>
        <v>20/08 - 26/08</v>
      </c>
      <c r="C83" s="234" t="s">
        <v>464</v>
      </c>
      <c r="D83" s="236" t="str">
        <f>'BOBOT PEK'!C77</f>
        <v xml:space="preserve">Pengupasan aspal existing </v>
      </c>
      <c r="E83" s="237">
        <f>'BOBOT PEK'!J77</f>
        <v>3.3576108639397444</v>
      </c>
      <c r="F83" s="237">
        <f>100/('BOBOT PEK'!V77-'BOBOT PEK'!U77+1)</f>
        <v>6.25</v>
      </c>
      <c r="G83" s="237">
        <f t="shared" si="2"/>
        <v>0.20985067899623402</v>
      </c>
      <c r="H83" s="237">
        <f>MIN(100,($A83-'BOBOT PEK'!U77+1)/('BOBOT PEK'!V77-'BOBOT PEK'!U77+1)*100)</f>
        <v>31.25</v>
      </c>
      <c r="I83" s="237">
        <f>IFERROR(SUM(INDEX(TS!$M:$AB,37,1):INDEX(TS!$M:$AB,37,$A83))/TS!$L$27*100,0)</f>
        <v>0</v>
      </c>
      <c r="J83" s="237">
        <f t="shared" si="3"/>
        <v>100</v>
      </c>
      <c r="K83" s="238"/>
      <c r="L83" s="238"/>
      <c r="M83" s="238"/>
      <c r="N83" s="238" t="s">
        <v>720</v>
      </c>
      <c r="O83" s="235" t="str">
        <f ca="1">IF(I83&gt;=99.9,"COMPLETED",IF('BOBOT PEK'!U77&gt;$J$7,"NOT STARTED",IF('BOBOT PEK'!V77&lt;$J$7,"CRITICAL",IF(I83+1&lt;H83,"DELAYED","ON SCHEDULE"))))</f>
        <v>DELAYED</v>
      </c>
      <c r="P83" s="238"/>
      <c r="Q83" t="str">
        <f>IFERROR(IF(AND($A83=$B$8,'BOBOT PEK'!U77&lt;=$B$8,$B$8&lt;='BOBOT PEK'!V77),COUNTIFS($A$17:$A83,$B$8),""),"")</f>
        <v/>
      </c>
    </row>
    <row r="84" spans="1:17" ht="23.25" customHeight="1" x14ac:dyDescent="0.2">
      <c r="A84" s="234">
        <f>IFERROR(IF(COUNTIF($C$17:C84,C84)&lt;=('BOBOT PEK'!V78-'BOBOT PEK'!U78+1),'BOBOT PEK'!U78+COUNTIF($C$17:C84,C84)-1,0),0)</f>
        <v>5</v>
      </c>
      <c r="B84" s="235" t="str">
        <f>IFERROR(TEXT(INDEX('KALENDER MINGGU'!$B$6:$B$21,$A84),"dd/mm")&amp;" - "&amp;TEXT(INDEX('KALENDER MINGGU'!$C$6:$C$21,$A84),"dd/mm"),"")</f>
        <v>20/08 - 26/08</v>
      </c>
      <c r="C84" s="234" t="s">
        <v>465</v>
      </c>
      <c r="D84" s="236" t="str">
        <f>'BOBOT PEK'!C78</f>
        <v xml:space="preserve">Pengupasan beton existing </v>
      </c>
      <c r="E84" s="237">
        <f>'BOBOT PEK'!J78</f>
        <v>1.9430855312117006</v>
      </c>
      <c r="F84" s="237">
        <f>100/('BOBOT PEK'!V78-'BOBOT PEK'!U78+1)</f>
        <v>6.25</v>
      </c>
      <c r="G84" s="237">
        <f t="shared" si="2"/>
        <v>0.12144284570073129</v>
      </c>
      <c r="H84" s="237">
        <f>MIN(100,($A84-'BOBOT PEK'!U78+1)/('BOBOT PEK'!V78-'BOBOT PEK'!U78+1)*100)</f>
        <v>31.25</v>
      </c>
      <c r="I84" s="237">
        <f>IFERROR(SUM(INDEX(TS!$M:$AB,37,1):INDEX(TS!$M:$AB,37,$A84))/TS!$L$27*100,0)</f>
        <v>0</v>
      </c>
      <c r="J84" s="237">
        <f t="shared" si="3"/>
        <v>100</v>
      </c>
      <c r="K84" s="238"/>
      <c r="L84" s="238"/>
      <c r="M84" s="238"/>
      <c r="N84" s="238" t="s">
        <v>720</v>
      </c>
      <c r="O84" s="235" t="str">
        <f ca="1">IF(I84&gt;=99.9,"COMPLETED",IF('BOBOT PEK'!U78&gt;$J$7,"NOT STARTED",IF('BOBOT PEK'!V78&lt;$J$7,"CRITICAL",IF(I84+1&lt;H84,"DELAYED","ON SCHEDULE"))))</f>
        <v>DELAYED</v>
      </c>
      <c r="P84" s="238"/>
      <c r="Q84" t="str">
        <f>IFERROR(IF(AND($A84=$B$8,'BOBOT PEK'!U78&lt;=$B$8,$B$8&lt;='BOBOT PEK'!V78),COUNTIFS($A$17:$A84,$B$8),""),"")</f>
        <v/>
      </c>
    </row>
    <row r="85" spans="1:17" ht="57" customHeight="1" x14ac:dyDescent="0.2">
      <c r="A85" s="234">
        <f>IFERROR(IF(COUNTIF($C$17:C85,C85)&lt;=('BOBOT PEK'!V79-'BOBOT PEK'!U79+1),'BOBOT PEK'!U79+COUNTIF($C$17:C85,C85)-1,0),0)</f>
        <v>5</v>
      </c>
      <c r="B85" s="235" t="str">
        <f>IFERROR(TEXT(INDEX('KALENDER MINGGU'!$B$6:$B$21,$A85),"dd/mm")&amp;" - "&amp;TEXT(INDEX('KALENDER MINGGU'!$C$6:$C$21,$A85),"dd/mm"),"")</f>
        <v>20/08 - 26/08</v>
      </c>
      <c r="C85" s="234" t="s">
        <v>466</v>
      </c>
      <c r="D85" s="236" t="str">
        <f>'BOBOT PEK'!C79</f>
        <v>Pembuangan puing sewa truk</v>
      </c>
      <c r="E85" s="237">
        <f>'BOBOT PEK'!J79</f>
        <v>3.3766707549305637</v>
      </c>
      <c r="F85" s="237">
        <f>100/('BOBOT PEK'!V79-'BOBOT PEK'!U79+1)</f>
        <v>6.25</v>
      </c>
      <c r="G85" s="237">
        <f t="shared" si="2"/>
        <v>0.21104192218316023</v>
      </c>
      <c r="H85" s="237">
        <f>MIN(100,($A85-'BOBOT PEK'!U79+1)/('BOBOT PEK'!V79-'BOBOT PEK'!U79+1)*100)</f>
        <v>31.25</v>
      </c>
      <c r="I85" s="237">
        <f>IFERROR(SUM(INDEX(TS!$M:$AB,37,1):INDEX(TS!$M:$AB,37,$A85))/TS!$L$27*100,0)</f>
        <v>0</v>
      </c>
      <c r="J85" s="237">
        <f t="shared" si="3"/>
        <v>100</v>
      </c>
      <c r="K85" s="238"/>
      <c r="L85" s="238"/>
      <c r="M85" s="238"/>
      <c r="N85" s="238" t="s">
        <v>720</v>
      </c>
      <c r="O85" s="235" t="str">
        <f ca="1">IF(I85&gt;=99.9,"COMPLETED",IF('BOBOT PEK'!U79&gt;$J$7,"NOT STARTED",IF('BOBOT PEK'!V79&lt;$J$7,"CRITICAL",IF(I85+1&lt;H85,"DELAYED","ON SCHEDULE"))))</f>
        <v>DELAYED</v>
      </c>
      <c r="P85" s="238"/>
      <c r="Q85" t="str">
        <f>IFERROR(IF(AND($A85=$B$8,'BOBOT PEK'!U79&lt;=$B$8,$B$8&lt;='BOBOT PEK'!V79),COUNTIFS($A$17:$A85,$B$8),""),"")</f>
        <v/>
      </c>
    </row>
    <row r="86" spans="1:17" ht="12.75" customHeight="1" x14ac:dyDescent="0.2">
      <c r="A86" s="234">
        <f>IFERROR(IF(COUNTIF($C$17:C86,C86)&lt;=('BOBOT PEK'!V80-'BOBOT PEK'!U80+1),'BOBOT PEK'!U80+COUNTIF($C$17:C86,C86)-1,0),0)</f>
        <v>5</v>
      </c>
      <c r="B86" s="235" t="str">
        <f>IFERROR(TEXT(INDEX('KALENDER MINGGU'!$B$6:$B$21,$A86),"dd/mm")&amp;" - "&amp;TEXT(INDEX('KALENDER MINGGU'!$C$6:$C$21,$A86),"dd/mm"),"")</f>
        <v>20/08 - 26/08</v>
      </c>
      <c r="C86" s="234" t="s">
        <v>467</v>
      </c>
      <c r="D86" s="236" t="str">
        <f>'BOBOT PEK'!C80</f>
        <v>Besi 13 ulir , kotak 30x30cm</v>
      </c>
      <c r="E86" s="237">
        <f>'BOBOT PEK'!J80</f>
        <v>15.224105695407308</v>
      </c>
      <c r="F86" s="237">
        <f>100/('BOBOT PEK'!V80-'BOBOT PEK'!U80+1)</f>
        <v>6.25</v>
      </c>
      <c r="G86" s="237">
        <f t="shared" si="2"/>
        <v>0.95150660596295678</v>
      </c>
      <c r="H86" s="237">
        <f>MIN(100,($A86-'BOBOT PEK'!U80+1)/('BOBOT PEK'!V80-'BOBOT PEK'!U80+1)*100)</f>
        <v>31.25</v>
      </c>
      <c r="I86" s="237">
        <f>IFERROR(SUM(INDEX(TS!$M:$AB,37,1):INDEX(TS!$M:$AB,37,$A86))/TS!$L$27*100,0)</f>
        <v>0</v>
      </c>
      <c r="J86" s="237">
        <f t="shared" si="3"/>
        <v>100</v>
      </c>
      <c r="K86" s="238"/>
      <c r="L86" s="238"/>
      <c r="M86" s="238"/>
      <c r="N86" s="238" t="s">
        <v>720</v>
      </c>
      <c r="O86" s="235" t="str">
        <f ca="1">IF(I86&gt;=99.9,"COMPLETED",IF('BOBOT PEK'!U80&gt;$J$7,"NOT STARTED",IF('BOBOT PEK'!V80&lt;$J$7,"CRITICAL",IF(I86+1&lt;H86,"DELAYED","ON SCHEDULE"))))</f>
        <v>DELAYED</v>
      </c>
      <c r="P86" s="238"/>
      <c r="Q86" t="str">
        <f>IFERROR(IF(AND($A86=$B$8,'BOBOT PEK'!U80&lt;=$B$8,$B$8&lt;='BOBOT PEK'!V80),COUNTIFS($A$17:$A86,$B$8),""),"")</f>
        <v/>
      </c>
    </row>
    <row r="87" spans="1:17" ht="25.5" customHeight="1" x14ac:dyDescent="0.2">
      <c r="A87" s="234">
        <f>IFERROR(IF(COUNTIF($C$17:C87,C87)&lt;=('BOBOT PEK'!V81-'BOBOT PEK'!U81+1),'BOBOT PEK'!U81+COUNTIF($C$17:C87,C87)-1,0),0)</f>
        <v>5</v>
      </c>
      <c r="B87" s="235" t="str">
        <f>IFERROR(TEXT(INDEX('KALENDER MINGGU'!$B$6:$B$21,$A87),"dd/mm")&amp;" - "&amp;TEXT(INDEX('KALENDER MINGGU'!$C$6:$C$21,$A87),"dd/mm"),"")</f>
        <v>20/08 - 26/08</v>
      </c>
      <c r="C87" s="234" t="s">
        <v>468</v>
      </c>
      <c r="D87" s="236" t="str">
        <f>'BOBOT PEK'!C81</f>
        <v>Cor ready mix K-350 (tanpa trowel dan line cutting)</v>
      </c>
      <c r="E87" s="237">
        <f>'BOBOT PEK'!J81</f>
        <v>18.885237150790225</v>
      </c>
      <c r="F87" s="237">
        <f>100/('BOBOT PEK'!V81-'BOBOT PEK'!U81+1)</f>
        <v>6.25</v>
      </c>
      <c r="G87" s="237">
        <f t="shared" si="2"/>
        <v>1.1803273219243891</v>
      </c>
      <c r="H87" s="237">
        <f>MIN(100,($A87-'BOBOT PEK'!U81+1)/('BOBOT PEK'!V81-'BOBOT PEK'!U81+1)*100)</f>
        <v>31.25</v>
      </c>
      <c r="I87" s="237">
        <f>IFERROR(SUM(INDEX(TS!$M:$AB,37,1):INDEX(TS!$M:$AB,37,$A87))/TS!$L$27*100,0)</f>
        <v>0</v>
      </c>
      <c r="J87" s="237">
        <f t="shared" si="3"/>
        <v>100</v>
      </c>
      <c r="K87" s="238"/>
      <c r="L87" s="238"/>
      <c r="M87" s="238"/>
      <c r="N87" s="238" t="s">
        <v>720</v>
      </c>
      <c r="O87" s="235" t="str">
        <f ca="1">IF(I87&gt;=99.9,"COMPLETED",IF('BOBOT PEK'!U81&gt;$J$7,"NOT STARTED",IF('BOBOT PEK'!V81&lt;$J$7,"CRITICAL",IF(I87+1&lt;H87,"DELAYED","ON SCHEDULE"))))</f>
        <v>DELAYED</v>
      </c>
      <c r="P87" s="238"/>
      <c r="Q87" t="str">
        <f>IFERROR(IF(AND($A87=$B$8,'BOBOT PEK'!U81&lt;=$B$8,$B$8&lt;='BOBOT PEK'!V81),COUNTIFS($A$17:$A87,$B$8),""),"")</f>
        <v/>
      </c>
    </row>
    <row r="88" spans="1:17" ht="12.75" customHeight="1" x14ac:dyDescent="0.2">
      <c r="A88" s="234">
        <f>IFERROR(IF(COUNTIF($C$17:C88,C88)&lt;=('BOBOT PEK'!V85-'BOBOT PEK'!U85+1),'BOBOT PEK'!U85+COUNTIF($C$17:C88,C88)-1,0),0)</f>
        <v>5</v>
      </c>
      <c r="B88" s="235" t="str">
        <f>IFERROR(TEXT(INDEX('KALENDER MINGGU'!$B$6:$B$21,$A88),"dd/mm")&amp;" - "&amp;TEXT(INDEX('KALENDER MINGGU'!$C$6:$C$21,$A88),"dd/mm"),"")</f>
        <v>20/08 - 26/08</v>
      </c>
      <c r="C88" s="234" t="s">
        <v>469</v>
      </c>
      <c r="D88" s="236" t="str">
        <f>'BOBOT PEK'!C85</f>
        <v>Pekerjaan refinishing dinding pagar timur &amp; utara</v>
      </c>
      <c r="E88" s="237">
        <f>'BOBOT PEK'!J85</f>
        <v>1.0803504386044462</v>
      </c>
      <c r="F88" s="237">
        <f>100/('BOBOT PEK'!V85-'BOBOT PEK'!U85+1)</f>
        <v>10</v>
      </c>
      <c r="G88" s="237">
        <f t="shared" si="2"/>
        <v>0.10803504386044463</v>
      </c>
      <c r="H88" s="237">
        <f>MIN(100,($A88-'BOBOT PEK'!U85+1)/('BOBOT PEK'!V85-'BOBOT PEK'!U85+1)*100)</f>
        <v>10</v>
      </c>
      <c r="I88" s="237">
        <f>IFERROR(SUM(INDEX(TS!$M:$AB,39,1):INDEX(TS!$M:$AB,39,$A88))/TS!$L$29*100,0)</f>
        <v>0</v>
      </c>
      <c r="J88" s="237">
        <f t="shared" si="3"/>
        <v>100</v>
      </c>
      <c r="K88" s="238"/>
      <c r="L88" s="238"/>
      <c r="M88" s="238"/>
      <c r="N88" s="238"/>
      <c r="O88" s="235" t="str">
        <f ca="1">IF(I88&gt;=99.9,"COMPLETED",IF('BOBOT PEK'!U85&gt;$J$7,"NOT STARTED",IF('BOBOT PEK'!V85&lt;$J$7,"CRITICAL",IF(I88+1&lt;H88,"DELAYED","ON SCHEDULE"))))</f>
        <v>DELAYED</v>
      </c>
      <c r="P88" s="238"/>
      <c r="Q88" t="str">
        <f>IFERROR(IF(AND($A88=$B$8,'BOBOT PEK'!U85&lt;=$B$8,$B$8&lt;='BOBOT PEK'!V85),COUNTIFS($A$17:$A88,$B$8),""),"")</f>
        <v/>
      </c>
    </row>
    <row r="89" spans="1:17" ht="23.25" customHeight="1" x14ac:dyDescent="0.2">
      <c r="A89" s="234">
        <f>IFERROR(IF(COUNTIF($C$17:C89,C89)&lt;=('BOBOT PEK'!V86-'BOBOT PEK'!U86+1),'BOBOT PEK'!U86+COUNTIF($C$17:C89,C89)-1,0),0)</f>
        <v>5</v>
      </c>
      <c r="B89" s="235" t="str">
        <f>IFERROR(TEXT(INDEX('KALENDER MINGGU'!$B$6:$B$21,$A89),"dd/mm")&amp;" - "&amp;TEXT(INDEX('KALENDER MINGGU'!$C$6:$C$21,$A89),"dd/mm"),"")</f>
        <v>20/08 - 26/08</v>
      </c>
      <c r="C89" s="234" t="s">
        <v>470</v>
      </c>
      <c r="D89" s="236" t="str">
        <f>'BOBOT PEK'!C86</f>
        <v>Pekerjaan refinishing dinding barat</v>
      </c>
      <c r="E89" s="237">
        <f>'BOBOT PEK'!J86</f>
        <v>0.75906975261423504</v>
      </c>
      <c r="F89" s="237">
        <f>100/('BOBOT PEK'!V86-'BOBOT PEK'!U86+1)</f>
        <v>10</v>
      </c>
      <c r="G89" s="237">
        <f t="shared" si="2"/>
        <v>7.5906975261423509E-2</v>
      </c>
      <c r="H89" s="237">
        <f>MIN(100,($A89-'BOBOT PEK'!U86+1)/('BOBOT PEK'!V86-'BOBOT PEK'!U86+1)*100)</f>
        <v>10</v>
      </c>
      <c r="I89" s="237">
        <f>IFERROR(SUM(INDEX(TS!$M:$AB,39,1):INDEX(TS!$M:$AB,39,$A89))/TS!$L$29*100,0)</f>
        <v>0</v>
      </c>
      <c r="J89" s="237">
        <f t="shared" si="3"/>
        <v>100</v>
      </c>
      <c r="K89" s="238"/>
      <c r="L89" s="238"/>
      <c r="M89" s="238"/>
      <c r="N89" s="238"/>
      <c r="O89" s="235" t="str">
        <f ca="1">IF(I89&gt;=99.9,"COMPLETED",IF('BOBOT PEK'!U86&gt;$J$7,"NOT STARTED",IF('BOBOT PEK'!V86&lt;$J$7,"CRITICAL",IF(I89+1&lt;H89,"DELAYED","ON SCHEDULE"))))</f>
        <v>DELAYED</v>
      </c>
      <c r="P89" s="238"/>
      <c r="Q89" t="str">
        <f>IFERROR(IF(AND($A89=$B$8,'BOBOT PEK'!U86&lt;=$B$8,$B$8&lt;='BOBOT PEK'!V86),COUNTIFS($A$17:$A89,$B$8),""),"")</f>
        <v/>
      </c>
    </row>
    <row r="90" spans="1:17" ht="23.25" customHeight="1" x14ac:dyDescent="0.2">
      <c r="A90" s="234">
        <f>IFERROR(IF(COUNTIF($C$17:C90,C90)&lt;=('BOBOT PEK'!V91-'BOBOT PEK'!U91+1),'BOBOT PEK'!U91+COUNTIF($C$17:C90,C90)-1,0),0)</f>
        <v>6</v>
      </c>
      <c r="B90" s="235" t="str">
        <f>IFERROR(TEXT(INDEX('KALENDER MINGGU'!$B$6:$B$21,$A90),"dd/mm")&amp;" - "&amp;TEXT(INDEX('KALENDER MINGGU'!$C$6:$C$21,$A90),"dd/mm"),"")</f>
        <v>27/08 - 02/09</v>
      </c>
      <c r="C90" s="234" t="s">
        <v>471</v>
      </c>
      <c r="D90" s="236" t="str">
        <f>'BOBOT PEK'!C91</f>
        <v>Ganti rangka atap toilet ( rangka lama sudah lapuk )</v>
      </c>
      <c r="E90" s="237">
        <f>'BOBOT PEK'!J91</f>
        <v>0.92235801335101819</v>
      </c>
      <c r="F90" s="237">
        <f>100/('BOBOT PEK'!V91-'BOBOT PEK'!U91+1)</f>
        <v>50</v>
      </c>
      <c r="G90" s="237">
        <f t="shared" si="2"/>
        <v>0.4611790066755091</v>
      </c>
      <c r="H90" s="237">
        <f>MIN(100,($A90-'BOBOT PEK'!U91+1)/('BOBOT PEK'!V91-'BOBOT PEK'!U91+1)*100)</f>
        <v>50</v>
      </c>
      <c r="I90" s="237">
        <f>IFERROR(SUM(INDEX(TS!$M:$AB,41,1):INDEX(TS!$M:$AB,41,$A90))/TS!$L$31*100,0)</f>
        <v>0</v>
      </c>
      <c r="J90" s="237">
        <f t="shared" si="3"/>
        <v>100</v>
      </c>
      <c r="K90" s="238"/>
      <c r="L90" s="238"/>
      <c r="M90" s="238"/>
      <c r="N90" s="238"/>
      <c r="O90" s="235" t="str">
        <f ca="1">IF(I90&gt;=99.9,"COMPLETED",IF('BOBOT PEK'!U91&gt;$J$7,"NOT STARTED",IF('BOBOT PEK'!V91&lt;$J$7,"CRITICAL",IF(I90+1&lt;H90,"DELAYED","ON SCHEDULE"))))</f>
        <v>CRITICAL</v>
      </c>
      <c r="P90" s="238"/>
      <c r="Q90">
        <f>IFERROR(IF(AND($A90=$B$8,'BOBOT PEK'!U91&lt;=$B$8,$B$8&lt;='BOBOT PEK'!V91),COUNTIFS($A$17:$A90,$B$8),""),"")</f>
        <v>3</v>
      </c>
    </row>
    <row r="91" spans="1:17" ht="23.25" customHeight="1" x14ac:dyDescent="0.2">
      <c r="A91" s="234">
        <f>IFERROR(IF(COUNTIF($C$17:C91,C91)&lt;=('BOBOT PEK'!V92-'BOBOT PEK'!U92+1),'BOBOT PEK'!U92+COUNTIF($C$17:C91,C91)-1,0),0)</f>
        <v>7</v>
      </c>
      <c r="B91" s="235" t="str">
        <f>IFERROR(TEXT(INDEX('KALENDER MINGGU'!$B$6:$B$21,$A91),"dd/mm")&amp;" - "&amp;TEXT(INDEX('KALENDER MINGGU'!$C$6:$C$21,$A91),"dd/mm"),"")</f>
        <v>03/09 - 09/09</v>
      </c>
      <c r="C91" s="234" t="s">
        <v>472</v>
      </c>
      <c r="D91" s="236" t="str">
        <f>'BOBOT PEK'!C92</f>
        <v>Perbaikan plafond + refinishing cat</v>
      </c>
      <c r="E91" s="237">
        <f>'BOBOT PEK'!J92</f>
        <v>0.49755269797241802</v>
      </c>
      <c r="F91" s="237">
        <f>100/('BOBOT PEK'!V92-'BOBOT PEK'!U92+1)</f>
        <v>50</v>
      </c>
      <c r="G91" s="237">
        <f t="shared" si="2"/>
        <v>0.24877634898620901</v>
      </c>
      <c r="H91" s="237">
        <f>MIN(100,($A91-'BOBOT PEK'!U92+1)/('BOBOT PEK'!V92-'BOBOT PEK'!U92+1)*100)</f>
        <v>50</v>
      </c>
      <c r="I91" s="237">
        <f>IFERROR(SUM(INDEX(TS!$M:$AB,41,1):INDEX(TS!$M:$AB,41,$A91))/TS!$L$31*100,0)</f>
        <v>5.3235163113183752</v>
      </c>
      <c r="J91" s="237">
        <f t="shared" si="3"/>
        <v>94.676483688681628</v>
      </c>
      <c r="K91" s="238"/>
      <c r="L91" s="238"/>
      <c r="M91" s="238"/>
      <c r="N91" s="238"/>
      <c r="O91" s="235" t="str">
        <f ca="1">IF(I91&gt;=99.9,"COMPLETED",IF('BOBOT PEK'!U92&gt;$J$7,"NOT STARTED",IF('BOBOT PEK'!V92&lt;$J$7,"CRITICAL",IF(I91+1&lt;H91,"DELAYED","ON SCHEDULE"))))</f>
        <v>CRITICAL</v>
      </c>
      <c r="P91" s="238"/>
      <c r="Q91" t="str">
        <f>IFERROR(IF(AND($A91=$B$8,'BOBOT PEK'!U92&lt;=$B$8,$B$8&lt;='BOBOT PEK'!V92),COUNTIFS($A$17:$A91,$B$8),""),"")</f>
        <v/>
      </c>
    </row>
    <row r="92" spans="1:17" ht="23.25" customHeight="1" x14ac:dyDescent="0.2">
      <c r="A92" s="234">
        <f>IFERROR(IF(COUNTIF($C$17:C92,C92)&lt;=('BOBOT PEK'!V93-'BOBOT PEK'!U93+1),'BOBOT PEK'!U93+COUNTIF($C$17:C92,C92)-1,0),0)</f>
        <v>9</v>
      </c>
      <c r="B92" s="235" t="str">
        <f>IFERROR(TEXT(INDEX('KALENDER MINGGU'!$B$6:$B$21,$A92),"dd/mm")&amp;" - "&amp;TEXT(INDEX('KALENDER MINGGU'!$C$6:$C$21,$A92),"dd/mm"),"")</f>
        <v>17/09 - 23/09</v>
      </c>
      <c r="C92" s="234" t="s">
        <v>473</v>
      </c>
      <c r="D92" s="236" t="str">
        <f>'BOBOT PEK'!C93</f>
        <v>Cat ulang exterior musholla</v>
      </c>
      <c r="E92" s="237">
        <f>'BOBOT PEK'!J93</f>
        <v>0.17417414478590201</v>
      </c>
      <c r="F92" s="237">
        <f>100/('BOBOT PEK'!V93-'BOBOT PEK'!U93+1)</f>
        <v>50</v>
      </c>
      <c r="G92" s="237">
        <f t="shared" si="2"/>
        <v>8.7087072392951007E-2</v>
      </c>
      <c r="H92" s="237">
        <f>MIN(100,($A92-'BOBOT PEK'!U93+1)/('BOBOT PEK'!V93-'BOBOT PEK'!U93+1)*100)</f>
        <v>100</v>
      </c>
      <c r="I92" s="237">
        <f>IFERROR(SUM(INDEX(TS!$M:$AB,41,1):INDEX(TS!$M:$AB,41,$A92))/TS!$L$31*100,0)</f>
        <v>15.970548933955127</v>
      </c>
      <c r="J92" s="237">
        <f t="shared" si="3"/>
        <v>84.029451066044871</v>
      </c>
      <c r="K92" s="238"/>
      <c r="L92" s="238"/>
      <c r="M92" s="238"/>
      <c r="N92" s="238"/>
      <c r="O92" s="235" t="str">
        <f ca="1">IF(I92&gt;=99.9,"COMPLETED",IF('BOBOT PEK'!U93&gt;$J$7,"NOT STARTED",IF('BOBOT PEK'!V93&lt;$J$7,"CRITICAL",IF(I92+1&lt;H92,"DELAYED","ON SCHEDULE"))))</f>
        <v>CRITICAL</v>
      </c>
      <c r="P92" s="238"/>
      <c r="Q92" t="str">
        <f>IFERROR(IF(AND($A92=$B$8,'BOBOT PEK'!U93&lt;=$B$8,$B$8&lt;='BOBOT PEK'!V93),COUNTIFS($A$17:$A92,$B$8),""),"")</f>
        <v/>
      </c>
    </row>
    <row r="93" spans="1:17" ht="57" customHeight="1" x14ac:dyDescent="0.2">
      <c r="A93" s="234">
        <f>IFERROR(IF(COUNTIF($C$17:C93,C93)&lt;=('BOBOT PEK'!V94-'BOBOT PEK'!U94+1),'BOBOT PEK'!U94+COUNTIF($C$17:C93,C93)-1,0),0)</f>
        <v>9</v>
      </c>
      <c r="B93" s="235" t="str">
        <f>IFERROR(TEXT(INDEX('KALENDER MINGGU'!$B$6:$B$21,$A93),"dd/mm")&amp;" - "&amp;TEXT(INDEX('KALENDER MINGGU'!$C$6:$C$21,$A93),"dd/mm"),"")</f>
        <v>17/09 - 23/09</v>
      </c>
      <c r="C93" s="234" t="s">
        <v>474</v>
      </c>
      <c r="D93" s="236" t="str">
        <f>'BOBOT PEK'!C94</f>
        <v>Penggantian pintu  musholla</v>
      </c>
      <c r="E93" s="237">
        <f>'BOBOT PEK'!J94</f>
        <v>9.9776610555966191E-2</v>
      </c>
      <c r="F93" s="237">
        <f>100/('BOBOT PEK'!V94-'BOBOT PEK'!U94+1)</f>
        <v>50</v>
      </c>
      <c r="G93" s="237">
        <f t="shared" si="2"/>
        <v>4.9888305277983096E-2</v>
      </c>
      <c r="H93" s="237">
        <f>MIN(100,($A93-'BOBOT PEK'!U94+1)/('BOBOT PEK'!V94-'BOBOT PEK'!U94+1)*100)</f>
        <v>100</v>
      </c>
      <c r="I93" s="237">
        <f>IFERROR(SUM(INDEX(TS!$M:$AB,41,1):INDEX(TS!$M:$AB,41,$A93))/TS!$L$31*100,0)</f>
        <v>15.970548933955127</v>
      </c>
      <c r="J93" s="237">
        <f t="shared" si="3"/>
        <v>84.029451066044871</v>
      </c>
      <c r="K93" s="238"/>
      <c r="L93" s="238"/>
      <c r="M93" s="238"/>
      <c r="N93" s="238"/>
      <c r="O93" s="235" t="str">
        <f ca="1">IF(I93&gt;=99.9,"COMPLETED",IF('BOBOT PEK'!U94&gt;$J$7,"NOT STARTED",IF('BOBOT PEK'!V94&lt;$J$7,"CRITICAL",IF(I93+1&lt;H93,"DELAYED","ON SCHEDULE"))))</f>
        <v>CRITICAL</v>
      </c>
      <c r="P93" s="238"/>
      <c r="Q93" t="str">
        <f>IFERROR(IF(AND($A93=$B$8,'BOBOT PEK'!U94&lt;=$B$8,$B$8&lt;='BOBOT PEK'!V94),COUNTIFS($A$17:$A93,$B$8),""),"")</f>
        <v/>
      </c>
    </row>
    <row r="94" spans="1:17" ht="25.5" customHeight="1" x14ac:dyDescent="0.2">
      <c r="A94" s="234">
        <f>IFERROR(IF(COUNTIF($C$17:C94,C94)&lt;=('BOBOT PEK'!V95-'BOBOT PEK'!U95+1),'BOBOT PEK'!U95+COUNTIF($C$17:C94,C94)-1,0),0)</f>
        <v>8</v>
      </c>
      <c r="B94" s="235" t="str">
        <f>IFERROR(TEXT(INDEX('KALENDER MINGGU'!$B$6:$B$21,$A94),"dd/mm")&amp;" - "&amp;TEXT(INDEX('KALENDER MINGGU'!$C$6:$C$21,$A94),"dd/mm"),"")</f>
        <v>10/09 - 16/09</v>
      </c>
      <c r="C94" s="234" t="s">
        <v>475</v>
      </c>
      <c r="D94" s="236" t="str">
        <f>'BOBOT PEK'!C95</f>
        <v>Penggantian keramik teras</v>
      </c>
      <c r="E94" s="237">
        <f>'BOBOT PEK'!J95</f>
        <v>6.1400991111363809E-2</v>
      </c>
      <c r="F94" s="237">
        <f>100/('BOBOT PEK'!V95-'BOBOT PEK'!U95+1)</f>
        <v>50</v>
      </c>
      <c r="G94" s="237">
        <f t="shared" si="2"/>
        <v>3.0700495555681905E-2</v>
      </c>
      <c r="H94" s="237">
        <f>MIN(100,($A94-'BOBOT PEK'!U95+1)/('BOBOT PEK'!V95-'BOBOT PEK'!U95+1)*100)</f>
        <v>100</v>
      </c>
      <c r="I94" s="237">
        <f>IFERROR(SUM(INDEX(TS!$M:$AB,41,1):INDEX(TS!$M:$AB,41,$A94))/TS!$L$31*100,0)</f>
        <v>10.64703262263675</v>
      </c>
      <c r="J94" s="237">
        <f t="shared" si="3"/>
        <v>89.352967377363257</v>
      </c>
      <c r="K94" s="238"/>
      <c r="L94" s="238"/>
      <c r="M94" s="238"/>
      <c r="N94" s="238"/>
      <c r="O94" s="235" t="str">
        <f ca="1">IF(I94&gt;=99.9,"COMPLETED",IF('BOBOT PEK'!U95&gt;$J$7,"NOT STARTED",IF('BOBOT PEK'!V95&lt;$J$7,"CRITICAL",IF(I94+1&lt;H94,"DELAYED","ON SCHEDULE"))))</f>
        <v>CRITICAL</v>
      </c>
      <c r="P94" s="238"/>
      <c r="Q94" t="str">
        <f>IFERROR(IF(AND($A94=$B$8,'BOBOT PEK'!U95&lt;=$B$8,$B$8&lt;='BOBOT PEK'!V95),COUNTIFS($A$17:$A94,$B$8),""),"")</f>
        <v/>
      </c>
    </row>
    <row r="95" spans="1:17" ht="12.75" customHeight="1" x14ac:dyDescent="0.2">
      <c r="A95" s="234">
        <f>IFERROR(IF(COUNTIF($C$17:C95,C95)&lt;=('BOBOT PEK'!V96-'BOBOT PEK'!U96+1),'BOBOT PEK'!U96+COUNTIF($C$17:C95,C95)-1,0),0)</f>
        <v>9</v>
      </c>
      <c r="B95" s="235" t="str">
        <f>IFERROR(TEXT(INDEX('KALENDER MINGGU'!$B$6:$B$21,$A95),"dd/mm")&amp;" - "&amp;TEXT(INDEX('KALENDER MINGGU'!$C$6:$C$21,$A95),"dd/mm"),"")</f>
        <v>17/09 - 23/09</v>
      </c>
      <c r="C95" s="234" t="s">
        <v>476</v>
      </c>
      <c r="D95" s="236" t="str">
        <f>'BOBOT PEK'!C96</f>
        <v>Pembuatan tempat wudhu</v>
      </c>
      <c r="E95" s="237">
        <f>'BOBOT PEK'!J96</f>
        <v>6.907611500028428E-2</v>
      </c>
      <c r="F95" s="237">
        <f>100/('BOBOT PEK'!V96-'BOBOT PEK'!U96+1)</f>
        <v>50</v>
      </c>
      <c r="G95" s="237">
        <f t="shared" si="2"/>
        <v>3.453805750014214E-2</v>
      </c>
      <c r="H95" s="237">
        <f>MIN(100,($A95-'BOBOT PEK'!U96+1)/('BOBOT PEK'!V96-'BOBOT PEK'!U96+1)*100)</f>
        <v>100</v>
      </c>
      <c r="I95" s="237">
        <f>IFERROR(SUM(INDEX(TS!$M:$AB,41,1):INDEX(TS!$M:$AB,41,$A95))/TS!$L$31*100,0)</f>
        <v>15.970548933955127</v>
      </c>
      <c r="J95" s="237">
        <f t="shared" si="3"/>
        <v>84.029451066044871</v>
      </c>
      <c r="K95" s="238"/>
      <c r="L95" s="238"/>
      <c r="M95" s="238"/>
      <c r="N95" s="238"/>
      <c r="O95" s="235" t="str">
        <f ca="1">IF(I95&gt;=99.9,"COMPLETED",IF('BOBOT PEK'!U96&gt;$J$7,"NOT STARTED",IF('BOBOT PEK'!V96&lt;$J$7,"CRITICAL",IF(I95+1&lt;H95,"DELAYED","ON SCHEDULE"))))</f>
        <v>CRITICAL</v>
      </c>
      <c r="P95" s="238"/>
      <c r="Q95" t="str">
        <f>IFERROR(IF(AND($A95=$B$8,'BOBOT PEK'!U96&lt;=$B$8,$B$8&lt;='BOBOT PEK'!V96),COUNTIFS($A$17:$A95,$B$8),""),"")</f>
        <v/>
      </c>
    </row>
    <row r="96" spans="1:17" ht="25.5" customHeight="1" x14ac:dyDescent="0.2">
      <c r="A96" s="234">
        <f>IFERROR(IF(COUNTIF($C$17:C96,C96)&lt;=('BOBOT PEK'!V97-'BOBOT PEK'!U97+1),'BOBOT PEK'!U97+COUNTIF($C$17:C96,C96)-1,0),0)</f>
        <v>9</v>
      </c>
      <c r="B96" s="235" t="str">
        <f>IFERROR(TEXT(INDEX('KALENDER MINGGU'!$B$6:$B$21,$A96),"dd/mm")&amp;" - "&amp;TEXT(INDEX('KALENDER MINGGU'!$C$6:$C$21,$A96),"dd/mm"),"")</f>
        <v>17/09 - 23/09</v>
      </c>
      <c r="C96" s="234" t="s">
        <v>477</v>
      </c>
      <c r="D96" s="236" t="str">
        <f>'BOBOT PEK'!C97</f>
        <v>Pembuatan instalasi wastafel</v>
      </c>
      <c r="E96" s="237">
        <f>'BOBOT PEK'!J97</f>
        <v>5.116749259280318E-3</v>
      </c>
      <c r="F96" s="237">
        <f>100/('BOBOT PEK'!V97-'BOBOT PEK'!U97+1)</f>
        <v>50</v>
      </c>
      <c r="G96" s="237">
        <f t="shared" si="2"/>
        <v>2.558374629640159E-3</v>
      </c>
      <c r="H96" s="237">
        <f>MIN(100,($A96-'BOBOT PEK'!U97+1)/('BOBOT PEK'!V97-'BOBOT PEK'!U97+1)*100)</f>
        <v>100</v>
      </c>
      <c r="I96" s="237">
        <f>IFERROR(SUM(INDEX(TS!$M:$AB,41,1):INDEX(TS!$M:$AB,41,$A96))/TS!$L$31*100,0)</f>
        <v>15.970548933955127</v>
      </c>
      <c r="J96" s="237">
        <f t="shared" si="3"/>
        <v>84.029451066044871</v>
      </c>
      <c r="K96" s="238"/>
      <c r="L96" s="238"/>
      <c r="M96" s="238"/>
      <c r="N96" s="238"/>
      <c r="O96" s="235" t="str">
        <f ca="1">IF(I96&gt;=99.9,"COMPLETED",IF('BOBOT PEK'!U97&gt;$J$7,"NOT STARTED",IF('BOBOT PEK'!V97&lt;$J$7,"CRITICAL",IF(I96+1&lt;H96,"DELAYED","ON SCHEDULE"))))</f>
        <v>CRITICAL</v>
      </c>
      <c r="P96" s="238"/>
      <c r="Q96" t="str">
        <f>IFERROR(IF(AND($A96=$B$8,'BOBOT PEK'!U97&lt;=$B$8,$B$8&lt;='BOBOT PEK'!V97),COUNTIFS($A$17:$A96,$B$8),""),"")</f>
        <v/>
      </c>
    </row>
    <row r="97" spans="1:17" ht="12.75" customHeight="1" x14ac:dyDescent="0.2">
      <c r="A97" s="234">
        <f>IFERROR(IF(COUNTIF($C$17:C97,C97)&lt;=('BOBOT PEK'!V98-'BOBOT PEK'!U98+1),'BOBOT PEK'!U98+COUNTIF($C$17:C97,C97)-1,0),0)</f>
        <v>8</v>
      </c>
      <c r="B97" s="235" t="str">
        <f>IFERROR(TEXT(INDEX('KALENDER MINGGU'!$B$6:$B$21,$A97),"dd/mm")&amp;" - "&amp;TEXT(INDEX('KALENDER MINGGU'!$C$6:$C$21,$A97),"dd/mm"),"")</f>
        <v>10/09 - 16/09</v>
      </c>
      <c r="C97" s="234" t="s">
        <v>478</v>
      </c>
      <c r="D97" s="236" t="str">
        <f>'BOBOT PEK'!C98</f>
        <v>Pekerjaan lantai bengkel</v>
      </c>
      <c r="E97" s="237">
        <f>'BOBOT PEK'!J98</f>
        <v>0</v>
      </c>
      <c r="F97" s="237">
        <f>100/('BOBOT PEK'!V98-'BOBOT PEK'!U98+1)</f>
        <v>33.333333333333336</v>
      </c>
      <c r="G97" s="237">
        <f t="shared" si="2"/>
        <v>0</v>
      </c>
      <c r="H97" s="237">
        <f>MIN(100,($A97-'BOBOT PEK'!U98+1)/('BOBOT PEK'!V98-'BOBOT PEK'!U98+1)*100)</f>
        <v>66.666666666666657</v>
      </c>
      <c r="I97" s="237">
        <f>IFERROR(SUM(INDEX(TS!$M:$AB,41,1):INDEX(TS!$M:$AB,41,$A97))/TS!$L$31*100,0)</f>
        <v>10.64703262263675</v>
      </c>
      <c r="J97" s="237">
        <f t="shared" si="3"/>
        <v>89.352967377363257</v>
      </c>
      <c r="K97" s="238"/>
      <c r="L97" s="238"/>
      <c r="M97" s="238"/>
      <c r="N97" s="238"/>
      <c r="O97" s="235" t="str">
        <f ca="1">IF(I97&gt;=99.9,"COMPLETED",IF('BOBOT PEK'!U98&gt;$J$7,"NOT STARTED",IF('BOBOT PEK'!V98&lt;$J$7,"CRITICAL",IF(I97+1&lt;H97,"DELAYED","ON SCHEDULE"))))</f>
        <v>CRITICAL</v>
      </c>
      <c r="P97" s="238"/>
      <c r="Q97" t="str">
        <f>IFERROR(IF(AND($A97=$B$8,'BOBOT PEK'!U98&lt;=$B$8,$B$8&lt;='BOBOT PEK'!V98),COUNTIFS($A$17:$A97,$B$8),""),"")</f>
        <v/>
      </c>
    </row>
    <row r="98" spans="1:17" ht="34.5" customHeight="1" x14ac:dyDescent="0.2">
      <c r="A98" s="234">
        <f>IFERROR(IF(COUNTIF($C$17:C98,C98)&lt;=('BOBOT PEK'!V99-'BOBOT PEK'!U99+1),'BOBOT PEK'!U99+COUNTIF($C$17:C98,C98)-1,0),0)</f>
        <v>8</v>
      </c>
      <c r="B98" s="235" t="str">
        <f>IFERROR(TEXT(INDEX('KALENDER MINGGU'!$B$6:$B$21,$A98),"dd/mm")&amp;" - "&amp;TEXT(INDEX('KALENDER MINGGU'!$C$6:$C$21,$A98),"dd/mm"),"")</f>
        <v>10/09 - 16/09</v>
      </c>
      <c r="C98" s="234" t="s">
        <v>479</v>
      </c>
      <c r="D98" s="236" t="str">
        <f>'BOBOT PEK'!C99</f>
        <v>Land clearing</v>
      </c>
      <c r="E98" s="237">
        <f>'BOBOT PEK'!J99</f>
        <v>0.36840594666818283</v>
      </c>
      <c r="F98" s="237">
        <f>100/('BOBOT PEK'!V99-'BOBOT PEK'!U99+1)</f>
        <v>33.333333333333336</v>
      </c>
      <c r="G98" s="237">
        <f t="shared" si="2"/>
        <v>0.12280198222272762</v>
      </c>
      <c r="H98" s="237">
        <f>MIN(100,($A98-'BOBOT PEK'!U99+1)/('BOBOT PEK'!V99-'BOBOT PEK'!U99+1)*100)</f>
        <v>66.666666666666657</v>
      </c>
      <c r="I98" s="237">
        <f>IFERROR(SUM(INDEX(TS!$M:$AB,41,1):INDEX(TS!$M:$AB,41,$A98))/TS!$L$31*100,0)</f>
        <v>10.64703262263675</v>
      </c>
      <c r="J98" s="237">
        <f t="shared" si="3"/>
        <v>89.352967377363257</v>
      </c>
      <c r="K98" s="238"/>
      <c r="L98" s="238"/>
      <c r="M98" s="238"/>
      <c r="N98" s="238"/>
      <c r="O98" s="235" t="str">
        <f ca="1">IF(I98&gt;=99.9,"COMPLETED",IF('BOBOT PEK'!U99&gt;$J$7,"NOT STARTED",IF('BOBOT PEK'!V99&lt;$J$7,"CRITICAL",IF(I98+1&lt;H98,"DELAYED","ON SCHEDULE"))))</f>
        <v>CRITICAL</v>
      </c>
      <c r="P98" s="238"/>
      <c r="Q98" t="str">
        <f>IFERROR(IF(AND($A98=$B$8,'BOBOT PEK'!U99&lt;=$B$8,$B$8&lt;='BOBOT PEK'!V99),COUNTIFS($A$17:$A98,$B$8),""),"")</f>
        <v/>
      </c>
    </row>
    <row r="99" spans="1:17" ht="57" customHeight="1" x14ac:dyDescent="0.2">
      <c r="A99" s="234">
        <f>IFERROR(IF(COUNTIF($C$17:C99,C99)&lt;=('BOBOT PEK'!V100-'BOBOT PEK'!U100+1),'BOBOT PEK'!U100+COUNTIF($C$17:C99,C99)-1,0),0)</f>
        <v>8</v>
      </c>
      <c r="B99" s="235" t="str">
        <f>IFERROR(TEXT(INDEX('KALENDER MINGGU'!$B$6:$B$21,$A99),"dd/mm")&amp;" - "&amp;TEXT(INDEX('KALENDER MINGGU'!$C$6:$C$21,$A99),"dd/mm"),"")</f>
        <v>10/09 - 16/09</v>
      </c>
      <c r="C99" s="234" t="s">
        <v>480</v>
      </c>
      <c r="D99" s="236" t="str">
        <f>'BOBOT PEK'!C100</f>
        <v>Perataan dan pemadatan tanah taman belakang</v>
      </c>
      <c r="E99" s="237">
        <f>'BOBOT PEK'!J100</f>
        <v>0.14736237866727314</v>
      </c>
      <c r="F99" s="237">
        <f>100/('BOBOT PEK'!V100-'BOBOT PEK'!U100+1)</f>
        <v>33.333333333333336</v>
      </c>
      <c r="G99" s="237">
        <f t="shared" si="2"/>
        <v>4.9120792889091054E-2</v>
      </c>
      <c r="H99" s="237">
        <f>MIN(100,($A99-'BOBOT PEK'!U100+1)/('BOBOT PEK'!V100-'BOBOT PEK'!U100+1)*100)</f>
        <v>66.666666666666657</v>
      </c>
      <c r="I99" s="237">
        <f>IFERROR(SUM(INDEX(TS!$M:$AB,41,1):INDEX(TS!$M:$AB,41,$A99))/TS!$L$31*100,0)</f>
        <v>10.64703262263675</v>
      </c>
      <c r="J99" s="237">
        <f t="shared" si="3"/>
        <v>89.352967377363257</v>
      </c>
      <c r="K99" s="238"/>
      <c r="L99" s="238"/>
      <c r="M99" s="238"/>
      <c r="N99" s="238"/>
      <c r="O99" s="235" t="str">
        <f ca="1">IF(I99&gt;=99.9,"COMPLETED",IF('BOBOT PEK'!U100&gt;$J$7,"NOT STARTED",IF('BOBOT PEK'!V100&lt;$J$7,"CRITICAL",IF(I99+1&lt;H99,"DELAYED","ON SCHEDULE"))))</f>
        <v>CRITICAL</v>
      </c>
      <c r="P99" s="238"/>
      <c r="Q99" t="str">
        <f>IFERROR(IF(AND($A99=$B$8,'BOBOT PEK'!U100&lt;=$B$8,$B$8&lt;='BOBOT PEK'!V100),COUNTIFS($A$17:$A99,$B$8),""),"")</f>
        <v/>
      </c>
    </row>
    <row r="100" spans="1:17" ht="12.75" customHeight="1" x14ac:dyDescent="0.2">
      <c r="A100" s="234">
        <f>IFERROR(IF(COUNTIF($C$17:C100,C100)&lt;=('BOBOT PEK'!V101-'BOBOT PEK'!U101+1),'BOBOT PEK'!U101+COUNTIF($C$17:C100,C100)-1,0),0)</f>
        <v>7</v>
      </c>
      <c r="B100" s="235" t="str">
        <f>IFERROR(TEXT(INDEX('KALENDER MINGGU'!$B$6:$B$21,$A100),"dd/mm")&amp;" - "&amp;TEXT(INDEX('KALENDER MINGGU'!$C$6:$C$21,$A100),"dd/mm"),"")</f>
        <v>03/09 - 09/09</v>
      </c>
      <c r="C100" s="234" t="s">
        <v>481</v>
      </c>
      <c r="D100" s="236" t="str">
        <f>'BOBOT PEK'!C101</f>
        <v xml:space="preserve">Finishing paving </v>
      </c>
      <c r="E100" s="237">
        <f>'BOBOT PEK'!J101</f>
        <v>2.7016436089000075</v>
      </c>
      <c r="F100" s="237">
        <f>100/('BOBOT PEK'!V101-'BOBOT PEK'!U101+1)</f>
        <v>25</v>
      </c>
      <c r="G100" s="237">
        <f t="shared" si="2"/>
        <v>0.67541090222500189</v>
      </c>
      <c r="H100" s="237">
        <f>MIN(100,($A100-'BOBOT PEK'!U101+1)/('BOBOT PEK'!V101-'BOBOT PEK'!U101+1)*100)</f>
        <v>50</v>
      </c>
      <c r="I100" s="237">
        <f>IFERROR(SUM(INDEX(TS!$M:$AB,41,1):INDEX(TS!$M:$AB,41,$A100))/TS!$L$31*100,0)</f>
        <v>5.3235163113183752</v>
      </c>
      <c r="J100" s="237">
        <f t="shared" si="3"/>
        <v>94.676483688681628</v>
      </c>
      <c r="K100" s="238"/>
      <c r="L100" s="238"/>
      <c r="M100" s="238"/>
      <c r="N100" s="238"/>
      <c r="O100" s="235" t="str">
        <f ca="1">IF(I100&gt;=99.9,"COMPLETED",IF('BOBOT PEK'!U101&gt;$J$7,"NOT STARTED",IF('BOBOT PEK'!V101&lt;$J$7,"CRITICAL",IF(I100+1&lt;H100,"DELAYED","ON SCHEDULE"))))</f>
        <v>CRITICAL</v>
      </c>
      <c r="P100" s="238"/>
      <c r="Q100" t="str">
        <f>IFERROR(IF(AND($A100=$B$8,'BOBOT PEK'!U101&lt;=$B$8,$B$8&lt;='BOBOT PEK'!V101),COUNTIFS($A$17:$A100,$B$8),""),"")</f>
        <v/>
      </c>
    </row>
    <row r="101" spans="1:17" ht="25.5" customHeight="1" x14ac:dyDescent="0.2">
      <c r="A101" s="234">
        <f>IFERROR(IF(COUNTIF($C$17:C101,C101)&lt;=('BOBOT PEK'!V102-'BOBOT PEK'!U102+1),'BOBOT PEK'!U102+COUNTIF($C$17:C101,C101)-1,0),0)</f>
        <v>8</v>
      </c>
      <c r="B101" s="235" t="str">
        <f>IFERROR(TEXT(INDEX('KALENDER MINGGU'!$B$6:$B$21,$A101),"dd/mm")&amp;" - "&amp;TEXT(INDEX('KALENDER MINGGU'!$C$6:$C$21,$A101),"dd/mm"),"")</f>
        <v>10/09 - 16/09</v>
      </c>
      <c r="C101" s="234" t="s">
        <v>482</v>
      </c>
      <c r="D101" s="236" t="str">
        <f>'BOBOT PEK'!C102</f>
        <v>Terminasi cor keliling</v>
      </c>
      <c r="E101" s="237">
        <f>'BOBOT PEK'!J102</f>
        <v>0.33770545111250094</v>
      </c>
      <c r="F101" s="237">
        <f>100/('BOBOT PEK'!V102-'BOBOT PEK'!U102+1)</f>
        <v>33.333333333333336</v>
      </c>
      <c r="G101" s="237">
        <f t="shared" si="2"/>
        <v>0.112568483704167</v>
      </c>
      <c r="H101" s="237">
        <f>MIN(100,($A101-'BOBOT PEK'!U102+1)/('BOBOT PEK'!V102-'BOBOT PEK'!U102+1)*100)</f>
        <v>66.666666666666657</v>
      </c>
      <c r="I101" s="237">
        <f>IFERROR(SUM(INDEX(TS!$M:$AB,41,1):INDEX(TS!$M:$AB,41,$A101))/TS!$L$31*100,0)</f>
        <v>10.64703262263675</v>
      </c>
      <c r="J101" s="237">
        <f t="shared" si="3"/>
        <v>89.352967377363257</v>
      </c>
      <c r="K101" s="238"/>
      <c r="L101" s="238"/>
      <c r="M101" s="238"/>
      <c r="N101" s="238"/>
      <c r="O101" s="235" t="str">
        <f ca="1">IF(I101&gt;=99.9,"COMPLETED",IF('BOBOT PEK'!U102&gt;$J$7,"NOT STARTED",IF('BOBOT PEK'!V102&lt;$J$7,"CRITICAL",IF(I101+1&lt;H101,"DELAYED","ON SCHEDULE"))))</f>
        <v>CRITICAL</v>
      </c>
      <c r="P101" s="238"/>
      <c r="Q101" t="str">
        <f>IFERROR(IF(AND($A101=$B$8,'BOBOT PEK'!U102&lt;=$B$8,$B$8&lt;='BOBOT PEK'!V102),COUNTIFS($A$17:$A101,$B$8),""),"")</f>
        <v/>
      </c>
    </row>
    <row r="102" spans="1:17" ht="23.25" customHeight="1" x14ac:dyDescent="0.2">
      <c r="A102" s="234">
        <f>IFERROR(IF(COUNTIF($C$17:C102,C102)&lt;=('BOBOT PEK'!V103-'BOBOT PEK'!U103+1),'BOBOT PEK'!U103+COUNTIF($C$17:C102,C102)-1,0),0)</f>
        <v>5</v>
      </c>
      <c r="B102" s="235" t="str">
        <f>IFERROR(TEXT(INDEX('KALENDER MINGGU'!$B$6:$B$21,$A102),"dd/mm")&amp;" - "&amp;TEXT(INDEX('KALENDER MINGGU'!$C$6:$C$21,$A102),"dd/mm"),"")</f>
        <v>20/08 - 26/08</v>
      </c>
      <c r="C102" s="234" t="s">
        <v>483</v>
      </c>
      <c r="D102" s="236" t="str">
        <f>'BOBOT PEK'!C103</f>
        <v>Pondasi Struktur bengkel</v>
      </c>
      <c r="E102" s="237">
        <f>'BOBOT PEK'!J103</f>
        <v>0.19955322111193238</v>
      </c>
      <c r="F102" s="237">
        <f>100/('BOBOT PEK'!V103-'BOBOT PEK'!U103+1)</f>
        <v>14.285714285714286</v>
      </c>
      <c r="G102" s="237">
        <f t="shared" si="2"/>
        <v>2.8507603015990344E-2</v>
      </c>
      <c r="H102" s="237">
        <f>MIN(100,($A102-'BOBOT PEK'!U103+1)/('BOBOT PEK'!V103-'BOBOT PEK'!U103+1)*100)</f>
        <v>28.571428571428569</v>
      </c>
      <c r="I102" s="237">
        <f>IFERROR(SUM(INDEX(TS!$M:$AB,41,1):INDEX(TS!$M:$AB,41,$A102))/TS!$L$31*100,0)</f>
        <v>0</v>
      </c>
      <c r="J102" s="237">
        <f t="shared" si="3"/>
        <v>100</v>
      </c>
      <c r="K102" s="238"/>
      <c r="L102" s="238"/>
      <c r="M102" s="238"/>
      <c r="N102" s="238"/>
      <c r="O102" s="235" t="str">
        <f ca="1">IF(I102&gt;=99.9,"COMPLETED",IF('BOBOT PEK'!U103&gt;$J$7,"NOT STARTED",IF('BOBOT PEK'!V103&lt;$J$7,"CRITICAL",IF(I102+1&lt;H102,"DELAYED","ON SCHEDULE"))))</f>
        <v>DELAYED</v>
      </c>
      <c r="P102" s="238"/>
      <c r="Q102" t="str">
        <f>IFERROR(IF(AND($A102=$B$8,'BOBOT PEK'!U103&lt;=$B$8,$B$8&lt;='BOBOT PEK'!V103),COUNTIFS($A$17:$A102,$B$8),""),"")</f>
        <v/>
      </c>
    </row>
    <row r="103" spans="1:17" ht="25.5" customHeight="1" x14ac:dyDescent="0.2">
      <c r="A103" s="234">
        <f>IFERROR(IF(COUNTIF($C$17:C103,C103)&lt;=('BOBOT PEK'!V104-'BOBOT PEK'!U104+1),'BOBOT PEK'!U104+COUNTIF($C$17:C103,C103)-1,0),0)</f>
        <v>5</v>
      </c>
      <c r="B103" s="235" t="str">
        <f>IFERROR(TEXT(INDEX('KALENDER MINGGU'!$B$6:$B$21,$A103),"dd/mm")&amp;" - "&amp;TEXT(INDEX('KALENDER MINGGU'!$C$6:$C$21,$A103),"dd/mm"),"")</f>
        <v>20/08 - 26/08</v>
      </c>
      <c r="C103" s="234" t="s">
        <v>484</v>
      </c>
      <c r="D103" s="236" t="str">
        <f>'BOBOT PEK'!C104</f>
        <v>Atap bengkel dan cucian mobil</v>
      </c>
      <c r="E103" s="237">
        <f>'BOBOT PEK'!J104</f>
        <v>1.4215864467058505</v>
      </c>
      <c r="F103" s="237">
        <f>100/('BOBOT PEK'!V104-'BOBOT PEK'!U104+1)</f>
        <v>14.285714285714286</v>
      </c>
      <c r="G103" s="237">
        <f t="shared" si="2"/>
        <v>0.20308377810083583</v>
      </c>
      <c r="H103" s="237">
        <f>MIN(100,($A103-'BOBOT PEK'!U104+1)/('BOBOT PEK'!V104-'BOBOT PEK'!U104+1)*100)</f>
        <v>28.571428571428569</v>
      </c>
      <c r="I103" s="237">
        <f>IFERROR(SUM(INDEX(TS!$M:$AB,41,1):INDEX(TS!$M:$AB,41,$A103))/TS!$L$31*100,0)</f>
        <v>0</v>
      </c>
      <c r="J103" s="237">
        <f t="shared" si="3"/>
        <v>100</v>
      </c>
      <c r="K103" s="238"/>
      <c r="L103" s="238"/>
      <c r="M103" s="238"/>
      <c r="N103" s="238"/>
      <c r="O103" s="235" t="str">
        <f ca="1">IF(I103&gt;=99.9,"COMPLETED",IF('BOBOT PEK'!U104&gt;$J$7,"NOT STARTED",IF('BOBOT PEK'!V104&lt;$J$7,"CRITICAL",IF(I103+1&lt;H103,"DELAYED","ON SCHEDULE"))))</f>
        <v>DELAYED</v>
      </c>
      <c r="P103" s="238"/>
      <c r="Q103" t="str">
        <f>IFERROR(IF(AND($A103=$B$8,'BOBOT PEK'!U104&lt;=$B$8,$B$8&lt;='BOBOT PEK'!V104),COUNTIFS($A$17:$A103,$B$8),""),"")</f>
        <v/>
      </c>
    </row>
    <row r="104" spans="1:17" ht="12.75" customHeight="1" x14ac:dyDescent="0.2">
      <c r="A104" s="234">
        <f>IFERROR(IF(COUNTIF($C$17:C104,C104)&lt;=('BOBOT PEK'!V105-'BOBOT PEK'!U105+1),'BOBOT PEK'!U105+COUNTIF($C$17:C104,C104)-1,0),0)</f>
        <v>5</v>
      </c>
      <c r="B104" s="235" t="str">
        <f>IFERROR(TEXT(INDEX('KALENDER MINGGU'!$B$6:$B$21,$A104),"dd/mm")&amp;" - "&amp;TEXT(INDEX('KALENDER MINGGU'!$C$6:$C$21,$A104),"dd/mm"),"")</f>
        <v>20/08 - 26/08</v>
      </c>
      <c r="C104" s="234" t="s">
        <v>485</v>
      </c>
      <c r="D104" s="236" t="str">
        <f>'BOBOT PEK'!C105</f>
        <v>Instalasi air bersih ke arah bengkel</v>
      </c>
      <c r="E104" s="237">
        <f>'BOBOT PEK'!J105</f>
        <v>0.14531567896356101</v>
      </c>
      <c r="F104" s="237">
        <f>100/('BOBOT PEK'!V105-'BOBOT PEK'!U105+1)</f>
        <v>14.285714285714286</v>
      </c>
      <c r="G104" s="237">
        <f t="shared" si="2"/>
        <v>2.0759382709080149E-2</v>
      </c>
      <c r="H104" s="237">
        <f>MIN(100,($A104-'BOBOT PEK'!U105+1)/('BOBOT PEK'!V105-'BOBOT PEK'!U105+1)*100)</f>
        <v>28.571428571428569</v>
      </c>
      <c r="I104" s="237">
        <f>IFERROR(SUM(INDEX(TS!$M:$AB,41,1):INDEX(TS!$M:$AB,41,$A104))/TS!$L$31*100,0)</f>
        <v>0</v>
      </c>
      <c r="J104" s="237">
        <f t="shared" si="3"/>
        <v>100</v>
      </c>
      <c r="K104" s="238"/>
      <c r="L104" s="238"/>
      <c r="M104" s="238"/>
      <c r="N104" s="238"/>
      <c r="O104" s="235" t="str">
        <f ca="1">IF(I104&gt;=99.9,"COMPLETED",IF('BOBOT PEK'!U105&gt;$J$7,"NOT STARTED",IF('BOBOT PEK'!V105&lt;$J$7,"CRITICAL",IF(I104+1&lt;H104,"DELAYED","ON SCHEDULE"))))</f>
        <v>DELAYED</v>
      </c>
      <c r="P104" s="238"/>
      <c r="Q104" t="str">
        <f>IFERROR(IF(AND($A104=$B$8,'BOBOT PEK'!U105&lt;=$B$8,$B$8&lt;='BOBOT PEK'!V105),COUNTIFS($A$17:$A104,$B$8),""),"")</f>
        <v/>
      </c>
    </row>
    <row r="105" spans="1:17" ht="23.25" customHeight="1" x14ac:dyDescent="0.2">
      <c r="A105" s="234">
        <f>IFERROR(IF(COUNTIF($C$17:C105,C105)&lt;=('BOBOT PEK'!V110-'BOBOT PEK'!U110+1),'BOBOT PEK'!U110+COUNTIF($C$17:C105,C105)-1,0),0)</f>
        <v>5</v>
      </c>
      <c r="B105" s="235" t="str">
        <f>IFERROR(TEXT(INDEX('KALENDER MINGGU'!$B$6:$B$21,$A105),"dd/mm")&amp;" - "&amp;TEXT(INDEX('KALENDER MINGGU'!$C$6:$C$21,$A105),"dd/mm"),"")</f>
        <v>20/08 - 26/08</v>
      </c>
      <c r="C105" s="234" t="s">
        <v>486</v>
      </c>
      <c r="D105" s="236" t="str">
        <f>'BOBOT PEK'!C110</f>
        <v>Pemadatan dan peninggian lantai ex. Taman samping</v>
      </c>
      <c r="E105" s="237">
        <f>'BOBOT PEK'!J110</f>
        <v>0.51167492592803177</v>
      </c>
      <c r="F105" s="237">
        <f>100/('BOBOT PEK'!V110-'BOBOT PEK'!U110+1)</f>
        <v>16.666666666666668</v>
      </c>
      <c r="G105" s="237">
        <f t="shared" si="2"/>
        <v>8.5279154321338632E-2</v>
      </c>
      <c r="H105" s="237">
        <f>MIN(100,($A105-'BOBOT PEK'!U110+1)/('BOBOT PEK'!V110-'BOBOT PEK'!U110+1)*100)</f>
        <v>33.333333333333329</v>
      </c>
      <c r="I105" s="237">
        <f>IFERROR(SUM(INDEX(TS!$M:$AB,43,1):INDEX(TS!$M:$AB,43,$A105))/TS!$L$33*100,0)</f>
        <v>0</v>
      </c>
      <c r="J105" s="237">
        <f t="shared" si="3"/>
        <v>100</v>
      </c>
      <c r="K105" s="238"/>
      <c r="L105" s="238"/>
      <c r="M105" s="238"/>
      <c r="N105" s="238"/>
      <c r="O105" s="235" t="str">
        <f ca="1">IF(I105&gt;=99.9,"COMPLETED",IF('BOBOT PEK'!U110&gt;$J$7,"NOT STARTED",IF('BOBOT PEK'!V110&lt;$J$7,"CRITICAL",IF(I105+1&lt;H105,"DELAYED","ON SCHEDULE"))))</f>
        <v>CRITICAL</v>
      </c>
      <c r="P105" s="238"/>
      <c r="Q105" t="str">
        <f>IFERROR(IF(AND($A105=$B$8,'BOBOT PEK'!U110&lt;=$B$8,$B$8&lt;='BOBOT PEK'!V110),COUNTIFS($A$17:$A105,$B$8),""),"")</f>
        <v/>
      </c>
    </row>
    <row r="106" spans="1:17" ht="57" customHeight="1" x14ac:dyDescent="0.2">
      <c r="A106" s="234">
        <f>IFERROR(IF(COUNTIF($C$17:C106,C106)&lt;=('BOBOT PEK'!V111-'BOBOT PEK'!U111+1),'BOBOT PEK'!U111+COUNTIF($C$17:C106,C106)-1,0),0)</f>
        <v>9</v>
      </c>
      <c r="B106" s="235" t="str">
        <f>IFERROR(TEXT(INDEX('KALENDER MINGGU'!$B$6:$B$21,$A106),"dd/mm")&amp;" - "&amp;TEXT(INDEX('KALENDER MINGGU'!$C$6:$C$21,$A106),"dd/mm"),"")</f>
        <v>17/09 - 23/09</v>
      </c>
      <c r="C106" s="234" t="s">
        <v>487</v>
      </c>
      <c r="D106" s="236" t="str">
        <f>'BOBOT PEK'!C111</f>
        <v>Pembuatan garis kuning lebar 10cm</v>
      </c>
      <c r="E106" s="237">
        <f>'BOBOT PEK'!J111</f>
        <v>0.15222329046358946</v>
      </c>
      <c r="F106" s="237">
        <f>100/('BOBOT PEK'!V111-'BOBOT PEK'!U111+1)</f>
        <v>50</v>
      </c>
      <c r="G106" s="237">
        <f t="shared" si="2"/>
        <v>7.6111645231794728E-2</v>
      </c>
      <c r="H106" s="237">
        <f>MIN(100,($A106-'BOBOT PEK'!U111+1)/('BOBOT PEK'!V111-'BOBOT PEK'!U111+1)*100)</f>
        <v>100</v>
      </c>
      <c r="I106" s="237">
        <f>IFERROR(SUM(INDEX(TS!$M:$AB,43,1):INDEX(TS!$M:$AB,43,$A106))/TS!$L$33*100,0)</f>
        <v>0</v>
      </c>
      <c r="J106" s="237">
        <f t="shared" si="3"/>
        <v>100</v>
      </c>
      <c r="K106" s="238"/>
      <c r="L106" s="238"/>
      <c r="M106" s="238"/>
      <c r="N106" s="238"/>
      <c r="O106" s="235" t="str">
        <f ca="1">IF(I106&gt;=99.9,"COMPLETED",IF('BOBOT PEK'!U111&gt;$J$7,"NOT STARTED",IF('BOBOT PEK'!V111&lt;$J$7,"CRITICAL",IF(I106+1&lt;H106,"DELAYED","ON SCHEDULE"))))</f>
        <v>CRITICAL</v>
      </c>
      <c r="P106" s="238"/>
      <c r="Q106" t="str">
        <f>IFERROR(IF(AND($A106=$B$8,'BOBOT PEK'!U111&lt;=$B$8,$B$8&lt;='BOBOT PEK'!V111),COUNTIFS($A$17:$A106,$B$8),""),"")</f>
        <v/>
      </c>
    </row>
    <row r="107" spans="1:17" ht="12.75" customHeight="1" x14ac:dyDescent="0.2">
      <c r="A107" s="234">
        <f>IFERROR(IF(COUNTIF($C$17:C107,C107)&lt;=('BOBOT PEK'!V112-'BOBOT PEK'!U112+1),'BOBOT PEK'!U112+COUNTIF($C$17:C107,C107)-1,0),0)</f>
        <v>5</v>
      </c>
      <c r="B107" s="235" t="str">
        <f>IFERROR(TEXT(INDEX('KALENDER MINGGU'!$B$6:$B$21,$A107),"dd/mm")&amp;" - "&amp;TEXT(INDEX('KALENDER MINGGU'!$C$6:$C$21,$A107),"dd/mm"),"")</f>
        <v>20/08 - 26/08</v>
      </c>
      <c r="C107" s="234" t="s">
        <v>488</v>
      </c>
      <c r="D107" s="236" t="str">
        <f>'BOBOT PEK'!C112</f>
        <v>Pekerjaan got samping</v>
      </c>
      <c r="E107" s="237">
        <f>'BOBOT PEK'!J112</f>
        <v>0</v>
      </c>
      <c r="F107" s="237">
        <f>100/('BOBOT PEK'!V112-'BOBOT PEK'!U112+1)</f>
        <v>16.666666666666668</v>
      </c>
      <c r="G107" s="237">
        <f t="shared" si="2"/>
        <v>0</v>
      </c>
      <c r="H107" s="237">
        <f>MIN(100,($A107-'BOBOT PEK'!U112+1)/('BOBOT PEK'!V112-'BOBOT PEK'!U112+1)*100)</f>
        <v>33.333333333333329</v>
      </c>
      <c r="I107" s="237">
        <f>IFERROR(SUM(INDEX(TS!$M:$AB,43,1):INDEX(TS!$M:$AB,43,$A107))/TS!$L$33*100,0)</f>
        <v>0</v>
      </c>
      <c r="J107" s="237">
        <f t="shared" si="3"/>
        <v>100</v>
      </c>
      <c r="K107" s="238"/>
      <c r="L107" s="238"/>
      <c r="M107" s="238"/>
      <c r="N107" s="238"/>
      <c r="O107" s="235" t="str">
        <f ca="1">IF(I107&gt;=99.9,"COMPLETED",IF('BOBOT PEK'!U112&gt;$J$7,"NOT STARTED",IF('BOBOT PEK'!V112&lt;$J$7,"CRITICAL",IF(I107+1&lt;H107,"DELAYED","ON SCHEDULE"))))</f>
        <v>CRITICAL</v>
      </c>
      <c r="P107" s="238"/>
      <c r="Q107" t="str">
        <f>IFERROR(IF(AND($A107=$B$8,'BOBOT PEK'!U112&lt;=$B$8,$B$8&lt;='BOBOT PEK'!V112),COUNTIFS($A$17:$A107,$B$8),""),"")</f>
        <v/>
      </c>
    </row>
    <row r="108" spans="1:17" ht="23.25" customHeight="1" x14ac:dyDescent="0.2">
      <c r="A108" s="234">
        <f>IFERROR(IF(COUNTIF($C$17:C108,C108)&lt;=('BOBOT PEK'!V113-'BOBOT PEK'!U113+1),'BOBOT PEK'!U113+COUNTIF($C$17:C108,C108)-1,0),0)</f>
        <v>5</v>
      </c>
      <c r="B108" s="235" t="str">
        <f>IFERROR(TEXT(INDEX('KALENDER MINGGU'!$B$6:$B$21,$A108),"dd/mm")&amp;" - "&amp;TEXT(INDEX('KALENDER MINGGU'!$C$6:$C$21,$A108),"dd/mm"),"")</f>
        <v>20/08 - 26/08</v>
      </c>
      <c r="C108" s="234" t="s">
        <v>489</v>
      </c>
      <c r="D108" s="236" t="str">
        <f>'BOBOT PEK'!C113</f>
        <v>Refinishing saluran</v>
      </c>
      <c r="E108" s="237">
        <f>'BOBOT PEK'!J113</f>
        <v>0.85193875167017286</v>
      </c>
      <c r="F108" s="237">
        <f>100/('BOBOT PEK'!V113-'BOBOT PEK'!U113+1)</f>
        <v>14.285714285714286</v>
      </c>
      <c r="G108" s="237">
        <f t="shared" si="2"/>
        <v>0.12170553595288186</v>
      </c>
      <c r="H108" s="237">
        <f>MIN(100,($A108-'BOBOT PEK'!U113+1)/('BOBOT PEK'!V113-'BOBOT PEK'!U113+1)*100)</f>
        <v>28.571428571428569</v>
      </c>
      <c r="I108" s="237">
        <f>IFERROR(SUM(INDEX(TS!$M:$AB,43,1):INDEX(TS!$M:$AB,43,$A108))/TS!$L$33*100,0)</f>
        <v>0</v>
      </c>
      <c r="J108" s="237">
        <f t="shared" si="3"/>
        <v>100</v>
      </c>
      <c r="K108" s="238"/>
      <c r="L108" s="238"/>
      <c r="M108" s="238"/>
      <c r="N108" s="238"/>
      <c r="O108" s="235" t="str">
        <f ca="1">IF(I108&gt;=99.9,"COMPLETED",IF('BOBOT PEK'!U113&gt;$J$7,"NOT STARTED",IF('BOBOT PEK'!V113&lt;$J$7,"CRITICAL",IF(I108+1&lt;H108,"DELAYED","ON SCHEDULE"))))</f>
        <v>DELAYED</v>
      </c>
      <c r="P108" s="238"/>
      <c r="Q108" t="str">
        <f>IFERROR(IF(AND($A108=$B$8,'BOBOT PEK'!U113&lt;=$B$8,$B$8&lt;='BOBOT PEK'!V113),COUNTIFS($A$17:$A108,$B$8),""),"")</f>
        <v/>
      </c>
    </row>
    <row r="109" spans="1:17" ht="23.25" customHeight="1" x14ac:dyDescent="0.2">
      <c r="A109" s="234">
        <f>IFERROR(IF(COUNTIF($C$17:C109,C109)&lt;=('BOBOT PEK'!V114-'BOBOT PEK'!U114+1),'BOBOT PEK'!U114+COUNTIF($C$17:C109,C109)-1,0),0)</f>
        <v>5</v>
      </c>
      <c r="B109" s="235" t="str">
        <f>IFERROR(TEXT(INDEX('KALENDER MINGGU'!$B$6:$B$21,$A109),"dd/mm")&amp;" - "&amp;TEXT(INDEX('KALENDER MINGGU'!$C$6:$C$21,$A109),"dd/mm"),"")</f>
        <v>20/08 - 26/08</v>
      </c>
      <c r="C109" s="234" t="s">
        <v>490</v>
      </c>
      <c r="D109" s="236" t="str">
        <f>'BOBOT PEK'!C114</f>
        <v>Pembuatan dinding batu kali</v>
      </c>
      <c r="E109" s="237">
        <f>'BOBOT PEK'!J114</f>
        <v>0.61400991111363812</v>
      </c>
      <c r="F109" s="237">
        <f>100/('BOBOT PEK'!V114-'BOBOT PEK'!U114+1)</f>
        <v>14.285714285714286</v>
      </c>
      <c r="G109" s="237">
        <f t="shared" si="2"/>
        <v>8.7715701587662606E-2</v>
      </c>
      <c r="H109" s="237">
        <f>MIN(100,($A109-'BOBOT PEK'!U114+1)/('BOBOT PEK'!V114-'BOBOT PEK'!U114+1)*100)</f>
        <v>28.571428571428569</v>
      </c>
      <c r="I109" s="237">
        <f>IFERROR(SUM(INDEX(TS!$M:$AB,43,1):INDEX(TS!$M:$AB,43,$A109))/TS!$L$33*100,0)</f>
        <v>0</v>
      </c>
      <c r="J109" s="237">
        <f t="shared" si="3"/>
        <v>100</v>
      </c>
      <c r="K109" s="238"/>
      <c r="L109" s="238"/>
      <c r="M109" s="238"/>
      <c r="N109" s="238"/>
      <c r="O109" s="235" t="str">
        <f ca="1">IF(I109&gt;=99.9,"COMPLETED",IF('BOBOT PEK'!U114&gt;$J$7,"NOT STARTED",IF('BOBOT PEK'!V114&lt;$J$7,"CRITICAL",IF(I109+1&lt;H109,"DELAYED","ON SCHEDULE"))))</f>
        <v>DELAYED</v>
      </c>
      <c r="P109" s="238"/>
      <c r="Q109" t="str">
        <f>IFERROR(IF(AND($A109=$B$8,'BOBOT PEK'!U114&lt;=$B$8,$B$8&lt;='BOBOT PEK'!V114),COUNTIFS($A$17:$A109,$B$8),""),"")</f>
        <v/>
      </c>
    </row>
    <row r="110" spans="1:17" ht="12.75" customHeight="1" x14ac:dyDescent="0.2">
      <c r="A110">
        <f>IFERROR(IF(COUNTIF($C$17:C110,C110)&lt;=('BOBOT PEK'!V218-'BOBOT PEK'!U218+1),'BOBOT PEK'!U218+COUNTIF($C$17:C110,C110)-1,0),0)</f>
        <v>5</v>
      </c>
      <c r="B110" t="str">
        <f>IFERROR(TEXT(INDEX('KALENDER MINGGU'!$B$6:$B$21,$A110),"dd/mm")&amp;" - "&amp;TEXT(INDEX('KALENDER MINGGU'!$C$6:$C$21,$A110),"dd/mm"),"")</f>
        <v>20/08 - 26/08</v>
      </c>
      <c r="C110" t="s">
        <v>535</v>
      </c>
      <c r="D110" t="str">
        <f>'BOBOT PEK'!C218</f>
        <v>Galian tanah dan langsir</v>
      </c>
      <c r="E110" s="241">
        <f>'BOBOT PEK'!J218</f>
        <v>1.2970959372275603E-2</v>
      </c>
      <c r="F110">
        <f>100/('BOBOT PEK'!V218-'BOBOT PEK'!U218+1)</f>
        <v>50</v>
      </c>
      <c r="G110">
        <f t="shared" si="2"/>
        <v>6.4854796861378017E-3</v>
      </c>
      <c r="H110">
        <f>MIN(100,($A110-'BOBOT PEK'!U218+1)/('BOBOT PEK'!V218-'BOBOT PEK'!U218+1)*100)</f>
        <v>50</v>
      </c>
      <c r="I110">
        <f>IFERROR(SUM(INDEX(TS!$M:$AB,63,1):INDEX(TS!$M:$AB,63,$A110))/TS!$L$53*100,0)</f>
        <v>0</v>
      </c>
      <c r="J110">
        <f t="shared" si="3"/>
        <v>100</v>
      </c>
      <c r="O110" t="str">
        <f ca="1">IF(I110&gt;=99.9,"COMPLETED",IF('BOBOT PEK'!U218&gt;$J$7,"NOT STARTED",IF('BOBOT PEK'!V218&lt;$J$7,"CRITICAL",IF(I110+1&lt;H110,"DELAYED","ON SCHEDULE"))))</f>
        <v>CRITICAL</v>
      </c>
      <c r="Q110" t="str">
        <f>IFERROR(IF(AND($A110=$B$8,'BOBOT PEK'!U218&lt;=$B$8,$B$8&lt;='BOBOT PEK'!V218),COUNTIFS($A$17:$A110,$B$8),""),"")</f>
        <v/>
      </c>
    </row>
    <row r="111" spans="1:17" ht="12.75" customHeight="1" x14ac:dyDescent="0.2">
      <c r="A111">
        <f>IFERROR(IF(COUNTIF($C$17:C111,C111)&lt;=('BOBOT PEK'!V13-'BOBOT PEK'!U13+1),'BOBOT PEK'!U13+COUNTIF($C$17:C111,C111)-1,0),0)</f>
        <v>6</v>
      </c>
      <c r="B111" t="str">
        <f>IFERROR(TEXT(INDEX('KALENDER MINGGU'!$B$6:$B$21,$A111),"dd/mm")&amp;" - "&amp;TEXT(INDEX('KALENDER MINGGU'!$C$6:$C$21,$A111),"dd/mm"),"")</f>
        <v>27/08 - 02/09</v>
      </c>
      <c r="C111" t="s">
        <v>421</v>
      </c>
      <c r="D111" t="str">
        <f>'BOBOT PEK'!C13</f>
        <v>Skafolding dan Alat Bantu Pekerjaan</v>
      </c>
      <c r="E111" s="241">
        <f>'BOBOT PEK'!J13</f>
        <v>0.38375619444602382</v>
      </c>
      <c r="F111">
        <f>100/('BOBOT PEK'!V13-'BOBOT PEK'!U13+1)</f>
        <v>16.666666666666668</v>
      </c>
      <c r="G111">
        <f t="shared" si="2"/>
        <v>6.3959365741003985E-2</v>
      </c>
      <c r="H111">
        <f>MIN(100,($A111-'BOBOT PEK'!U13+1)/('BOBOT PEK'!V13-'BOBOT PEK'!U13+1)*100)</f>
        <v>100</v>
      </c>
      <c r="I111">
        <f>IFERROR(SUM(INDEX(TS!$M:$AB,23,1):INDEX(TS!$M:$AB,23,$A111))/TS!$L$13*100,0)</f>
        <v>0</v>
      </c>
      <c r="J111">
        <f t="shared" si="3"/>
        <v>100</v>
      </c>
      <c r="O111" t="str">
        <f ca="1">IF(I111&gt;=99.9,"COMPLETED",IF('BOBOT PEK'!U13&gt;$J$7,"NOT STARTED",IF('BOBOT PEK'!V13&lt;$J$7,"CRITICAL",IF(I111+1&lt;H111,"DELAYED","ON SCHEDULE"))))</f>
        <v>CRITICAL</v>
      </c>
      <c r="Q111">
        <f>IFERROR(IF(AND($A111=$B$8,'BOBOT PEK'!U13&lt;=$B$8,$B$8&lt;='BOBOT PEK'!V13),COUNTIFS($A$17:$A111,$B$8),""),"")</f>
        <v>4</v>
      </c>
    </row>
    <row r="112" spans="1:17" ht="12.75" customHeight="1" x14ac:dyDescent="0.2">
      <c r="A112">
        <f>IFERROR(IF(COUNTIF($C$17:C112,C112)&lt;=('BOBOT PEK'!V16-'BOBOT PEK'!U16+1),'BOBOT PEK'!U16+COUNTIF($C$17:C112,C112)-1,0),0)</f>
        <v>7</v>
      </c>
      <c r="B112" t="str">
        <f>IFERROR(TEXT(INDEX('KALENDER MINGGU'!$B$6:$B$21,$A112),"dd/mm")&amp;" - "&amp;TEXT(INDEX('KALENDER MINGGU'!$C$6:$C$21,$A112),"dd/mm"),"")</f>
        <v>03/09 - 09/09</v>
      </c>
      <c r="C112" t="s">
        <v>423</v>
      </c>
      <c r="D112" t="str">
        <f>'BOBOT PEK'!C16</f>
        <v>Pekerjaan Bak Kontrol</v>
      </c>
      <c r="E112" s="241">
        <f>'BOBOT PEK'!J16</f>
        <v>6.6517740370644132E-2</v>
      </c>
      <c r="F112">
        <f>100/('BOBOT PEK'!V16-'BOBOT PEK'!U16+1)</f>
        <v>33.333333333333336</v>
      </c>
      <c r="G112">
        <f t="shared" si="2"/>
        <v>2.2172580123548048E-2</v>
      </c>
      <c r="H112">
        <f>MIN(100,($A112-'BOBOT PEK'!U16+1)/('BOBOT PEK'!V16-'BOBOT PEK'!U16+1)*100)</f>
        <v>33.333333333333329</v>
      </c>
      <c r="I112">
        <f>IFERROR(SUM(INDEX(TS!$M:$AB,25,1):INDEX(TS!$M:$AB,25,$A112))/TS!$L$15*100,0)</f>
        <v>6.3585114450039812</v>
      </c>
      <c r="J112">
        <f t="shared" si="3"/>
        <v>93.641488554996016</v>
      </c>
      <c r="O112" t="str">
        <f ca="1">IF(I112&gt;=99.9,"COMPLETED",IF('BOBOT PEK'!U16&gt;$J$7,"NOT STARTED",IF('BOBOT PEK'!V16&lt;$J$7,"CRITICAL",IF(I112+1&lt;H112,"DELAYED","ON SCHEDULE"))))</f>
        <v>CRITICAL</v>
      </c>
      <c r="Q112" t="str">
        <f>IFERROR(IF(AND($A112=$B$8,'BOBOT PEK'!U16&lt;=$B$8,$B$8&lt;='BOBOT PEK'!V16),COUNTIFS($A$17:$A112,$B$8),""),"")</f>
        <v/>
      </c>
    </row>
    <row r="113" spans="1:17" ht="12.75" customHeight="1" x14ac:dyDescent="0.2">
      <c r="A113">
        <f>IFERROR(IF(COUNTIF($C$17:C113,C113)&lt;=('BOBOT PEK'!V17-'BOBOT PEK'!U17+1),'BOBOT PEK'!U17+COUNTIF($C$17:C113,C113)-1,0),0)</f>
        <v>7</v>
      </c>
      <c r="B113" t="str">
        <f>IFERROR(TEXT(INDEX('KALENDER MINGGU'!$B$6:$B$21,$A113),"dd/mm")&amp;" - "&amp;TEXT(INDEX('KALENDER MINGGU'!$C$6:$C$21,$A113),"dd/mm"),"")</f>
        <v>03/09 - 09/09</v>
      </c>
      <c r="C113" t="s">
        <v>424</v>
      </c>
      <c r="D113" t="str">
        <f>'BOBOT PEK'!C17</f>
        <v>Pasang aluminium bubble dibawah atap+plat strip</v>
      </c>
      <c r="E113" s="241">
        <f>'BOBOT PEK'!J17</f>
        <v>8.8263924722585472</v>
      </c>
      <c r="F113">
        <f>100/('BOBOT PEK'!V17-'BOBOT PEK'!U17+1)</f>
        <v>25</v>
      </c>
      <c r="G113">
        <f t="shared" si="2"/>
        <v>2.2065981180646368</v>
      </c>
      <c r="H113">
        <f>MIN(100,($A113-'BOBOT PEK'!U17+1)/('BOBOT PEK'!V17-'BOBOT PEK'!U17+1)*100)</f>
        <v>50</v>
      </c>
      <c r="I113">
        <f>IFERROR(SUM(INDEX(TS!$M:$AB,25,1):INDEX(TS!$M:$AB,25,$A113))/TS!$L$15*100,0)</f>
        <v>6.3585114450039812</v>
      </c>
      <c r="J113">
        <f t="shared" si="3"/>
        <v>93.641488554996016</v>
      </c>
      <c r="O113" t="str">
        <f ca="1">IF(I113&gt;=99.9,"COMPLETED",IF('BOBOT PEK'!U17&gt;$J$7,"NOT STARTED",IF('BOBOT PEK'!V17&lt;$J$7,"CRITICAL",IF(I113+1&lt;H113,"DELAYED","ON SCHEDULE"))))</f>
        <v>CRITICAL</v>
      </c>
      <c r="Q113" t="str">
        <f>IFERROR(IF(AND($A113=$B$8,'BOBOT PEK'!U17&lt;=$B$8,$B$8&lt;='BOBOT PEK'!V17),COUNTIFS($A$17:$A113,$B$8),""),"")</f>
        <v/>
      </c>
    </row>
    <row r="114" spans="1:17" ht="12.75" customHeight="1" x14ac:dyDescent="0.2">
      <c r="A114">
        <f>IFERROR(IF(COUNTIF($C$17:C114,C114)&lt;=('BOBOT PEK'!V18-'BOBOT PEK'!U18+1),'BOBOT PEK'!U18+COUNTIF($C$17:C114,C114)-1,0),0)</f>
        <v>7</v>
      </c>
      <c r="B114" t="str">
        <f>IFERROR(TEXT(INDEX('KALENDER MINGGU'!$B$6:$B$21,$A114),"dd/mm")&amp;" - "&amp;TEXT(INDEX('KALENDER MINGGU'!$C$6:$C$21,$A114),"dd/mm"),"")</f>
        <v>03/09 - 09/09</v>
      </c>
      <c r="C114" t="s">
        <v>425</v>
      </c>
      <c r="D114" t="str">
        <f>'BOBOT PEK'!C18</f>
        <v>Pekerjaan finishing cat sisi luar samping dan belakang</v>
      </c>
      <c r="E114" s="241">
        <f>'BOBOT PEK'!J18</f>
        <v>1.8094104568130023</v>
      </c>
      <c r="F114">
        <f>100/('BOBOT PEK'!V18-'BOBOT PEK'!U18+1)</f>
        <v>33.333333333333336</v>
      </c>
      <c r="G114">
        <f t="shared" si="2"/>
        <v>0.60313681893766746</v>
      </c>
      <c r="H114">
        <f>MIN(100,($A114-'BOBOT PEK'!U18+1)/('BOBOT PEK'!V18-'BOBOT PEK'!U18+1)*100)</f>
        <v>33.333333333333329</v>
      </c>
      <c r="I114">
        <f>IFERROR(SUM(INDEX(TS!$M:$AB,25,1):INDEX(TS!$M:$AB,25,$A114))/TS!$L$15*100,0)</f>
        <v>6.3585114450039812</v>
      </c>
      <c r="J114">
        <f t="shared" si="3"/>
        <v>93.641488554996016</v>
      </c>
      <c r="O114" t="str">
        <f ca="1">IF(I114&gt;=99.9,"COMPLETED",IF('BOBOT PEK'!U18&gt;$J$7,"NOT STARTED",IF('BOBOT PEK'!V18&lt;$J$7,"CRITICAL",IF(I114+1&lt;H114,"DELAYED","ON SCHEDULE"))))</f>
        <v>CRITICAL</v>
      </c>
      <c r="Q114" t="str">
        <f>IFERROR(IF(AND($A114=$B$8,'BOBOT PEK'!U18&lt;=$B$8,$B$8&lt;='BOBOT PEK'!V18),COUNTIFS($A$17:$A114,$B$8),""),"")</f>
        <v/>
      </c>
    </row>
    <row r="115" spans="1:17" ht="12.75" customHeight="1" x14ac:dyDescent="0.2">
      <c r="A115">
        <f>IFERROR(IF(COUNTIF($C$17:C115,C115)&lt;=('BOBOT PEK'!V19-'BOBOT PEK'!U19+1),'BOBOT PEK'!U19+COUNTIF($C$17:C115,C115)-1,0),0)</f>
        <v>7</v>
      </c>
      <c r="B115" t="str">
        <f>IFERROR(TEXT(INDEX('KALENDER MINGGU'!$B$6:$B$21,$A115),"dd/mm")&amp;" - "&amp;TEXT(INDEX('KALENDER MINGGU'!$C$6:$C$21,$A115),"dd/mm"),"")</f>
        <v>03/09 - 09/09</v>
      </c>
      <c r="C115" t="s">
        <v>426</v>
      </c>
      <c r="D115" t="str">
        <f>'BOBOT PEK'!C19</f>
        <v>Pasang turbin ventilator 32"</v>
      </c>
      <c r="E115" s="241">
        <f>'BOBOT PEK'!J19</f>
        <v>1.1512685833380714</v>
      </c>
      <c r="F115">
        <f>100/('BOBOT PEK'!V19-'BOBOT PEK'!U19+1)</f>
        <v>33.333333333333336</v>
      </c>
      <c r="G115">
        <f t="shared" si="2"/>
        <v>0.38375619444602382</v>
      </c>
      <c r="H115">
        <f>MIN(100,($A115-'BOBOT PEK'!U19+1)/('BOBOT PEK'!V19-'BOBOT PEK'!U19+1)*100)</f>
        <v>33.333333333333329</v>
      </c>
      <c r="I115">
        <f>IFERROR(SUM(INDEX(TS!$M:$AB,25,1):INDEX(TS!$M:$AB,25,$A115))/TS!$L$15*100,0)</f>
        <v>6.3585114450039812</v>
      </c>
      <c r="J115">
        <f t="shared" si="3"/>
        <v>93.641488554996016</v>
      </c>
      <c r="O115" t="str">
        <f ca="1">IF(I115&gt;=99.9,"COMPLETED",IF('BOBOT PEK'!U19&gt;$J$7,"NOT STARTED",IF('BOBOT PEK'!V19&lt;$J$7,"CRITICAL",IF(I115+1&lt;H115,"DELAYED","ON SCHEDULE"))))</f>
        <v>CRITICAL</v>
      </c>
      <c r="Q115" t="str">
        <f>IFERROR(IF(AND($A115=$B$8,'BOBOT PEK'!U19&lt;=$B$8,$B$8&lt;='BOBOT PEK'!V19),COUNTIFS($A$17:$A115,$B$8),""),"")</f>
        <v/>
      </c>
    </row>
    <row r="116" spans="1:17" ht="12.75" customHeight="1" x14ac:dyDescent="0.2">
      <c r="A116">
        <f>IFERROR(IF(COUNTIF($C$17:C116,C116)&lt;=('BOBOT PEK'!V20-'BOBOT PEK'!U20+1),'BOBOT PEK'!U20+COUNTIF($C$17:C116,C116)-1,0),0)</f>
        <v>7</v>
      </c>
      <c r="B116" t="str">
        <f>IFERROR(TEXT(INDEX('KALENDER MINGGU'!$B$6:$B$21,$A116),"dd/mm")&amp;" - "&amp;TEXT(INDEX('KALENDER MINGGU'!$C$6:$C$21,$A116),"dd/mm"),"")</f>
        <v>03/09 - 09/09</v>
      </c>
      <c r="C116" t="s">
        <v>427</v>
      </c>
      <c r="D116" t="str">
        <f>'BOBOT PEK'!C20</f>
        <v>Bongkar atap existing</v>
      </c>
      <c r="E116" s="241">
        <f>'BOBOT PEK'!J20</f>
        <v>0.12536035685236779</v>
      </c>
      <c r="F116">
        <f>100/('BOBOT PEK'!V20-'BOBOT PEK'!U20+1)</f>
        <v>33.333333333333336</v>
      </c>
      <c r="G116">
        <f t="shared" si="2"/>
        <v>4.1786785617455934E-2</v>
      </c>
      <c r="H116">
        <f>MIN(100,($A116-'BOBOT PEK'!U20+1)/('BOBOT PEK'!V20-'BOBOT PEK'!U20+1)*100)</f>
        <v>33.333333333333329</v>
      </c>
      <c r="I116">
        <f>IFERROR(SUM(INDEX(TS!$M:$AB,25,1):INDEX(TS!$M:$AB,25,$A116))/TS!$L$15*100,0)</f>
        <v>6.3585114450039812</v>
      </c>
      <c r="J116">
        <f t="shared" si="3"/>
        <v>93.641488554996016</v>
      </c>
      <c r="O116" t="str">
        <f ca="1">IF(I116&gt;=99.9,"COMPLETED",IF('BOBOT PEK'!U20&gt;$J$7,"NOT STARTED",IF('BOBOT PEK'!V20&lt;$J$7,"CRITICAL",IF(I116+1&lt;H116,"DELAYED","ON SCHEDULE"))))</f>
        <v>CRITICAL</v>
      </c>
      <c r="Q116" t="str">
        <f>IFERROR(IF(AND($A116=$B$8,'BOBOT PEK'!U20&lt;=$B$8,$B$8&lt;='BOBOT PEK'!V20),COUNTIFS($A$17:$A116,$B$8),""),"")</f>
        <v/>
      </c>
    </row>
    <row r="117" spans="1:17" ht="12.75" customHeight="1" x14ac:dyDescent="0.2">
      <c r="A117">
        <f>IFERROR(IF(COUNTIF($C$17:C117,C117)&lt;=('BOBOT PEK'!V21-'BOBOT PEK'!U21+1),'BOBOT PEK'!U21+COUNTIF($C$17:C117,C117)-1,0),0)</f>
        <v>7</v>
      </c>
      <c r="B117" t="str">
        <f>IFERROR(TEXT(INDEX('KALENDER MINGGU'!$B$6:$B$21,$A117),"dd/mm")&amp;" - "&amp;TEXT(INDEX('KALENDER MINGGU'!$C$6:$C$21,$A117),"dd/mm"),"")</f>
        <v>03/09 - 09/09</v>
      </c>
      <c r="C117" t="s">
        <v>428</v>
      </c>
      <c r="D117" t="str">
        <f>'BOBOT PEK'!C21</f>
        <v>Pasang atap fiber bening</v>
      </c>
      <c r="E117" s="241">
        <f>'BOBOT PEK'!J21</f>
        <v>0.71706124119554371</v>
      </c>
      <c r="F117">
        <f>100/('BOBOT PEK'!V21-'BOBOT PEK'!U21+1)</f>
        <v>33.333333333333336</v>
      </c>
      <c r="G117">
        <f t="shared" si="2"/>
        <v>0.23902041373184793</v>
      </c>
      <c r="H117">
        <f>MIN(100,($A117-'BOBOT PEK'!U21+1)/('BOBOT PEK'!V21-'BOBOT PEK'!U21+1)*100)</f>
        <v>33.333333333333329</v>
      </c>
      <c r="I117">
        <f>IFERROR(SUM(INDEX(TS!$M:$AB,25,1):INDEX(TS!$M:$AB,25,$A117))/TS!$L$15*100,0)</f>
        <v>6.3585114450039812</v>
      </c>
      <c r="J117">
        <f t="shared" si="3"/>
        <v>93.641488554996016</v>
      </c>
      <c r="O117" t="str">
        <f ca="1">IF(I117&gt;=99.9,"COMPLETED",IF('BOBOT PEK'!U21&gt;$J$7,"NOT STARTED",IF('BOBOT PEK'!V21&lt;$J$7,"CRITICAL",IF(I117+1&lt;H117,"DELAYED","ON SCHEDULE"))))</f>
        <v>CRITICAL</v>
      </c>
      <c r="Q117" t="str">
        <f>IFERROR(IF(AND($A117=$B$8,'BOBOT PEK'!U21&lt;=$B$8,$B$8&lt;='BOBOT PEK'!V21),COUNTIFS($A$17:$A117,$B$8),""),"")</f>
        <v/>
      </c>
    </row>
    <row r="118" spans="1:17" ht="12.75" customHeight="1" x14ac:dyDescent="0.2">
      <c r="A118">
        <f>IFERROR(IF(COUNTIF($C$17:C118,C118)&lt;=('BOBOT PEK'!V22-'BOBOT PEK'!U22+1),'BOBOT PEK'!U22+COUNTIF($C$17:C118,C118)-1,0),0)</f>
        <v>7</v>
      </c>
      <c r="B118" t="str">
        <f>IFERROR(TEXT(INDEX('KALENDER MINGGU'!$B$6:$B$21,$A118),"dd/mm")&amp;" - "&amp;TEXT(INDEX('KALENDER MINGGU'!$C$6:$C$21,$A118),"dd/mm"),"")</f>
        <v>03/09 - 09/09</v>
      </c>
      <c r="C118" t="s">
        <v>429</v>
      </c>
      <c r="D118" t="str">
        <f>'BOBOT PEK'!C22</f>
        <v>pekerjaan refinishing kanopi loading dock</v>
      </c>
      <c r="E118" s="241">
        <f>'BOBOT PEK'!J22</f>
        <v>0.63063934620629902</v>
      </c>
      <c r="F118">
        <f>100/('BOBOT PEK'!V22-'BOBOT PEK'!U22+1)</f>
        <v>33.333333333333336</v>
      </c>
      <c r="G118">
        <f t="shared" si="2"/>
        <v>0.21021311540209969</v>
      </c>
      <c r="H118">
        <f>MIN(100,($A118-'BOBOT PEK'!U22+1)/('BOBOT PEK'!V22-'BOBOT PEK'!U22+1)*100)</f>
        <v>33.333333333333329</v>
      </c>
      <c r="I118">
        <f>IFERROR(SUM(INDEX(TS!$M:$AB,25,1):INDEX(TS!$M:$AB,25,$A118))/TS!$L$15*100,0)</f>
        <v>6.3585114450039812</v>
      </c>
      <c r="J118">
        <f t="shared" si="3"/>
        <v>93.641488554996016</v>
      </c>
      <c r="O118" t="str">
        <f ca="1">IF(I118&gt;=99.9,"COMPLETED",IF('BOBOT PEK'!U22&gt;$J$7,"NOT STARTED",IF('BOBOT PEK'!V22&lt;$J$7,"CRITICAL",IF(I118+1&lt;H118,"DELAYED","ON SCHEDULE"))))</f>
        <v>CRITICAL</v>
      </c>
      <c r="Q118" t="str">
        <f>IFERROR(IF(AND($A118=$B$8,'BOBOT PEK'!U22&lt;=$B$8,$B$8&lt;='BOBOT PEK'!V22),COUNTIFS($A$17:$A118,$B$8),""),"")</f>
        <v/>
      </c>
    </row>
    <row r="119" spans="1:17" ht="12.75" customHeight="1" x14ac:dyDescent="0.2">
      <c r="A119">
        <f>IFERROR(IF(COUNTIF($C$17:C119,C119)&lt;=('BOBOT PEK'!V23-'BOBOT PEK'!U23+1),'BOBOT PEK'!U23+COUNTIF($C$17:C119,C119)-1,0),0)</f>
        <v>8</v>
      </c>
      <c r="B119" t="str">
        <f>IFERROR(TEXT(INDEX('KALENDER MINGGU'!$B$6:$B$21,$A119),"dd/mm")&amp;" - "&amp;TEXT(INDEX('KALENDER MINGGU'!$C$6:$C$21,$A119),"dd/mm"),"")</f>
        <v>10/09 - 16/09</v>
      </c>
      <c r="C119" t="s">
        <v>430</v>
      </c>
      <c r="D119" t="str">
        <f>'BOBOT PEK'!C23</f>
        <v>Perbaikan loading dock</v>
      </c>
      <c r="E119" s="241">
        <f>'BOBOT PEK'!J23</f>
        <v>0.39661202695996561</v>
      </c>
      <c r="F119">
        <f>100/('BOBOT PEK'!V23-'BOBOT PEK'!U23+1)</f>
        <v>50</v>
      </c>
      <c r="G119">
        <f t="shared" si="2"/>
        <v>0.19830601347998281</v>
      </c>
      <c r="H119">
        <f>MIN(100,($A119-'BOBOT PEK'!U23+1)/('BOBOT PEK'!V23-'BOBOT PEK'!U23+1)*100)</f>
        <v>50</v>
      </c>
      <c r="I119">
        <f>IFERROR(SUM(INDEX(TS!$M:$AB,25,1):INDEX(TS!$M:$AB,25,$A119))/TS!$L$15*100,0)</f>
        <v>6.3585114450039812</v>
      </c>
      <c r="J119">
        <f t="shared" si="3"/>
        <v>93.641488554996016</v>
      </c>
      <c r="O119" t="str">
        <f ca="1">IF(I119&gt;=99.9,"COMPLETED",IF('BOBOT PEK'!U23&gt;$J$7,"NOT STARTED",IF('BOBOT PEK'!V23&lt;$J$7,"CRITICAL",IF(I119+1&lt;H119,"DELAYED","ON SCHEDULE"))))</f>
        <v>CRITICAL</v>
      </c>
      <c r="Q119" t="str">
        <f>IFERROR(IF(AND($A119=$B$8,'BOBOT PEK'!U23&lt;=$B$8,$B$8&lt;='BOBOT PEK'!V23),COUNTIFS($A$17:$A119,$B$8),""),"")</f>
        <v/>
      </c>
    </row>
    <row r="120" spans="1:17" ht="12.75" customHeight="1" x14ac:dyDescent="0.2">
      <c r="A120">
        <f>IFERROR(IF(COUNTIF($C$17:C120,C120)&lt;=('BOBOT PEK'!V24-'BOBOT PEK'!U24+1),'BOBOT PEK'!U24+COUNTIF($C$17:C120,C120)-1,0),0)</f>
        <v>8</v>
      </c>
      <c r="B120" t="str">
        <f>IFERROR(TEXT(INDEX('KALENDER MINGGU'!$B$6:$B$21,$A120),"dd/mm")&amp;" - "&amp;TEXT(INDEX('KALENDER MINGGU'!$C$6:$C$21,$A120),"dd/mm"),"")</f>
        <v>10/09 - 16/09</v>
      </c>
      <c r="C120" t="s">
        <v>431</v>
      </c>
      <c r="D120" t="str">
        <f>'BOBOT PEK'!C24</f>
        <v>Perbaikan dinding dan cat dinding loading dock</v>
      </c>
      <c r="E120" s="241">
        <f>'BOBOT PEK'!J24</f>
        <v>5.4429420245594377E-2</v>
      </c>
      <c r="F120">
        <f>100/('BOBOT PEK'!V24-'BOBOT PEK'!U24+1)</f>
        <v>50</v>
      </c>
      <c r="G120">
        <f t="shared" si="2"/>
        <v>2.7214710122797189E-2</v>
      </c>
      <c r="H120">
        <f>MIN(100,($A120-'BOBOT PEK'!U24+1)/('BOBOT PEK'!V24-'BOBOT PEK'!U24+1)*100)</f>
        <v>50</v>
      </c>
      <c r="I120">
        <f>IFERROR(SUM(INDEX(TS!$M:$AB,25,1):INDEX(TS!$M:$AB,25,$A120))/TS!$L$15*100,0)</f>
        <v>6.3585114450039812</v>
      </c>
      <c r="J120">
        <f t="shared" si="3"/>
        <v>93.641488554996016</v>
      </c>
      <c r="O120" t="str">
        <f ca="1">IF(I120&gt;=99.9,"COMPLETED",IF('BOBOT PEK'!U24&gt;$J$7,"NOT STARTED",IF('BOBOT PEK'!V24&lt;$J$7,"CRITICAL",IF(I120+1&lt;H120,"DELAYED","ON SCHEDULE"))))</f>
        <v>CRITICAL</v>
      </c>
      <c r="Q120" t="str">
        <f>IFERROR(IF(AND($A120=$B$8,'BOBOT PEK'!U24&lt;=$B$8,$B$8&lt;='BOBOT PEK'!V24),COUNTIFS($A$17:$A120,$B$8),""),"")</f>
        <v/>
      </c>
    </row>
    <row r="121" spans="1:17" ht="12.75" customHeight="1" x14ac:dyDescent="0.2">
      <c r="A121">
        <f>IFERROR(IF(COUNTIF($C$17:C121,C121)&lt;=('BOBOT PEK'!V25-'BOBOT PEK'!U25+1),'BOBOT PEK'!U25+COUNTIF($C$17:C121,C121)-1,0),0)</f>
        <v>7</v>
      </c>
      <c r="B121" t="str">
        <f>IFERROR(TEXT(INDEX('KALENDER MINGGU'!$B$6:$B$21,$A121),"dd/mm")&amp;" - "&amp;TEXT(INDEX('KALENDER MINGGU'!$C$6:$C$21,$A121),"dd/mm"),"")</f>
        <v>03/09 - 09/09</v>
      </c>
      <c r="C121" t="s">
        <v>432</v>
      </c>
      <c r="D121" t="str">
        <f>'BOBOT PEK'!C25</f>
        <v>Servis kebocoran pipa talang</v>
      </c>
      <c r="E121" s="241">
        <f>'BOBOT PEK'!J25</f>
        <v>0.13303548074128826</v>
      </c>
      <c r="F121">
        <f>100/('BOBOT PEK'!V25-'BOBOT PEK'!U25+1)</f>
        <v>33.333333333333336</v>
      </c>
      <c r="G121">
        <f t="shared" si="2"/>
        <v>4.4345160247096095E-2</v>
      </c>
      <c r="H121">
        <f>MIN(100,($A121-'BOBOT PEK'!U25+1)/('BOBOT PEK'!V25-'BOBOT PEK'!U25+1)*100)</f>
        <v>33.333333333333329</v>
      </c>
      <c r="I121">
        <f>IFERROR(SUM(INDEX(TS!$M:$AB,25,1):INDEX(TS!$M:$AB,25,$A121))/TS!$L$15*100,0)</f>
        <v>6.3585114450039812</v>
      </c>
      <c r="J121">
        <f t="shared" si="3"/>
        <v>93.641488554996016</v>
      </c>
      <c r="O121" t="str">
        <f ca="1">IF(I121&gt;=99.9,"COMPLETED",IF('BOBOT PEK'!U25&gt;$J$7,"NOT STARTED",IF('BOBOT PEK'!V25&lt;$J$7,"CRITICAL",IF(I121+1&lt;H121,"DELAYED","ON SCHEDULE"))))</f>
        <v>CRITICAL</v>
      </c>
      <c r="Q121" t="str">
        <f>IFERROR(IF(AND($A121=$B$8,'BOBOT PEK'!U25&lt;=$B$8,$B$8&lt;='BOBOT PEK'!V25),COUNTIFS($A$17:$A121,$B$8),""),"")</f>
        <v/>
      </c>
    </row>
    <row r="122" spans="1:17" ht="12.75" customHeight="1" x14ac:dyDescent="0.2">
      <c r="A122">
        <f>IFERROR(IF(COUNTIF($C$17:C122,C122)&lt;=('BOBOT PEK'!V27-'BOBOT PEK'!U27+1),'BOBOT PEK'!U27+COUNTIF($C$17:C122,C122)-1,0),0)</f>
        <v>8</v>
      </c>
      <c r="B122" t="str">
        <f>IFERROR(TEXT(INDEX('KALENDER MINGGU'!$B$6:$B$21,$A122),"dd/mm")&amp;" - "&amp;TEXT(INDEX('KALENDER MINGGU'!$C$6:$C$21,$A122),"dd/mm"),"")</f>
        <v>10/09 - 16/09</v>
      </c>
      <c r="C122" t="s">
        <v>434</v>
      </c>
      <c r="D122" t="str">
        <f>'BOBOT PEK'!C27</f>
        <v>Pembongkaran pintu rolling door</v>
      </c>
      <c r="E122" s="241">
        <f>'BOBOT PEK'!J27</f>
        <v>6.3959365741003971E-2</v>
      </c>
      <c r="F122">
        <f>100/('BOBOT PEK'!V27-'BOBOT PEK'!U27+1)</f>
        <v>50</v>
      </c>
      <c r="G122">
        <f t="shared" si="2"/>
        <v>3.1979682870501985E-2</v>
      </c>
      <c r="H122">
        <f>MIN(100,($A122-'BOBOT PEK'!U27+1)/('BOBOT PEK'!V27-'BOBOT PEK'!U27+1)*100)</f>
        <v>50</v>
      </c>
      <c r="I122">
        <f>IFERROR(SUM(INDEX(TS!$M:$AB,25,1):INDEX(TS!$M:$AB,25,$A122))/TS!$L$15*100,0)</f>
        <v>6.3585114450039812</v>
      </c>
      <c r="J122">
        <f t="shared" si="3"/>
        <v>93.641488554996016</v>
      </c>
      <c r="O122" t="str">
        <f ca="1">IF(I122&gt;=99.9,"COMPLETED",IF('BOBOT PEK'!U27&gt;$J$7,"NOT STARTED",IF('BOBOT PEK'!V27&lt;$J$7,"CRITICAL",IF(I122+1&lt;H122,"DELAYED","ON SCHEDULE"))))</f>
        <v>CRITICAL</v>
      </c>
      <c r="Q122" t="str">
        <f>IFERROR(IF(AND($A122=$B$8,'BOBOT PEK'!U27&lt;=$B$8,$B$8&lt;='BOBOT PEK'!V27),COUNTIFS($A$17:$A122,$B$8),""),"")</f>
        <v/>
      </c>
    </row>
    <row r="123" spans="1:17" ht="12.75" customHeight="1" x14ac:dyDescent="0.2">
      <c r="A123">
        <f>IFERROR(IF(COUNTIF($C$17:C123,C123)&lt;=('BOBOT PEK'!V28-'BOBOT PEK'!U28+1),'BOBOT PEK'!U28+COUNTIF($C$17:C123,C123)-1,0),0)</f>
        <v>8</v>
      </c>
      <c r="B123" t="str">
        <f>IFERROR(TEXT(INDEX('KALENDER MINGGU'!$B$6:$B$21,$A123),"dd/mm")&amp;" - "&amp;TEXT(INDEX('KALENDER MINGGU'!$C$6:$C$21,$A123),"dd/mm"),"")</f>
        <v>10/09 - 16/09</v>
      </c>
      <c r="C123" t="s">
        <v>435</v>
      </c>
      <c r="D123" t="str">
        <f>'BOBOT PEK'!C28</f>
        <v>Perapian kabel  dalam gudang</v>
      </c>
      <c r="E123" s="241">
        <f>'BOBOT PEK'!J28</f>
        <v>0.49734802800204686</v>
      </c>
      <c r="F123">
        <f>100/('BOBOT PEK'!V28-'BOBOT PEK'!U28+1)</f>
        <v>33.333333333333336</v>
      </c>
      <c r="G123">
        <f t="shared" si="2"/>
        <v>0.16578267600068231</v>
      </c>
      <c r="H123">
        <f>MIN(100,($A123-'BOBOT PEK'!U28+1)/('BOBOT PEK'!V28-'BOBOT PEK'!U28+1)*100)</f>
        <v>33.333333333333329</v>
      </c>
      <c r="I123">
        <f>IFERROR(SUM(INDEX(TS!$M:$AB,25,1):INDEX(TS!$M:$AB,25,$A123))/TS!$L$15*100,0)</f>
        <v>6.3585114450039812</v>
      </c>
      <c r="J123">
        <f t="shared" si="3"/>
        <v>93.641488554996016</v>
      </c>
      <c r="O123" t="str">
        <f ca="1">IF(I123&gt;=99.9,"COMPLETED",IF('BOBOT PEK'!U28&gt;$J$7,"NOT STARTED",IF('BOBOT PEK'!V28&lt;$J$7,"CRITICAL",IF(I123+1&lt;H123,"DELAYED","ON SCHEDULE"))))</f>
        <v>DELAYED</v>
      </c>
      <c r="Q123" t="str">
        <f>IFERROR(IF(AND($A123=$B$8,'BOBOT PEK'!U28&lt;=$B$8,$B$8&lt;='BOBOT PEK'!V28),COUNTIFS($A$17:$A123,$B$8),""),"")</f>
        <v/>
      </c>
    </row>
    <row r="124" spans="1:17" ht="12.75" customHeight="1" x14ac:dyDescent="0.2">
      <c r="A124">
        <f>IFERROR(IF(COUNTIF($C$17:C124,C124)&lt;=('BOBOT PEK'!V32-'BOBOT PEK'!U32+1),'BOBOT PEK'!U32+COUNTIF($C$17:C124,C124)-1,0),0)</f>
        <v>9</v>
      </c>
      <c r="B124" t="str">
        <f>IFERROR(TEXT(INDEX('KALENDER MINGGU'!$B$6:$B$21,$A124),"dd/mm")&amp;" - "&amp;TEXT(INDEX('KALENDER MINGGU'!$C$6:$C$21,$A124),"dd/mm"),"")</f>
        <v>17/09 - 23/09</v>
      </c>
      <c r="C124" t="s">
        <v>436</v>
      </c>
      <c r="D124" t="str">
        <f>'BOBOT PEK'!C32</f>
        <v>Perbaikan atap existing</v>
      </c>
      <c r="E124" s="241">
        <f>'BOBOT PEK'!J32</f>
        <v>3.0700495555681905E-2</v>
      </c>
      <c r="F124">
        <f>100/('BOBOT PEK'!V32-'BOBOT PEK'!U32+1)</f>
        <v>50</v>
      </c>
      <c r="G124">
        <f t="shared" si="2"/>
        <v>1.5350247777840952E-2</v>
      </c>
      <c r="H124">
        <f>MIN(100,($A124-'BOBOT PEK'!U32+1)/('BOBOT PEK'!V32-'BOBOT PEK'!U32+1)*100)</f>
        <v>50</v>
      </c>
      <c r="I124">
        <f>IFERROR(SUM(INDEX(TS!$M:$AB,27,1):INDEX(TS!$M:$AB,27,$A124))/TS!$L$17*100,0)</f>
        <v>1240.9114274172277</v>
      </c>
      <c r="J124">
        <f t="shared" si="3"/>
        <v>0</v>
      </c>
      <c r="O124" t="str">
        <f>IF(I124&gt;=99.9,"COMPLETED",IF('BOBOT PEK'!U32&gt;$J$7,"NOT STARTED",IF('BOBOT PEK'!V32&lt;$J$7,"CRITICAL",IF(I124+1&lt;H124,"DELAYED","ON SCHEDULE"))))</f>
        <v>COMPLETED</v>
      </c>
      <c r="Q124" t="str">
        <f>IFERROR(IF(AND($A124=$B$8,'BOBOT PEK'!U32&lt;=$B$8,$B$8&lt;='BOBOT PEK'!V32),COUNTIFS($A$17:$A124,$B$8),""),"")</f>
        <v/>
      </c>
    </row>
    <row r="125" spans="1:17" ht="12.75" customHeight="1" x14ac:dyDescent="0.2">
      <c r="A125">
        <f>IFERROR(IF(COUNTIF($C$17:C125,C125)&lt;=('BOBOT PEK'!V33-'BOBOT PEK'!U33+1),'BOBOT PEK'!U33+COUNTIF($C$17:C125,C125)-1,0),0)</f>
        <v>7</v>
      </c>
      <c r="B125" t="str">
        <f>IFERROR(TEXT(INDEX('KALENDER MINGGU'!$B$6:$B$21,$A125),"dd/mm")&amp;" - "&amp;TEXT(INDEX('KALENDER MINGGU'!$C$6:$C$21,$A125),"dd/mm"),"")</f>
        <v>03/09 - 09/09</v>
      </c>
      <c r="C125" t="s">
        <v>437</v>
      </c>
      <c r="D125" t="str">
        <f>'BOBOT PEK'!C33</f>
        <v>Pekerjaan bongkaran lantai paving block existing</v>
      </c>
      <c r="E125" s="241">
        <f>'BOBOT PEK'!J33</f>
        <v>9.4020267639275831E-2</v>
      </c>
      <c r="F125">
        <f>100/('BOBOT PEK'!V33-'BOBOT PEK'!U33+1)</f>
        <v>33.333333333333336</v>
      </c>
      <c r="G125">
        <f t="shared" si="2"/>
        <v>3.1340089213091948E-2</v>
      </c>
      <c r="H125">
        <f>MIN(100,($A125-'BOBOT PEK'!U33+1)/('BOBOT PEK'!V33-'BOBOT PEK'!U33+1)*100)</f>
        <v>33.333333333333329</v>
      </c>
      <c r="I125">
        <f>IFERROR(SUM(INDEX(TS!$M:$AB,27,1):INDEX(TS!$M:$AB,27,$A125))/TS!$L$17*100,0)</f>
        <v>965.15333243562134</v>
      </c>
      <c r="J125">
        <f t="shared" si="3"/>
        <v>0</v>
      </c>
      <c r="O125" t="str">
        <f>IF(I125&gt;=99.9,"COMPLETED",IF('BOBOT PEK'!U33&gt;$J$7,"NOT STARTED",IF('BOBOT PEK'!V33&lt;$J$7,"CRITICAL",IF(I125+1&lt;H125,"DELAYED","ON SCHEDULE"))))</f>
        <v>COMPLETED</v>
      </c>
      <c r="Q125" t="str">
        <f>IFERROR(IF(AND($A125=$B$8,'BOBOT PEK'!U33&lt;=$B$8,$B$8&lt;='BOBOT PEK'!V33),COUNTIFS($A$17:$A125,$B$8),""),"")</f>
        <v/>
      </c>
    </row>
    <row r="126" spans="1:17" ht="12.75" customHeight="1" x14ac:dyDescent="0.2">
      <c r="A126">
        <f>IFERROR(IF(COUNTIF($C$17:C126,C126)&lt;=('BOBOT PEK'!V34-'BOBOT PEK'!U34+1),'BOBOT PEK'!U34+COUNTIF($C$17:C126,C126)-1,0),0)</f>
        <v>7</v>
      </c>
      <c r="B126" t="str">
        <f>IFERROR(TEXT(INDEX('KALENDER MINGGU'!$B$6:$B$21,$A126),"dd/mm")&amp;" - "&amp;TEXT(INDEX('KALENDER MINGGU'!$C$6:$C$21,$A126),"dd/mm"),"")</f>
        <v>03/09 - 09/09</v>
      </c>
      <c r="C126" t="s">
        <v>438</v>
      </c>
      <c r="D126" t="str">
        <f>'BOBOT PEK'!C34</f>
        <v>Pekerjaan pasang rangka kolom dan atap area parkir + penutup + talang</v>
      </c>
      <c r="E126" s="241">
        <f>'BOBOT PEK'!J34</f>
        <v>0.28142120926041747</v>
      </c>
      <c r="F126">
        <f>100/('BOBOT PEK'!V34-'BOBOT PEK'!U34+1)</f>
        <v>33.333333333333336</v>
      </c>
      <c r="G126">
        <f t="shared" si="2"/>
        <v>9.38070697534725E-2</v>
      </c>
      <c r="H126">
        <f>MIN(100,($A126-'BOBOT PEK'!U34+1)/('BOBOT PEK'!V34-'BOBOT PEK'!U34+1)*100)</f>
        <v>33.333333333333329</v>
      </c>
      <c r="I126">
        <f>IFERROR(SUM(INDEX(TS!$M:$AB,27,1):INDEX(TS!$M:$AB,27,$A126))/TS!$L$17*100,0)</f>
        <v>965.15333243562134</v>
      </c>
      <c r="J126">
        <f t="shared" si="3"/>
        <v>0</v>
      </c>
      <c r="O126" t="str">
        <f>IF(I126&gt;=99.9,"COMPLETED",IF('BOBOT PEK'!U34&gt;$J$7,"NOT STARTED",IF('BOBOT PEK'!V34&lt;$J$7,"CRITICAL",IF(I126+1&lt;H126,"DELAYED","ON SCHEDULE"))))</f>
        <v>COMPLETED</v>
      </c>
      <c r="Q126" t="str">
        <f>IFERROR(IF(AND($A126=$B$8,'BOBOT PEK'!U34&lt;=$B$8,$B$8&lt;='BOBOT PEK'!V34),COUNTIFS($A$17:$A126,$B$8),""),"")</f>
        <v/>
      </c>
    </row>
    <row r="127" spans="1:17" ht="12.75" customHeight="1" x14ac:dyDescent="0.2">
      <c r="A127">
        <f>IFERROR(IF(COUNTIF($C$17:C127,C127)&lt;=('BOBOT PEK'!V36-'BOBOT PEK'!U36+1),'BOBOT PEK'!U36+COUNTIF($C$17:C127,C127)-1,0),0)</f>
        <v>7</v>
      </c>
      <c r="B127" t="str">
        <f>IFERROR(TEXT(INDEX('KALENDER MINGGU'!$B$6:$B$21,$A127),"dd/mm")&amp;" - "&amp;TEXT(INDEX('KALENDER MINGGU'!$C$6:$C$21,$A127),"dd/mm"),"")</f>
        <v>03/09 - 09/09</v>
      </c>
      <c r="C127" t="s">
        <v>440</v>
      </c>
      <c r="D127" t="str">
        <f>'BOBOT PEK'!C36</f>
        <v>Pemadatan dan peninggian lantai parkir</v>
      </c>
      <c r="E127" s="241">
        <f>'BOBOT PEK'!J36</f>
        <v>0.70994895972514405</v>
      </c>
      <c r="F127">
        <f>100/('BOBOT PEK'!V36-'BOBOT PEK'!U36+1)</f>
        <v>25</v>
      </c>
      <c r="G127">
        <f t="shared" si="2"/>
        <v>0.17748723993128601</v>
      </c>
      <c r="H127">
        <f>MIN(100,($A127-'BOBOT PEK'!U36+1)/('BOBOT PEK'!V36-'BOBOT PEK'!U36+1)*100)</f>
        <v>25</v>
      </c>
      <c r="I127">
        <f>IFERROR(SUM(INDEX(TS!$M:$AB,27,1):INDEX(TS!$M:$AB,27,$A127))/TS!$L$17*100,0)</f>
        <v>965.15333243562134</v>
      </c>
      <c r="J127">
        <f t="shared" si="3"/>
        <v>0</v>
      </c>
      <c r="O127" t="str">
        <f>IF(I127&gt;=99.9,"COMPLETED",IF('BOBOT PEK'!U36&gt;$J$7,"NOT STARTED",IF('BOBOT PEK'!V36&lt;$J$7,"CRITICAL",IF(I127+1&lt;H127,"DELAYED","ON SCHEDULE"))))</f>
        <v>COMPLETED</v>
      </c>
      <c r="Q127" t="str">
        <f>IFERROR(IF(AND($A127=$B$8,'BOBOT PEK'!U36&lt;=$B$8,$B$8&lt;='BOBOT PEK'!V36),COUNTIFS($A$17:$A127,$B$8),""),"")</f>
        <v/>
      </c>
    </row>
    <row r="128" spans="1:17" ht="12.75" customHeight="1" x14ac:dyDescent="0.2">
      <c r="A128">
        <f>IFERROR(IF(COUNTIF($C$17:C128,C128)&lt;=('BOBOT PEK'!V37-'BOBOT PEK'!U37+1),'BOBOT PEK'!U37+COUNTIF($C$17:C128,C128)-1,0),0)</f>
        <v>8</v>
      </c>
      <c r="B128" t="str">
        <f>IFERROR(TEXT(INDEX('KALENDER MINGGU'!$B$6:$B$21,$A128),"dd/mm")&amp;" - "&amp;TEXT(INDEX('KALENDER MINGGU'!$C$6:$C$21,$A128),"dd/mm"),"")</f>
        <v>10/09 - 16/09</v>
      </c>
      <c r="C128" t="s">
        <v>441</v>
      </c>
      <c r="D128" t="str">
        <f>'BOBOT PEK'!C37</f>
        <v>Pasang paving block lantai parkir</v>
      </c>
      <c r="E128" s="241">
        <f>'BOBOT PEK'!J37</f>
        <v>0.44016835502958929</v>
      </c>
      <c r="F128">
        <f>100/('BOBOT PEK'!V37-'BOBOT PEK'!U37+1)</f>
        <v>33.333333333333336</v>
      </c>
      <c r="G128">
        <f t="shared" si="2"/>
        <v>0.1467227850098631</v>
      </c>
      <c r="H128">
        <f>MIN(100,($A128-'BOBOT PEK'!U37+1)/('BOBOT PEK'!V37-'BOBOT PEK'!U37+1)*100)</f>
        <v>33.333333333333329</v>
      </c>
      <c r="I128">
        <f>IFERROR(SUM(INDEX(TS!$M:$AB,27,1):INDEX(TS!$M:$AB,27,$A128))/TS!$L$17*100,0)</f>
        <v>1103.0323799264245</v>
      </c>
      <c r="J128">
        <f t="shared" si="3"/>
        <v>0</v>
      </c>
      <c r="O128" t="str">
        <f>IF(I128&gt;=99.9,"COMPLETED",IF('BOBOT PEK'!U37&gt;$J$7,"NOT STARTED",IF('BOBOT PEK'!V37&lt;$J$7,"CRITICAL",IF(I128+1&lt;H128,"DELAYED","ON SCHEDULE"))))</f>
        <v>COMPLETED</v>
      </c>
      <c r="Q128" t="str">
        <f>IFERROR(IF(AND($A128=$B$8,'BOBOT PEK'!U37&lt;=$B$8,$B$8&lt;='BOBOT PEK'!V37),COUNTIFS($A$17:$A128,$B$8),""),"")</f>
        <v/>
      </c>
    </row>
    <row r="129" spans="1:17" ht="12.75" customHeight="1" x14ac:dyDescent="0.2">
      <c r="A129">
        <f>IFERROR(IF(COUNTIF($C$17:C129,C129)&lt;=('BOBOT PEK'!V38-'BOBOT PEK'!U38+1),'BOBOT PEK'!U38+COUNTIF($C$17:C129,C129)-1,0),0)</f>
        <v>9</v>
      </c>
      <c r="B129" t="str">
        <f>IFERROR(TEXT(INDEX('KALENDER MINGGU'!$B$6:$B$21,$A129),"dd/mm")&amp;" - "&amp;TEXT(INDEX('KALENDER MINGGU'!$C$6:$C$21,$A129),"dd/mm"),"")</f>
        <v>17/09 - 23/09</v>
      </c>
      <c r="C129" t="s">
        <v>442</v>
      </c>
      <c r="D129" t="str">
        <f>'BOBOT PEK'!C38</f>
        <v>Instalasi penerangan + downlight exposed + bohlam 12 w</v>
      </c>
      <c r="E129" s="241">
        <f>'BOBOT PEK'!J38</f>
        <v>9.3124836518901771E-2</v>
      </c>
      <c r="F129">
        <f>100/('BOBOT PEK'!V38-'BOBOT PEK'!U38+1)</f>
        <v>50</v>
      </c>
      <c r="G129">
        <f t="shared" si="2"/>
        <v>4.6562418259450886E-2</v>
      </c>
      <c r="H129">
        <f>MIN(100,($A129-'BOBOT PEK'!U38+1)/('BOBOT PEK'!V38-'BOBOT PEK'!U38+1)*100)</f>
        <v>50</v>
      </c>
      <c r="I129">
        <f>IFERROR(SUM(INDEX(TS!$M:$AB,27,1):INDEX(TS!$M:$AB,27,$A129))/TS!$L$17*100,0)</f>
        <v>1240.9114274172277</v>
      </c>
      <c r="J129">
        <f t="shared" si="3"/>
        <v>0</v>
      </c>
      <c r="O129" t="str">
        <f>IF(I129&gt;=99.9,"COMPLETED",IF('BOBOT PEK'!U38&gt;$J$7,"NOT STARTED",IF('BOBOT PEK'!V38&lt;$J$7,"CRITICAL",IF(I129+1&lt;H129,"DELAYED","ON SCHEDULE"))))</f>
        <v>COMPLETED</v>
      </c>
      <c r="Q129" t="str">
        <f>IFERROR(IF(AND($A129=$B$8,'BOBOT PEK'!U38&lt;=$B$8,$B$8&lt;='BOBOT PEK'!V38),COUNTIFS($A$17:$A129,$B$8),""),"")</f>
        <v/>
      </c>
    </row>
    <row r="130" spans="1:17" ht="12.75" customHeight="1" x14ac:dyDescent="0.2">
      <c r="A130">
        <f>IFERROR(IF(COUNTIF($C$17:C130,C130)&lt;=('BOBOT PEK'!V39-'BOBOT PEK'!U39+1),'BOBOT PEK'!U39+COUNTIF($C$17:C130,C130)-1,0),0)</f>
        <v>9</v>
      </c>
      <c r="B130" t="str">
        <f>IFERROR(TEXT(INDEX('KALENDER MINGGU'!$B$6:$B$21,$A130),"dd/mm")&amp;" - "&amp;TEXT(INDEX('KALENDER MINGGU'!$C$6:$C$21,$A130),"dd/mm"),"")</f>
        <v>17/09 - 23/09</v>
      </c>
      <c r="C130" t="s">
        <v>443</v>
      </c>
      <c r="D130" t="str">
        <f>'BOBOT PEK'!C39</f>
        <v>Perapian kabel existing dan dinding existing</v>
      </c>
      <c r="E130" s="241">
        <f>'BOBOT PEK'!J39</f>
        <v>0.11512685833380715</v>
      </c>
      <c r="F130">
        <f>100/('BOBOT PEK'!V39-'BOBOT PEK'!U39+1)</f>
        <v>50</v>
      </c>
      <c r="G130">
        <f t="shared" si="2"/>
        <v>5.7563429166903574E-2</v>
      </c>
      <c r="H130">
        <f>MIN(100,($A130-'BOBOT PEK'!U39+1)/('BOBOT PEK'!V39-'BOBOT PEK'!U39+1)*100)</f>
        <v>50</v>
      </c>
      <c r="I130">
        <f>IFERROR(SUM(INDEX(TS!$M:$AB,27,1):INDEX(TS!$M:$AB,27,$A130))/TS!$L$17*100,0)</f>
        <v>1240.9114274172277</v>
      </c>
      <c r="J130">
        <f t="shared" si="3"/>
        <v>0</v>
      </c>
      <c r="O130" t="str">
        <f>IF(I130&gt;=99.9,"COMPLETED",IF('BOBOT PEK'!U39&gt;$J$7,"NOT STARTED",IF('BOBOT PEK'!V39&lt;$J$7,"CRITICAL",IF(I130+1&lt;H130,"DELAYED","ON SCHEDULE"))))</f>
        <v>COMPLETED</v>
      </c>
      <c r="Q130" t="str">
        <f>IFERROR(IF(AND($A130=$B$8,'BOBOT PEK'!U39&lt;=$B$8,$B$8&lt;='BOBOT PEK'!V39),COUNTIFS($A$17:$A130,$B$8),""),"")</f>
        <v/>
      </c>
    </row>
    <row r="131" spans="1:17" ht="12.75" customHeight="1" x14ac:dyDescent="0.2">
      <c r="A131">
        <f>IFERROR(IF(COUNTIF($C$17:C131,C131)&lt;=('BOBOT PEK'!V40-'BOBOT PEK'!U40+1),'BOBOT PEK'!U40+COUNTIF($C$17:C131,C131)-1,0),0)</f>
        <v>7</v>
      </c>
      <c r="B131" t="str">
        <f>IFERROR(TEXT(INDEX('KALENDER MINGGU'!$B$6:$B$21,$A131),"dd/mm")&amp;" - "&amp;TEXT(INDEX('KALENDER MINGGU'!$C$6:$C$21,$A131),"dd/mm"),"")</f>
        <v>03/09 - 09/09</v>
      </c>
      <c r="C131" t="s">
        <v>444</v>
      </c>
      <c r="D131" t="str">
        <f>'BOBOT PEK'!C40</f>
        <v>Pembuatan saluran bawah paving</v>
      </c>
      <c r="E131" s="241">
        <f>'BOBOT PEK'!J40</f>
        <v>9.2101486667045707E-2</v>
      </c>
      <c r="F131">
        <f>100/('BOBOT PEK'!V40-'BOBOT PEK'!U40+1)</f>
        <v>33.333333333333336</v>
      </c>
      <c r="G131">
        <f t="shared" si="2"/>
        <v>3.0700495555681905E-2</v>
      </c>
      <c r="H131">
        <f>MIN(100,($A131-'BOBOT PEK'!U40+1)/('BOBOT PEK'!V40-'BOBOT PEK'!U40+1)*100)</f>
        <v>33.333333333333329</v>
      </c>
      <c r="I131">
        <f>IFERROR(SUM(INDEX(TS!$M:$AB,27,1):INDEX(TS!$M:$AB,27,$A131))/TS!$L$17*100,0)</f>
        <v>965.15333243562134</v>
      </c>
      <c r="J131">
        <f t="shared" si="3"/>
        <v>0</v>
      </c>
      <c r="O131" t="str">
        <f>IF(I131&gt;=99.9,"COMPLETED",IF('BOBOT PEK'!U40&gt;$J$7,"NOT STARTED",IF('BOBOT PEK'!V40&lt;$J$7,"CRITICAL",IF(I131+1&lt;H131,"DELAYED","ON SCHEDULE"))))</f>
        <v>COMPLETED</v>
      </c>
      <c r="Q131" t="str">
        <f>IFERROR(IF(AND($A131=$B$8,'BOBOT PEK'!U40&lt;=$B$8,$B$8&lt;='BOBOT PEK'!V40),COUNTIFS($A$17:$A131,$B$8),""),"")</f>
        <v/>
      </c>
    </row>
    <row r="132" spans="1:17" ht="12.75" customHeight="1" x14ac:dyDescent="0.2">
      <c r="A132">
        <f>IFERROR(IF(COUNTIF($C$17:C132,C132)&lt;=('BOBOT PEK'!V41-'BOBOT PEK'!U41+1),'BOBOT PEK'!U41+COUNTIF($C$17:C132,C132)-1,0),0)</f>
        <v>9</v>
      </c>
      <c r="B132" t="str">
        <f>IFERROR(TEXT(INDEX('KALENDER MINGGU'!$B$6:$B$21,$A132),"dd/mm")&amp;" - "&amp;TEXT(INDEX('KALENDER MINGGU'!$C$6:$C$21,$A132),"dd/mm"),"")</f>
        <v>17/09 - 23/09</v>
      </c>
      <c r="C132" t="s">
        <v>445</v>
      </c>
      <c r="D132" t="str">
        <f>'BOBOT PEK'!C41</f>
        <v>Pembongkaran besi kerangkeng motor</v>
      </c>
      <c r="E132" s="241">
        <f>'BOBOT PEK'!J41</f>
        <v>2.5583746296401588E-2</v>
      </c>
      <c r="F132">
        <f>100/('BOBOT PEK'!V41-'BOBOT PEK'!U41+1)</f>
        <v>50</v>
      </c>
      <c r="G132">
        <f t="shared" si="2"/>
        <v>1.2791873148200794E-2</v>
      </c>
      <c r="H132">
        <f>MIN(100,($A132-'BOBOT PEK'!U41+1)/('BOBOT PEK'!V41-'BOBOT PEK'!U41+1)*100)</f>
        <v>50</v>
      </c>
      <c r="I132">
        <f>IFERROR(SUM(INDEX(TS!$M:$AB,27,1):INDEX(TS!$M:$AB,27,$A132))/TS!$L$17*100,0)</f>
        <v>1240.9114274172277</v>
      </c>
      <c r="J132">
        <f t="shared" si="3"/>
        <v>0</v>
      </c>
      <c r="O132" t="str">
        <f>IF(I132&gt;=99.9,"COMPLETED",IF('BOBOT PEK'!U41&gt;$J$7,"NOT STARTED",IF('BOBOT PEK'!V41&lt;$J$7,"CRITICAL",IF(I132+1&lt;H132,"DELAYED","ON SCHEDULE"))))</f>
        <v>COMPLETED</v>
      </c>
      <c r="Q132" t="str">
        <f>IFERROR(IF(AND($A132=$B$8,'BOBOT PEK'!U41&lt;=$B$8,$B$8&lt;='BOBOT PEK'!V41),COUNTIFS($A$17:$A132,$B$8),""),"")</f>
        <v/>
      </c>
    </row>
    <row r="133" spans="1:17" ht="12.75" customHeight="1" x14ac:dyDescent="0.2">
      <c r="A133">
        <f>IFERROR(IF(COUNTIF($C$17:C133,C133)&lt;=('BOBOT PEK'!V45-'BOBOT PEK'!U45+1),'BOBOT PEK'!U45+COUNTIF($C$17:C133,C133)-1,0),0)</f>
        <v>6</v>
      </c>
      <c r="B133" t="str">
        <f>IFERROR(TEXT(INDEX('KALENDER MINGGU'!$B$6:$B$21,$A133),"dd/mm")&amp;" - "&amp;TEXT(INDEX('KALENDER MINGGU'!$C$6:$C$21,$A133),"dd/mm"),"")</f>
        <v>27/08 - 02/09</v>
      </c>
      <c r="C133" t="s">
        <v>446</v>
      </c>
      <c r="D133" t="str">
        <f>'BOBOT PEK'!C45</f>
        <v>Pekerjaan bongkaran dinding pagar existing</v>
      </c>
      <c r="E133" s="241">
        <f>'BOBOT PEK'!J45</f>
        <v>0.12382533207458367</v>
      </c>
      <c r="F133">
        <f>100/('BOBOT PEK'!V45-'BOBOT PEK'!U45+1)</f>
        <v>25</v>
      </c>
      <c r="G133">
        <f t="shared" si="2"/>
        <v>3.0956333018645917E-2</v>
      </c>
      <c r="H133">
        <f>MIN(100,($A133-'BOBOT PEK'!U45+1)/('BOBOT PEK'!V45-'BOBOT PEK'!U45+1)*100)</f>
        <v>75</v>
      </c>
      <c r="I133">
        <f>IFERROR(SUM(INDEX(TS!$M:$AB,29,1):INDEX(TS!$M:$AB,29,$A133))/TS!$L$19*100,0)</f>
        <v>0</v>
      </c>
      <c r="J133">
        <f t="shared" si="3"/>
        <v>100</v>
      </c>
      <c r="O133" t="str">
        <f ca="1">IF(I133&gt;=99.9,"COMPLETED",IF('BOBOT PEK'!U45&gt;$J$7,"NOT STARTED",IF('BOBOT PEK'!V45&lt;$J$7,"CRITICAL",IF(I133+1&lt;H133,"DELAYED","ON SCHEDULE"))))</f>
        <v>CRITICAL</v>
      </c>
      <c r="Q133">
        <f>IFERROR(IF(AND($A133=$B$8,'BOBOT PEK'!U45&lt;=$B$8,$B$8&lt;='BOBOT PEK'!V45),COUNTIFS($A$17:$A133,$B$8),""),"")</f>
        <v>5</v>
      </c>
    </row>
    <row r="134" spans="1:17" ht="12.75" customHeight="1" x14ac:dyDescent="0.2">
      <c r="A134">
        <f>IFERROR(IF(COUNTIF($C$17:C134,C134)&lt;=('BOBOT PEK'!V46-'BOBOT PEK'!U46+1),'BOBOT PEK'!U46+COUNTIF($C$17:C134,C134)-1,0),0)</f>
        <v>6</v>
      </c>
      <c r="B134" t="str">
        <f>IFERROR(TEXT(INDEX('KALENDER MINGGU'!$B$6:$B$21,$A134),"dd/mm")&amp;" - "&amp;TEXT(INDEX('KALENDER MINGGU'!$C$6:$C$21,$A134),"dd/mm"),"")</f>
        <v>27/08 - 02/09</v>
      </c>
      <c r="C134" t="s">
        <v>447</v>
      </c>
      <c r="D134" t="str">
        <f>'BOBOT PEK'!C46</f>
        <v>Pekerjaan pasangan pagar precast sisi barat</v>
      </c>
      <c r="E134" s="241">
        <f>'BOBOT PEK'!J46</f>
        <v>0.90950218083707646</v>
      </c>
      <c r="F134">
        <f>100/('BOBOT PEK'!V46-'BOBOT PEK'!U46+1)</f>
        <v>20</v>
      </c>
      <c r="G134">
        <f t="shared" si="2"/>
        <v>0.1819004361674153</v>
      </c>
      <c r="H134">
        <f>MIN(100,($A134-'BOBOT PEK'!U46+1)/('BOBOT PEK'!V46-'BOBOT PEK'!U46+1)*100)</f>
        <v>20</v>
      </c>
      <c r="I134">
        <f>IFERROR(SUM(INDEX(TS!$M:$AB,29,1):INDEX(TS!$M:$AB,29,$A134))/TS!$L$19*100,0)</f>
        <v>0</v>
      </c>
      <c r="J134">
        <f t="shared" si="3"/>
        <v>100</v>
      </c>
      <c r="O134" t="str">
        <f ca="1">IF(I134&gt;=99.9,"COMPLETED",IF('BOBOT PEK'!U46&gt;$J$7,"NOT STARTED",IF('BOBOT PEK'!V46&lt;$J$7,"CRITICAL",IF(I134+1&lt;H134,"DELAYED","ON SCHEDULE"))))</f>
        <v>DELAYED</v>
      </c>
      <c r="Q134">
        <f>IFERROR(IF(AND($A134=$B$8,'BOBOT PEK'!U46&lt;=$B$8,$B$8&lt;='BOBOT PEK'!V46),COUNTIFS($A$17:$A134,$B$8),""),"")</f>
        <v>6</v>
      </c>
    </row>
    <row r="135" spans="1:17" ht="12.75" customHeight="1" x14ac:dyDescent="0.2">
      <c r="A135">
        <f>IFERROR(IF(COUNTIF($C$17:C135,C135)&lt;=('BOBOT PEK'!V62-'BOBOT PEK'!U62+1),'BOBOT PEK'!U62+COUNTIF($C$17:C135,C135)-1,0),0)</f>
        <v>7</v>
      </c>
      <c r="B135" t="str">
        <f>IFERROR(TEXT(INDEX('KALENDER MINGGU'!$B$6:$B$21,$A135),"dd/mm")&amp;" - "&amp;TEXT(INDEX('KALENDER MINGGU'!$C$6:$C$21,$A135),"dd/mm"),"")</f>
        <v>03/09 - 09/09</v>
      </c>
      <c r="C135" t="s">
        <v>457</v>
      </c>
      <c r="D135" t="str">
        <f>'BOBOT PEK'!C62</f>
        <v>Pekerjaan refinishing kanopi genset</v>
      </c>
      <c r="E135" s="241">
        <f>'BOBOT PEK'!J62</f>
        <v>4.6050743333522853E-2</v>
      </c>
      <c r="F135">
        <f>100/('BOBOT PEK'!V62-'BOBOT PEK'!U62+1)</f>
        <v>50</v>
      </c>
      <c r="G135">
        <f t="shared" si="2"/>
        <v>2.3025371666761427E-2</v>
      </c>
      <c r="H135">
        <f>MIN(100,($A135-'BOBOT PEK'!U62+1)/('BOBOT PEK'!V62-'BOBOT PEK'!U62+1)*100)</f>
        <v>50</v>
      </c>
      <c r="I135">
        <f>IFERROR(SUM(INDEX(TS!$M:$AB,33,1):INDEX(TS!$M:$AB,33,$A135))/TS!$L$23*100,0)</f>
        <v>383.41968911917104</v>
      </c>
      <c r="J135">
        <f t="shared" si="3"/>
        <v>0</v>
      </c>
      <c r="O135" t="str">
        <f>IF(I135&gt;=99.9,"COMPLETED",IF('BOBOT PEK'!U62&gt;$J$7,"NOT STARTED",IF('BOBOT PEK'!V62&lt;$J$7,"CRITICAL",IF(I135+1&lt;H135,"DELAYED","ON SCHEDULE"))))</f>
        <v>COMPLETED</v>
      </c>
      <c r="Q135" t="str">
        <f>IFERROR(IF(AND($A135=$B$8,'BOBOT PEK'!U62&lt;=$B$8,$B$8&lt;='BOBOT PEK'!V62),COUNTIFS($A$17:$A135,$B$8),""),"")</f>
        <v/>
      </c>
    </row>
    <row r="136" spans="1:17" ht="12.75" customHeight="1" x14ac:dyDescent="0.2">
      <c r="A136">
        <f>IFERROR(IF(COUNTIF($C$17:C136,C136)&lt;=('BOBOT PEK'!V63-'BOBOT PEK'!U63+1),'BOBOT PEK'!U63+COUNTIF($C$17:C136,C136)-1,0),0)</f>
        <v>7</v>
      </c>
      <c r="B136" t="str">
        <f>IFERROR(TEXT(INDEX('KALENDER MINGGU'!$B$6:$B$21,$A136),"dd/mm")&amp;" - "&amp;TEXT(INDEX('KALENDER MINGGU'!$C$6:$C$21,$A136),"dd/mm"),"")</f>
        <v>03/09 - 09/09</v>
      </c>
      <c r="C136" t="s">
        <v>458</v>
      </c>
      <c r="D136" t="str">
        <f>'BOBOT PEK'!C63</f>
        <v>Cat rangka kolom dan atap jembatan timbang</v>
      </c>
      <c r="E136" s="241">
        <f>'BOBOT PEK'!J63</f>
        <v>0.32427398430689014</v>
      </c>
      <c r="F136">
        <f>100/('BOBOT PEK'!V63-'BOBOT PEK'!U63+1)</f>
        <v>50</v>
      </c>
      <c r="G136">
        <f t="shared" si="2"/>
        <v>0.16213699215344507</v>
      </c>
      <c r="H136">
        <f>MIN(100,($A136-'BOBOT PEK'!U63+1)/('BOBOT PEK'!V63-'BOBOT PEK'!U63+1)*100)</f>
        <v>50</v>
      </c>
      <c r="I136">
        <f>IFERROR(SUM(INDEX(TS!$M:$AB,33,1):INDEX(TS!$M:$AB,33,$A136))/TS!$L$23*100,0)</f>
        <v>383.41968911917104</v>
      </c>
      <c r="J136">
        <f t="shared" si="3"/>
        <v>0</v>
      </c>
      <c r="O136" t="str">
        <f>IF(I136&gt;=99.9,"COMPLETED",IF('BOBOT PEK'!U63&gt;$J$7,"NOT STARTED",IF('BOBOT PEK'!V63&lt;$J$7,"CRITICAL",IF(I136+1&lt;H136,"DELAYED","ON SCHEDULE"))))</f>
        <v>COMPLETED</v>
      </c>
      <c r="Q136" t="str">
        <f>IFERROR(IF(AND($A136=$B$8,'BOBOT PEK'!U63&lt;=$B$8,$B$8&lt;='BOBOT PEK'!V63),COUNTIFS($A$17:$A136,$B$8),""),"")</f>
        <v/>
      </c>
    </row>
    <row r="137" spans="1:17" ht="12.75" customHeight="1" x14ac:dyDescent="0.2">
      <c r="A137">
        <f>IFERROR(IF(COUNTIF($C$17:C137,C137)&lt;=('BOBOT PEK'!V67-'BOBOT PEK'!U67+1),'BOBOT PEK'!U67+COUNTIF($C$17:C137,C137)-1,0),0)</f>
        <v>6</v>
      </c>
      <c r="B137" t="str">
        <f>IFERROR(TEXT(INDEX('KALENDER MINGGU'!$B$6:$B$21,$A137),"dd/mm")&amp;" - "&amp;TEXT(INDEX('KALENDER MINGGU'!$C$6:$C$21,$A137),"dd/mm"),"")</f>
        <v>27/08 - 02/09</v>
      </c>
      <c r="C137" t="s">
        <v>459</v>
      </c>
      <c r="D137" t="str">
        <f>'BOBOT PEK'!C67</f>
        <v>Kansteen dan ban-banan area dalam taman</v>
      </c>
      <c r="E137" s="241">
        <f>'BOBOT PEK'!J67</f>
        <v>0.81867988148485082</v>
      </c>
      <c r="F137">
        <f>100/('BOBOT PEK'!V67-'BOBOT PEK'!U67+1)</f>
        <v>14.285714285714286</v>
      </c>
      <c r="G137">
        <f t="shared" si="2"/>
        <v>0.11695426878355013</v>
      </c>
      <c r="H137">
        <f>MIN(100,($A137-'BOBOT PEK'!U67+1)/('BOBOT PEK'!V67-'BOBOT PEK'!U67+1)*100)</f>
        <v>42.857142857142854</v>
      </c>
      <c r="I137">
        <f>IFERROR(SUM(INDEX(TS!$M:$AB,35,1):INDEX(TS!$M:$AB,35,$A137))/TS!$L$25*100,0)</f>
        <v>0</v>
      </c>
      <c r="J137">
        <f t="shared" si="3"/>
        <v>100</v>
      </c>
      <c r="O137" t="str">
        <f ca="1">IF(I137&gt;=99.9,"COMPLETED",IF('BOBOT PEK'!U67&gt;$J$7,"NOT STARTED",IF('BOBOT PEK'!V67&lt;$J$7,"CRITICAL",IF(I137+1&lt;H137,"DELAYED","ON SCHEDULE"))))</f>
        <v>DELAYED</v>
      </c>
      <c r="Q137">
        <f>IFERROR(IF(AND($A137=$B$8,'BOBOT PEK'!U67&lt;=$B$8,$B$8&lt;='BOBOT PEK'!V67),COUNTIFS($A$17:$A137,$B$8),""),"")</f>
        <v>7</v>
      </c>
    </row>
    <row r="138" spans="1:17" ht="12.75" customHeight="1" x14ac:dyDescent="0.2">
      <c r="A138">
        <f>IFERROR(IF(COUNTIF($C$17:C138,C138)&lt;=('BOBOT PEK'!V68-'BOBOT PEK'!U68+1),'BOBOT PEK'!U68+COUNTIF($C$17:C138,C138)-1,0),0)</f>
        <v>6</v>
      </c>
      <c r="B138" t="str">
        <f>IFERROR(TEXT(INDEX('KALENDER MINGGU'!$B$6:$B$21,$A138),"dd/mm")&amp;" - "&amp;TEXT(INDEX('KALENDER MINGGU'!$C$6:$C$21,$A138),"dd/mm"),"")</f>
        <v>27/08 - 02/09</v>
      </c>
      <c r="C138" t="s">
        <v>460</v>
      </c>
      <c r="D138" t="str">
        <f>'BOBOT PEK'!C68</f>
        <v>Instalasi penerangan lampu taman</v>
      </c>
      <c r="E138" s="241">
        <f>'BOBOT PEK'!J68</f>
        <v>0.13469842425055434</v>
      </c>
      <c r="F138">
        <f>100/('BOBOT PEK'!V68-'BOBOT PEK'!U68+1)</f>
        <v>33.333333333333336</v>
      </c>
      <c r="G138">
        <f t="shared" si="2"/>
        <v>4.4899474750184784E-2</v>
      </c>
      <c r="H138">
        <f>MIN(100,($A138-'BOBOT PEK'!U68+1)/('BOBOT PEK'!V68-'BOBOT PEK'!U68+1)*100)</f>
        <v>33.333333333333329</v>
      </c>
      <c r="I138">
        <f>IFERROR(SUM(INDEX(TS!$M:$AB,35,1):INDEX(TS!$M:$AB,35,$A138))/TS!$L$25*100,0)</f>
        <v>0</v>
      </c>
      <c r="J138">
        <f t="shared" si="3"/>
        <v>100</v>
      </c>
      <c r="O138" t="str">
        <f ca="1">IF(I138&gt;=99.9,"COMPLETED",IF('BOBOT PEK'!U68&gt;$J$7,"NOT STARTED",IF('BOBOT PEK'!V68&lt;$J$7,"CRITICAL",IF(I138+1&lt;H138,"DELAYED","ON SCHEDULE"))))</f>
        <v>CRITICAL</v>
      </c>
      <c r="Q138">
        <f>IFERROR(IF(AND($A138=$B$8,'BOBOT PEK'!U68&lt;=$B$8,$B$8&lt;='BOBOT PEK'!V68),COUNTIFS($A$17:$A138,$B$8),""),"")</f>
        <v>8</v>
      </c>
    </row>
    <row r="139" spans="1:17" ht="12.75" customHeight="1" x14ac:dyDescent="0.2">
      <c r="A139">
        <f>IFERROR(IF(COUNTIF($C$17:C139,C139)&lt;=('BOBOT PEK'!V77-'BOBOT PEK'!U77+1),'BOBOT PEK'!U77+COUNTIF($C$17:C139,C139)-1,0),0)</f>
        <v>6</v>
      </c>
      <c r="B139" t="str">
        <f>IFERROR(TEXT(INDEX('KALENDER MINGGU'!$B$6:$B$21,$A139),"dd/mm")&amp;" - "&amp;TEXT(INDEX('KALENDER MINGGU'!$C$6:$C$21,$A139),"dd/mm"),"")</f>
        <v>27/08 - 02/09</v>
      </c>
      <c r="C139" t="s">
        <v>464</v>
      </c>
      <c r="D139" t="str">
        <f>'BOBOT PEK'!C77</f>
        <v xml:space="preserve">Pengupasan aspal existing </v>
      </c>
      <c r="E139" s="241">
        <f>'BOBOT PEK'!J77</f>
        <v>3.3576108639397444</v>
      </c>
      <c r="F139">
        <f>100/('BOBOT PEK'!V77-'BOBOT PEK'!U77+1)</f>
        <v>6.25</v>
      </c>
      <c r="G139">
        <f t="shared" si="2"/>
        <v>0.20985067899623402</v>
      </c>
      <c r="H139">
        <f>MIN(100,($A139-'BOBOT PEK'!U77+1)/('BOBOT PEK'!V77-'BOBOT PEK'!U77+1)*100)</f>
        <v>37.5</v>
      </c>
      <c r="I139">
        <f>IFERROR(SUM(INDEX(TS!$M:$AB,37,1):INDEX(TS!$M:$AB,37,$A139))/TS!$L$27*100,0)</f>
        <v>0</v>
      </c>
      <c r="J139">
        <f t="shared" si="3"/>
        <v>100</v>
      </c>
      <c r="N139" t="s">
        <v>720</v>
      </c>
      <c r="O139" t="str">
        <f ca="1">IF(I139&gt;=99.9,"COMPLETED",IF('BOBOT PEK'!U77&gt;$J$7,"NOT STARTED",IF('BOBOT PEK'!V77&lt;$J$7,"CRITICAL",IF(I139+1&lt;H139,"DELAYED","ON SCHEDULE"))))</f>
        <v>DELAYED</v>
      </c>
      <c r="Q139">
        <f>IFERROR(IF(AND($A139=$B$8,'BOBOT PEK'!U77&lt;=$B$8,$B$8&lt;='BOBOT PEK'!V77),COUNTIFS($A$17:$A139,$B$8),""),"")</f>
        <v>9</v>
      </c>
    </row>
    <row r="140" spans="1:17" ht="12.75" customHeight="1" x14ac:dyDescent="0.2">
      <c r="A140">
        <f>IFERROR(IF(COUNTIF($C$17:C140,C140)&lt;=('BOBOT PEK'!V78-'BOBOT PEK'!U78+1),'BOBOT PEK'!U78+COUNTIF($C$17:C140,C140)-1,0),0)</f>
        <v>6</v>
      </c>
      <c r="B140" t="str">
        <f>IFERROR(TEXT(INDEX('KALENDER MINGGU'!$B$6:$B$21,$A140),"dd/mm")&amp;" - "&amp;TEXT(INDEX('KALENDER MINGGU'!$C$6:$C$21,$A140),"dd/mm"),"")</f>
        <v>27/08 - 02/09</v>
      </c>
      <c r="C140" t="s">
        <v>465</v>
      </c>
      <c r="D140" t="str">
        <f>'BOBOT PEK'!C78</f>
        <v xml:space="preserve">Pengupasan beton existing </v>
      </c>
      <c r="E140" s="241">
        <f>'BOBOT PEK'!J78</f>
        <v>1.9430855312117006</v>
      </c>
      <c r="F140">
        <f>100/('BOBOT PEK'!V78-'BOBOT PEK'!U78+1)</f>
        <v>6.25</v>
      </c>
      <c r="G140">
        <f t="shared" si="2"/>
        <v>0.12144284570073129</v>
      </c>
      <c r="H140">
        <f>MIN(100,($A140-'BOBOT PEK'!U78+1)/('BOBOT PEK'!V78-'BOBOT PEK'!U78+1)*100)</f>
        <v>37.5</v>
      </c>
      <c r="I140">
        <f>IFERROR(SUM(INDEX(TS!$M:$AB,37,1):INDEX(TS!$M:$AB,37,$A140))/TS!$L$27*100,0)</f>
        <v>0</v>
      </c>
      <c r="J140">
        <f t="shared" si="3"/>
        <v>100</v>
      </c>
      <c r="N140" t="s">
        <v>720</v>
      </c>
      <c r="O140" t="str">
        <f ca="1">IF(I140&gt;=99.9,"COMPLETED",IF('BOBOT PEK'!U78&gt;$J$7,"NOT STARTED",IF('BOBOT PEK'!V78&lt;$J$7,"CRITICAL",IF(I140+1&lt;H140,"DELAYED","ON SCHEDULE"))))</f>
        <v>DELAYED</v>
      </c>
      <c r="Q140">
        <f>IFERROR(IF(AND($A140=$B$8,'BOBOT PEK'!U78&lt;=$B$8,$B$8&lt;='BOBOT PEK'!V78),COUNTIFS($A$17:$A140,$B$8),""),"")</f>
        <v>10</v>
      </c>
    </row>
    <row r="141" spans="1:17" ht="12.75" customHeight="1" x14ac:dyDescent="0.2">
      <c r="A141">
        <f>IFERROR(IF(COUNTIF($C$17:C141,C141)&lt;=('BOBOT PEK'!V79-'BOBOT PEK'!U79+1),'BOBOT PEK'!U79+COUNTIF($C$17:C141,C141)-1,0),0)</f>
        <v>6</v>
      </c>
      <c r="B141" t="str">
        <f>IFERROR(TEXT(INDEX('KALENDER MINGGU'!$B$6:$B$21,$A141),"dd/mm")&amp;" - "&amp;TEXT(INDEX('KALENDER MINGGU'!$C$6:$C$21,$A141),"dd/mm"),"")</f>
        <v>27/08 - 02/09</v>
      </c>
      <c r="C141" t="s">
        <v>466</v>
      </c>
      <c r="D141" t="str">
        <f>'BOBOT PEK'!C79</f>
        <v>Pembuangan puing sewa truk</v>
      </c>
      <c r="E141" s="241">
        <f>'BOBOT PEK'!J79</f>
        <v>3.3766707549305637</v>
      </c>
      <c r="F141">
        <f>100/('BOBOT PEK'!V79-'BOBOT PEK'!U79+1)</f>
        <v>6.25</v>
      </c>
      <c r="G141">
        <f t="shared" si="2"/>
        <v>0.21104192218316023</v>
      </c>
      <c r="H141">
        <f>MIN(100,($A141-'BOBOT PEK'!U79+1)/('BOBOT PEK'!V79-'BOBOT PEK'!U79+1)*100)</f>
        <v>37.5</v>
      </c>
      <c r="I141">
        <f>IFERROR(SUM(INDEX(TS!$M:$AB,37,1):INDEX(TS!$M:$AB,37,$A141))/TS!$L$27*100,0)</f>
        <v>0</v>
      </c>
      <c r="J141">
        <f t="shared" si="3"/>
        <v>100</v>
      </c>
      <c r="N141" t="s">
        <v>720</v>
      </c>
      <c r="O141" t="str">
        <f ca="1">IF(I141&gt;=99.9,"COMPLETED",IF('BOBOT PEK'!U79&gt;$J$7,"NOT STARTED",IF('BOBOT PEK'!V79&lt;$J$7,"CRITICAL",IF(I141+1&lt;H141,"DELAYED","ON SCHEDULE"))))</f>
        <v>DELAYED</v>
      </c>
      <c r="Q141">
        <f>IFERROR(IF(AND($A141=$B$8,'BOBOT PEK'!U79&lt;=$B$8,$B$8&lt;='BOBOT PEK'!V79),COUNTIFS($A$17:$A141,$B$8),""),"")</f>
        <v>11</v>
      </c>
    </row>
    <row r="142" spans="1:17" ht="12.75" customHeight="1" x14ac:dyDescent="0.2">
      <c r="A142">
        <f>IFERROR(IF(COUNTIF($C$17:C142,C142)&lt;=('BOBOT PEK'!V80-'BOBOT PEK'!U80+1),'BOBOT PEK'!U80+COUNTIF($C$17:C142,C142)-1,0),0)</f>
        <v>6</v>
      </c>
      <c r="B142" t="str">
        <f>IFERROR(TEXT(INDEX('KALENDER MINGGU'!$B$6:$B$21,$A142),"dd/mm")&amp;" - "&amp;TEXT(INDEX('KALENDER MINGGU'!$C$6:$C$21,$A142),"dd/mm"),"")</f>
        <v>27/08 - 02/09</v>
      </c>
      <c r="C142" t="s">
        <v>467</v>
      </c>
      <c r="D142" t="str">
        <f>'BOBOT PEK'!C80</f>
        <v>Besi 13 ulir , kotak 30x30cm</v>
      </c>
      <c r="E142" s="241">
        <f>'BOBOT PEK'!J80</f>
        <v>15.224105695407308</v>
      </c>
      <c r="F142">
        <f>100/('BOBOT PEK'!V80-'BOBOT PEK'!U80+1)</f>
        <v>6.25</v>
      </c>
      <c r="G142">
        <f t="shared" si="2"/>
        <v>0.95150660596295678</v>
      </c>
      <c r="H142">
        <f>MIN(100,($A142-'BOBOT PEK'!U80+1)/('BOBOT PEK'!V80-'BOBOT PEK'!U80+1)*100)</f>
        <v>37.5</v>
      </c>
      <c r="I142">
        <f>IFERROR(SUM(INDEX(TS!$M:$AB,37,1):INDEX(TS!$M:$AB,37,$A142))/TS!$L$27*100,0)</f>
        <v>0</v>
      </c>
      <c r="J142">
        <f t="shared" si="3"/>
        <v>100</v>
      </c>
      <c r="N142" t="s">
        <v>720</v>
      </c>
      <c r="O142" t="str">
        <f ca="1">IF(I142&gt;=99.9,"COMPLETED",IF('BOBOT PEK'!U80&gt;$J$7,"NOT STARTED",IF('BOBOT PEK'!V80&lt;$J$7,"CRITICAL",IF(I142+1&lt;H142,"DELAYED","ON SCHEDULE"))))</f>
        <v>DELAYED</v>
      </c>
      <c r="Q142">
        <f>IFERROR(IF(AND($A142=$B$8,'BOBOT PEK'!U80&lt;=$B$8,$B$8&lt;='BOBOT PEK'!V80),COUNTIFS($A$17:$A142,$B$8),""),"")</f>
        <v>12</v>
      </c>
    </row>
    <row r="143" spans="1:17" ht="12.75" customHeight="1" x14ac:dyDescent="0.2">
      <c r="A143">
        <f>IFERROR(IF(COUNTIF($C$17:C143,C143)&lt;=('BOBOT PEK'!V81-'BOBOT PEK'!U81+1),'BOBOT PEK'!U81+COUNTIF($C$17:C143,C143)-1,0),0)</f>
        <v>6</v>
      </c>
      <c r="B143" t="str">
        <f>IFERROR(TEXT(INDEX('KALENDER MINGGU'!$B$6:$B$21,$A143),"dd/mm")&amp;" - "&amp;TEXT(INDEX('KALENDER MINGGU'!$C$6:$C$21,$A143),"dd/mm"),"")</f>
        <v>27/08 - 02/09</v>
      </c>
      <c r="C143" t="s">
        <v>468</v>
      </c>
      <c r="D143" t="str">
        <f>'BOBOT PEK'!C81</f>
        <v>Cor ready mix K-350 (tanpa trowel dan line cutting)</v>
      </c>
      <c r="E143" s="241">
        <f>'BOBOT PEK'!J81</f>
        <v>18.885237150790225</v>
      </c>
      <c r="F143">
        <f>100/('BOBOT PEK'!V81-'BOBOT PEK'!U81+1)</f>
        <v>6.25</v>
      </c>
      <c r="G143">
        <f t="shared" si="2"/>
        <v>1.1803273219243891</v>
      </c>
      <c r="H143">
        <f>MIN(100,($A143-'BOBOT PEK'!U81+1)/('BOBOT PEK'!V81-'BOBOT PEK'!U81+1)*100)</f>
        <v>37.5</v>
      </c>
      <c r="I143">
        <f>IFERROR(SUM(INDEX(TS!$M:$AB,37,1):INDEX(TS!$M:$AB,37,$A143))/TS!$L$27*100,0)</f>
        <v>0</v>
      </c>
      <c r="J143">
        <f t="shared" si="3"/>
        <v>100</v>
      </c>
      <c r="N143" t="s">
        <v>720</v>
      </c>
      <c r="O143" t="str">
        <f ca="1">IF(I143&gt;=99.9,"COMPLETED",IF('BOBOT PEK'!U81&gt;$J$7,"NOT STARTED",IF('BOBOT PEK'!V81&lt;$J$7,"CRITICAL",IF(I143+1&lt;H143,"DELAYED","ON SCHEDULE"))))</f>
        <v>DELAYED</v>
      </c>
      <c r="Q143">
        <f>IFERROR(IF(AND($A143=$B$8,'BOBOT PEK'!U81&lt;=$B$8,$B$8&lt;='BOBOT PEK'!V81),COUNTIFS($A$17:$A143,$B$8),""),"")</f>
        <v>13</v>
      </c>
    </row>
    <row r="144" spans="1:17" ht="12.75" customHeight="1" x14ac:dyDescent="0.2">
      <c r="A144">
        <f>IFERROR(IF(COUNTIF($C$17:C144,C144)&lt;=('BOBOT PEK'!V85-'BOBOT PEK'!U85+1),'BOBOT PEK'!U85+COUNTIF($C$17:C144,C144)-1,0),0)</f>
        <v>6</v>
      </c>
      <c r="B144" t="str">
        <f>IFERROR(TEXT(INDEX('KALENDER MINGGU'!$B$6:$B$21,$A144),"dd/mm")&amp;" - "&amp;TEXT(INDEX('KALENDER MINGGU'!$C$6:$C$21,$A144),"dd/mm"),"")</f>
        <v>27/08 - 02/09</v>
      </c>
      <c r="C144" t="s">
        <v>469</v>
      </c>
      <c r="D144" t="str">
        <f>'BOBOT PEK'!C85</f>
        <v>Pekerjaan refinishing dinding pagar timur &amp; utara</v>
      </c>
      <c r="E144" s="241">
        <f>'BOBOT PEK'!J85</f>
        <v>1.0803504386044462</v>
      </c>
      <c r="F144">
        <f>100/('BOBOT PEK'!V85-'BOBOT PEK'!U85+1)</f>
        <v>10</v>
      </c>
      <c r="G144">
        <f t="shared" si="2"/>
        <v>0.10803504386044463</v>
      </c>
      <c r="H144">
        <f>MIN(100,($A144-'BOBOT PEK'!U85+1)/('BOBOT PEK'!V85-'BOBOT PEK'!U85+1)*100)</f>
        <v>20</v>
      </c>
      <c r="I144">
        <f>IFERROR(SUM(INDEX(TS!$M:$AB,39,1):INDEX(TS!$M:$AB,39,$A144))/TS!$L$29*100,0)</f>
        <v>0</v>
      </c>
      <c r="J144">
        <f t="shared" si="3"/>
        <v>100</v>
      </c>
      <c r="O144" t="str">
        <f ca="1">IF(I144&gt;=99.9,"COMPLETED",IF('BOBOT PEK'!U85&gt;$J$7,"NOT STARTED",IF('BOBOT PEK'!V85&lt;$J$7,"CRITICAL",IF(I144+1&lt;H144,"DELAYED","ON SCHEDULE"))))</f>
        <v>DELAYED</v>
      </c>
      <c r="Q144">
        <f>IFERROR(IF(AND($A144=$B$8,'BOBOT PEK'!U85&lt;=$B$8,$B$8&lt;='BOBOT PEK'!V85),COUNTIFS($A$17:$A144,$B$8),""),"")</f>
        <v>14</v>
      </c>
    </row>
    <row r="145" spans="1:17" ht="12.75" customHeight="1" x14ac:dyDescent="0.2">
      <c r="A145">
        <f>IFERROR(IF(COUNTIF($C$17:C145,C145)&lt;=('BOBOT PEK'!V86-'BOBOT PEK'!U86+1),'BOBOT PEK'!U86+COUNTIF($C$17:C145,C145)-1,0),0)</f>
        <v>6</v>
      </c>
      <c r="B145" t="str">
        <f>IFERROR(TEXT(INDEX('KALENDER MINGGU'!$B$6:$B$21,$A145),"dd/mm")&amp;" - "&amp;TEXT(INDEX('KALENDER MINGGU'!$C$6:$C$21,$A145),"dd/mm"),"")</f>
        <v>27/08 - 02/09</v>
      </c>
      <c r="C145" t="s">
        <v>470</v>
      </c>
      <c r="D145" t="str">
        <f>'BOBOT PEK'!C86</f>
        <v>Pekerjaan refinishing dinding barat</v>
      </c>
      <c r="E145" s="241">
        <f>'BOBOT PEK'!J86</f>
        <v>0.75906975261423504</v>
      </c>
      <c r="F145">
        <f>100/('BOBOT PEK'!V86-'BOBOT PEK'!U86+1)</f>
        <v>10</v>
      </c>
      <c r="G145">
        <f t="shared" ref="G145:G208" si="4">F145/100*E145</f>
        <v>7.5906975261423509E-2</v>
      </c>
      <c r="H145">
        <f>MIN(100,($A145-'BOBOT PEK'!U86+1)/('BOBOT PEK'!V86-'BOBOT PEK'!U86+1)*100)</f>
        <v>20</v>
      </c>
      <c r="I145">
        <f>IFERROR(SUM(INDEX(TS!$M:$AB,39,1):INDEX(TS!$M:$AB,39,$A145))/TS!$L$29*100,0)</f>
        <v>0</v>
      </c>
      <c r="J145">
        <f t="shared" ref="J145:J208" si="5">MAX(0,100-I145)</f>
        <v>100</v>
      </c>
      <c r="O145" t="str">
        <f ca="1">IF(I145&gt;=99.9,"COMPLETED",IF('BOBOT PEK'!U86&gt;$J$7,"NOT STARTED",IF('BOBOT PEK'!V86&lt;$J$7,"CRITICAL",IF(I145+1&lt;H145,"DELAYED","ON SCHEDULE"))))</f>
        <v>DELAYED</v>
      </c>
      <c r="Q145">
        <f>IFERROR(IF(AND($A145=$B$8,'BOBOT PEK'!U86&lt;=$B$8,$B$8&lt;='BOBOT PEK'!V86),COUNTIFS($A$17:$A145,$B$8),""),"")</f>
        <v>15</v>
      </c>
    </row>
    <row r="146" spans="1:17" ht="12.75" customHeight="1" x14ac:dyDescent="0.2">
      <c r="A146">
        <f>IFERROR(IF(COUNTIF($C$17:C146,C146)&lt;=('BOBOT PEK'!V91-'BOBOT PEK'!U91+1),'BOBOT PEK'!U91+COUNTIF($C$17:C146,C146)-1,0),0)</f>
        <v>7</v>
      </c>
      <c r="B146" t="str">
        <f>IFERROR(TEXT(INDEX('KALENDER MINGGU'!$B$6:$B$21,$A146),"dd/mm")&amp;" - "&amp;TEXT(INDEX('KALENDER MINGGU'!$C$6:$C$21,$A146),"dd/mm"),"")</f>
        <v>03/09 - 09/09</v>
      </c>
      <c r="C146" t="s">
        <v>471</v>
      </c>
      <c r="D146" t="str">
        <f>'BOBOT PEK'!C91</f>
        <v>Ganti rangka atap toilet ( rangka lama sudah lapuk )</v>
      </c>
      <c r="E146" s="241">
        <f>'BOBOT PEK'!J91</f>
        <v>0.92235801335101819</v>
      </c>
      <c r="F146">
        <f>100/('BOBOT PEK'!V91-'BOBOT PEK'!U91+1)</f>
        <v>50</v>
      </c>
      <c r="G146">
        <f t="shared" si="4"/>
        <v>0.4611790066755091</v>
      </c>
      <c r="H146">
        <f>MIN(100,($A146-'BOBOT PEK'!U91+1)/('BOBOT PEK'!V91-'BOBOT PEK'!U91+1)*100)</f>
        <v>100</v>
      </c>
      <c r="I146">
        <f>IFERROR(SUM(INDEX(TS!$M:$AB,41,1):INDEX(TS!$M:$AB,41,$A146))/TS!$L$31*100,0)</f>
        <v>5.3235163113183752</v>
      </c>
      <c r="J146">
        <f t="shared" si="5"/>
        <v>94.676483688681628</v>
      </c>
      <c r="O146" t="str">
        <f ca="1">IF(I146&gt;=99.9,"COMPLETED",IF('BOBOT PEK'!U91&gt;$J$7,"NOT STARTED",IF('BOBOT PEK'!V91&lt;$J$7,"CRITICAL",IF(I146+1&lt;H146,"DELAYED","ON SCHEDULE"))))</f>
        <v>CRITICAL</v>
      </c>
      <c r="Q146" t="str">
        <f>IFERROR(IF(AND($A146=$B$8,'BOBOT PEK'!U91&lt;=$B$8,$B$8&lt;='BOBOT PEK'!V91),COUNTIFS($A$17:$A146,$B$8),""),"")</f>
        <v/>
      </c>
    </row>
    <row r="147" spans="1:17" ht="12.75" customHeight="1" x14ac:dyDescent="0.2">
      <c r="A147">
        <f>IFERROR(IF(COUNTIF($C$17:C147,C147)&lt;=('BOBOT PEK'!V92-'BOBOT PEK'!U92+1),'BOBOT PEK'!U92+COUNTIF($C$17:C147,C147)-1,0),0)</f>
        <v>8</v>
      </c>
      <c r="B147" t="str">
        <f>IFERROR(TEXT(INDEX('KALENDER MINGGU'!$B$6:$B$21,$A147),"dd/mm")&amp;" - "&amp;TEXT(INDEX('KALENDER MINGGU'!$C$6:$C$21,$A147),"dd/mm"),"")</f>
        <v>10/09 - 16/09</v>
      </c>
      <c r="C147" t="s">
        <v>472</v>
      </c>
      <c r="D147" t="str">
        <f>'BOBOT PEK'!C92</f>
        <v>Perbaikan plafond + refinishing cat</v>
      </c>
      <c r="E147" s="241">
        <f>'BOBOT PEK'!J92</f>
        <v>0.49755269797241802</v>
      </c>
      <c r="F147">
        <f>100/('BOBOT PEK'!V92-'BOBOT PEK'!U92+1)</f>
        <v>50</v>
      </c>
      <c r="G147">
        <f t="shared" si="4"/>
        <v>0.24877634898620901</v>
      </c>
      <c r="H147">
        <f>MIN(100,($A147-'BOBOT PEK'!U92+1)/('BOBOT PEK'!V92-'BOBOT PEK'!U92+1)*100)</f>
        <v>100</v>
      </c>
      <c r="I147">
        <f>IFERROR(SUM(INDEX(TS!$M:$AB,41,1):INDEX(TS!$M:$AB,41,$A147))/TS!$L$31*100,0)</f>
        <v>10.64703262263675</v>
      </c>
      <c r="J147">
        <f t="shared" si="5"/>
        <v>89.352967377363257</v>
      </c>
      <c r="O147" t="str">
        <f ca="1">IF(I147&gt;=99.9,"COMPLETED",IF('BOBOT PEK'!U92&gt;$J$7,"NOT STARTED",IF('BOBOT PEK'!V92&lt;$J$7,"CRITICAL",IF(I147+1&lt;H147,"DELAYED","ON SCHEDULE"))))</f>
        <v>CRITICAL</v>
      </c>
      <c r="Q147" t="str">
        <f>IFERROR(IF(AND($A147=$B$8,'BOBOT PEK'!U92&lt;=$B$8,$B$8&lt;='BOBOT PEK'!V92),COUNTIFS($A$17:$A147,$B$8),""),"")</f>
        <v/>
      </c>
    </row>
    <row r="148" spans="1:17" ht="12.75" customHeight="1" x14ac:dyDescent="0.2">
      <c r="A148">
        <f>IFERROR(IF(COUNTIF($C$17:C148,C148)&lt;=('BOBOT PEK'!V93-'BOBOT PEK'!U93+1),'BOBOT PEK'!U93+COUNTIF($C$17:C148,C148)-1,0),0)</f>
        <v>0</v>
      </c>
      <c r="B148" t="str">
        <f>IFERROR(TEXT(INDEX('KALENDER MINGGU'!$B$6:$B$21,$A148),"dd/mm")&amp;" - "&amp;TEXT(INDEX('KALENDER MINGGU'!$C$6:$C$21,$A148),"dd/mm"),"")</f>
        <v/>
      </c>
      <c r="C148" t="s">
        <v>473</v>
      </c>
      <c r="D148" t="str">
        <f>'BOBOT PEK'!C93</f>
        <v>Cat ulang exterior musholla</v>
      </c>
      <c r="E148" s="241">
        <f>'BOBOT PEK'!J93</f>
        <v>0.17417414478590201</v>
      </c>
      <c r="F148">
        <f>100/('BOBOT PEK'!V93-'BOBOT PEK'!U93+1)</f>
        <v>50</v>
      </c>
      <c r="G148">
        <f t="shared" si="4"/>
        <v>8.7087072392951007E-2</v>
      </c>
      <c r="H148">
        <f>MIN(100,($A148-'BOBOT PEK'!U93+1)/('BOBOT PEK'!V93-'BOBOT PEK'!U93+1)*100)</f>
        <v>-350</v>
      </c>
      <c r="I148">
        <f>IFERROR(SUM(INDEX(TS!$M:$AB,41,1):INDEX(TS!$M:$AB,41,$A148))/TS!$L$31*100,0)</f>
        <v>21.294065245273501</v>
      </c>
      <c r="J148">
        <f t="shared" si="5"/>
        <v>78.705934754726499</v>
      </c>
      <c r="O148" t="str">
        <f ca="1">IF(I148&gt;=99.9,"COMPLETED",IF('BOBOT PEK'!U93&gt;$J$7,"NOT STARTED",IF('BOBOT PEK'!V93&lt;$J$7,"CRITICAL",IF(I148+1&lt;H148,"DELAYED","ON SCHEDULE"))))</f>
        <v>CRITICAL</v>
      </c>
      <c r="Q148" t="str">
        <f>IFERROR(IF(AND($A148=$B$8,'BOBOT PEK'!U93&lt;=$B$8,$B$8&lt;='BOBOT PEK'!V93),COUNTIFS($A$17:$A148,$B$8),""),"")</f>
        <v/>
      </c>
    </row>
    <row r="149" spans="1:17" ht="12.75" customHeight="1" x14ac:dyDescent="0.2">
      <c r="A149">
        <f>IFERROR(IF(COUNTIF($C$17:C149,C149)&lt;=('BOBOT PEK'!V94-'BOBOT PEK'!U94+1),'BOBOT PEK'!U94+COUNTIF($C$17:C149,C149)-1,0),0)</f>
        <v>0</v>
      </c>
      <c r="B149" t="str">
        <f>IFERROR(TEXT(INDEX('KALENDER MINGGU'!$B$6:$B$21,$A149),"dd/mm")&amp;" - "&amp;TEXT(INDEX('KALENDER MINGGU'!$C$6:$C$21,$A149),"dd/mm"),"")</f>
        <v/>
      </c>
      <c r="C149" t="s">
        <v>474</v>
      </c>
      <c r="D149" t="str">
        <f>'BOBOT PEK'!C94</f>
        <v>Penggantian pintu  musholla</v>
      </c>
      <c r="E149" s="241">
        <f>'BOBOT PEK'!J94</f>
        <v>9.9776610555966191E-2</v>
      </c>
      <c r="F149">
        <f>100/('BOBOT PEK'!V94-'BOBOT PEK'!U94+1)</f>
        <v>50</v>
      </c>
      <c r="G149">
        <f t="shared" si="4"/>
        <v>4.9888305277983096E-2</v>
      </c>
      <c r="H149">
        <f>MIN(100,($A149-'BOBOT PEK'!U94+1)/('BOBOT PEK'!V94-'BOBOT PEK'!U94+1)*100)</f>
        <v>-350</v>
      </c>
      <c r="I149">
        <f>IFERROR(SUM(INDEX(TS!$M:$AB,41,1):INDEX(TS!$M:$AB,41,$A149))/TS!$L$31*100,0)</f>
        <v>21.294065245273501</v>
      </c>
      <c r="J149">
        <f t="shared" si="5"/>
        <v>78.705934754726499</v>
      </c>
      <c r="O149" t="str">
        <f ca="1">IF(I149&gt;=99.9,"COMPLETED",IF('BOBOT PEK'!U94&gt;$J$7,"NOT STARTED",IF('BOBOT PEK'!V94&lt;$J$7,"CRITICAL",IF(I149+1&lt;H149,"DELAYED","ON SCHEDULE"))))</f>
        <v>CRITICAL</v>
      </c>
      <c r="Q149" t="str">
        <f>IFERROR(IF(AND($A149=$B$8,'BOBOT PEK'!U94&lt;=$B$8,$B$8&lt;='BOBOT PEK'!V94),COUNTIFS($A$17:$A149,$B$8),""),"")</f>
        <v/>
      </c>
    </row>
    <row r="150" spans="1:17" ht="12.75" customHeight="1" x14ac:dyDescent="0.2">
      <c r="A150">
        <f>IFERROR(IF(COUNTIF($C$17:C150,C150)&lt;=('BOBOT PEK'!V95-'BOBOT PEK'!U95+1),'BOBOT PEK'!U95+COUNTIF($C$17:C150,C150)-1,0),0)</f>
        <v>0</v>
      </c>
      <c r="B150" t="str">
        <f>IFERROR(TEXT(INDEX('KALENDER MINGGU'!$B$6:$B$21,$A150),"dd/mm")&amp;" - "&amp;TEXT(INDEX('KALENDER MINGGU'!$C$6:$C$21,$A150),"dd/mm"),"")</f>
        <v/>
      </c>
      <c r="C150" t="s">
        <v>475</v>
      </c>
      <c r="D150" t="str">
        <f>'BOBOT PEK'!C95</f>
        <v>Penggantian keramik teras</v>
      </c>
      <c r="E150" s="241">
        <f>'BOBOT PEK'!J95</f>
        <v>6.1400991111363809E-2</v>
      </c>
      <c r="F150">
        <f>100/('BOBOT PEK'!V95-'BOBOT PEK'!U95+1)</f>
        <v>50</v>
      </c>
      <c r="G150">
        <f t="shared" si="4"/>
        <v>3.0700495555681905E-2</v>
      </c>
      <c r="H150">
        <f>MIN(100,($A150-'BOBOT PEK'!U95+1)/('BOBOT PEK'!V95-'BOBOT PEK'!U95+1)*100)</f>
        <v>-300</v>
      </c>
      <c r="I150">
        <f>IFERROR(SUM(INDEX(TS!$M:$AB,41,1):INDEX(TS!$M:$AB,41,$A150))/TS!$L$31*100,0)</f>
        <v>21.294065245273501</v>
      </c>
      <c r="J150">
        <f t="shared" si="5"/>
        <v>78.705934754726499</v>
      </c>
      <c r="O150" t="str">
        <f ca="1">IF(I150&gt;=99.9,"COMPLETED",IF('BOBOT PEK'!U95&gt;$J$7,"NOT STARTED",IF('BOBOT PEK'!V95&lt;$J$7,"CRITICAL",IF(I150+1&lt;H150,"DELAYED","ON SCHEDULE"))))</f>
        <v>CRITICAL</v>
      </c>
      <c r="Q150" t="str">
        <f>IFERROR(IF(AND($A150=$B$8,'BOBOT PEK'!U95&lt;=$B$8,$B$8&lt;='BOBOT PEK'!V95),COUNTIFS($A$17:$A150,$B$8),""),"")</f>
        <v/>
      </c>
    </row>
    <row r="151" spans="1:17" ht="12.75" customHeight="1" x14ac:dyDescent="0.2">
      <c r="A151">
        <f>IFERROR(IF(COUNTIF($C$17:C151,C151)&lt;=('BOBOT PEK'!V96-'BOBOT PEK'!U96+1),'BOBOT PEK'!U96+COUNTIF($C$17:C151,C151)-1,0),0)</f>
        <v>0</v>
      </c>
      <c r="B151" t="str">
        <f>IFERROR(TEXT(INDEX('KALENDER MINGGU'!$B$6:$B$21,$A151),"dd/mm")&amp;" - "&amp;TEXT(INDEX('KALENDER MINGGU'!$C$6:$C$21,$A151),"dd/mm"),"")</f>
        <v/>
      </c>
      <c r="C151" t="s">
        <v>476</v>
      </c>
      <c r="D151" t="str">
        <f>'BOBOT PEK'!C96</f>
        <v>Pembuatan tempat wudhu</v>
      </c>
      <c r="E151" s="241">
        <f>'BOBOT PEK'!J96</f>
        <v>6.907611500028428E-2</v>
      </c>
      <c r="F151">
        <f>100/('BOBOT PEK'!V96-'BOBOT PEK'!U96+1)</f>
        <v>50</v>
      </c>
      <c r="G151">
        <f t="shared" si="4"/>
        <v>3.453805750014214E-2</v>
      </c>
      <c r="H151">
        <f>MIN(100,($A151-'BOBOT PEK'!U96+1)/('BOBOT PEK'!V96-'BOBOT PEK'!U96+1)*100)</f>
        <v>-350</v>
      </c>
      <c r="I151">
        <f>IFERROR(SUM(INDEX(TS!$M:$AB,41,1):INDEX(TS!$M:$AB,41,$A151))/TS!$L$31*100,0)</f>
        <v>21.294065245273501</v>
      </c>
      <c r="J151">
        <f t="shared" si="5"/>
        <v>78.705934754726499</v>
      </c>
      <c r="O151" t="str">
        <f ca="1">IF(I151&gt;=99.9,"COMPLETED",IF('BOBOT PEK'!U96&gt;$J$7,"NOT STARTED",IF('BOBOT PEK'!V96&lt;$J$7,"CRITICAL",IF(I151+1&lt;H151,"DELAYED","ON SCHEDULE"))))</f>
        <v>CRITICAL</v>
      </c>
      <c r="Q151" t="str">
        <f>IFERROR(IF(AND($A151=$B$8,'BOBOT PEK'!U96&lt;=$B$8,$B$8&lt;='BOBOT PEK'!V96),COUNTIFS($A$17:$A151,$B$8),""),"")</f>
        <v/>
      </c>
    </row>
    <row r="152" spans="1:17" ht="12.75" customHeight="1" x14ac:dyDescent="0.2">
      <c r="A152">
        <f>IFERROR(IF(COUNTIF($C$17:C152,C152)&lt;=('BOBOT PEK'!V97-'BOBOT PEK'!U97+1),'BOBOT PEK'!U97+COUNTIF($C$17:C152,C152)-1,0),0)</f>
        <v>0</v>
      </c>
      <c r="B152" t="str">
        <f>IFERROR(TEXT(INDEX('KALENDER MINGGU'!$B$6:$B$21,$A152),"dd/mm")&amp;" - "&amp;TEXT(INDEX('KALENDER MINGGU'!$C$6:$C$21,$A152),"dd/mm"),"")</f>
        <v/>
      </c>
      <c r="C152" t="s">
        <v>477</v>
      </c>
      <c r="D152" t="str">
        <f>'BOBOT PEK'!C97</f>
        <v>Pembuatan instalasi wastafel</v>
      </c>
      <c r="E152" s="241">
        <f>'BOBOT PEK'!J97</f>
        <v>5.116749259280318E-3</v>
      </c>
      <c r="F152">
        <f>100/('BOBOT PEK'!V97-'BOBOT PEK'!U97+1)</f>
        <v>50</v>
      </c>
      <c r="G152">
        <f t="shared" si="4"/>
        <v>2.558374629640159E-3</v>
      </c>
      <c r="H152">
        <f>MIN(100,($A152-'BOBOT PEK'!U97+1)/('BOBOT PEK'!V97-'BOBOT PEK'!U97+1)*100)</f>
        <v>-350</v>
      </c>
      <c r="I152">
        <f>IFERROR(SUM(INDEX(TS!$M:$AB,41,1):INDEX(TS!$M:$AB,41,$A152))/TS!$L$31*100,0)</f>
        <v>21.294065245273501</v>
      </c>
      <c r="J152">
        <f t="shared" si="5"/>
        <v>78.705934754726499</v>
      </c>
      <c r="O152" t="str">
        <f ca="1">IF(I152&gt;=99.9,"COMPLETED",IF('BOBOT PEK'!U97&gt;$J$7,"NOT STARTED",IF('BOBOT PEK'!V97&lt;$J$7,"CRITICAL",IF(I152+1&lt;H152,"DELAYED","ON SCHEDULE"))))</f>
        <v>CRITICAL</v>
      </c>
      <c r="Q152" t="str">
        <f>IFERROR(IF(AND($A152=$B$8,'BOBOT PEK'!U97&lt;=$B$8,$B$8&lt;='BOBOT PEK'!V97),COUNTIFS($A$17:$A152,$B$8),""),"")</f>
        <v/>
      </c>
    </row>
    <row r="153" spans="1:17" ht="12.75" customHeight="1" x14ac:dyDescent="0.2">
      <c r="A153">
        <f>IFERROR(IF(COUNTIF($C$17:C153,C153)&lt;=('BOBOT PEK'!V98-'BOBOT PEK'!U98+1),'BOBOT PEK'!U98+COUNTIF($C$17:C153,C153)-1,0),0)</f>
        <v>9</v>
      </c>
      <c r="B153" t="str">
        <f>IFERROR(TEXT(INDEX('KALENDER MINGGU'!$B$6:$B$21,$A153),"dd/mm")&amp;" - "&amp;TEXT(INDEX('KALENDER MINGGU'!$C$6:$C$21,$A153),"dd/mm"),"")</f>
        <v>17/09 - 23/09</v>
      </c>
      <c r="C153" t="s">
        <v>478</v>
      </c>
      <c r="D153" t="str">
        <f>'BOBOT PEK'!C98</f>
        <v>Pekerjaan lantai bengkel</v>
      </c>
      <c r="E153" s="241">
        <f>'BOBOT PEK'!J98</f>
        <v>0</v>
      </c>
      <c r="F153">
        <f>100/('BOBOT PEK'!V98-'BOBOT PEK'!U98+1)</f>
        <v>33.333333333333336</v>
      </c>
      <c r="G153">
        <f t="shared" si="4"/>
        <v>0</v>
      </c>
      <c r="H153">
        <f>MIN(100,($A153-'BOBOT PEK'!U98+1)/('BOBOT PEK'!V98-'BOBOT PEK'!U98+1)*100)</f>
        <v>100</v>
      </c>
      <c r="I153">
        <f>IFERROR(SUM(INDEX(TS!$M:$AB,41,1):INDEX(TS!$M:$AB,41,$A153))/TS!$L$31*100,0)</f>
        <v>15.970548933955127</v>
      </c>
      <c r="J153">
        <f t="shared" si="5"/>
        <v>84.029451066044871</v>
      </c>
      <c r="O153" t="str">
        <f ca="1">IF(I153&gt;=99.9,"COMPLETED",IF('BOBOT PEK'!U98&gt;$J$7,"NOT STARTED",IF('BOBOT PEK'!V98&lt;$J$7,"CRITICAL",IF(I153+1&lt;H153,"DELAYED","ON SCHEDULE"))))</f>
        <v>CRITICAL</v>
      </c>
      <c r="Q153" t="str">
        <f>IFERROR(IF(AND($A153=$B$8,'BOBOT PEK'!U98&lt;=$B$8,$B$8&lt;='BOBOT PEK'!V98),COUNTIFS($A$17:$A153,$B$8),""),"")</f>
        <v/>
      </c>
    </row>
    <row r="154" spans="1:17" ht="12.75" customHeight="1" x14ac:dyDescent="0.2">
      <c r="A154">
        <f>IFERROR(IF(COUNTIF($C$17:C154,C154)&lt;=('BOBOT PEK'!V101-'BOBOT PEK'!U101+1),'BOBOT PEK'!U101+COUNTIF($C$17:C154,C154)-1,0),0)</f>
        <v>8</v>
      </c>
      <c r="B154" t="str">
        <f>IFERROR(TEXT(INDEX('KALENDER MINGGU'!$B$6:$B$21,$A154),"dd/mm")&amp;" - "&amp;TEXT(INDEX('KALENDER MINGGU'!$C$6:$C$21,$A154),"dd/mm"),"")</f>
        <v>10/09 - 16/09</v>
      </c>
      <c r="C154" t="s">
        <v>481</v>
      </c>
      <c r="D154" t="str">
        <f>'BOBOT PEK'!C101</f>
        <v xml:space="preserve">Finishing paving </v>
      </c>
      <c r="E154" s="241">
        <f>'BOBOT PEK'!J101</f>
        <v>2.7016436089000075</v>
      </c>
      <c r="F154">
        <f>100/('BOBOT PEK'!V101-'BOBOT PEK'!U101+1)</f>
        <v>25</v>
      </c>
      <c r="G154">
        <f t="shared" si="4"/>
        <v>0.67541090222500189</v>
      </c>
      <c r="H154">
        <f>MIN(100,($A154-'BOBOT PEK'!U101+1)/('BOBOT PEK'!V101-'BOBOT PEK'!U101+1)*100)</f>
        <v>75</v>
      </c>
      <c r="I154">
        <f>IFERROR(SUM(INDEX(TS!$M:$AB,41,1):INDEX(TS!$M:$AB,41,$A154))/TS!$L$31*100,0)</f>
        <v>10.64703262263675</v>
      </c>
      <c r="J154">
        <f t="shared" si="5"/>
        <v>89.352967377363257</v>
      </c>
      <c r="O154" t="str">
        <f ca="1">IF(I154&gt;=99.9,"COMPLETED",IF('BOBOT PEK'!U101&gt;$J$7,"NOT STARTED",IF('BOBOT PEK'!V101&lt;$J$7,"CRITICAL",IF(I154+1&lt;H154,"DELAYED","ON SCHEDULE"))))</f>
        <v>CRITICAL</v>
      </c>
      <c r="Q154" t="str">
        <f>IFERROR(IF(AND($A154=$B$8,'BOBOT PEK'!U101&lt;=$B$8,$B$8&lt;='BOBOT PEK'!V101),COUNTIFS($A$17:$A154,$B$8),""),"")</f>
        <v/>
      </c>
    </row>
    <row r="155" spans="1:17" ht="12.75" customHeight="1" x14ac:dyDescent="0.2">
      <c r="A155">
        <f>IFERROR(IF(COUNTIF($C$17:C155,C155)&lt;=('BOBOT PEK'!V102-'BOBOT PEK'!U102+1),'BOBOT PEK'!U102+COUNTIF($C$17:C155,C155)-1,0),0)</f>
        <v>9</v>
      </c>
      <c r="B155" t="str">
        <f>IFERROR(TEXT(INDEX('KALENDER MINGGU'!$B$6:$B$21,$A155),"dd/mm")&amp;" - "&amp;TEXT(INDEX('KALENDER MINGGU'!$C$6:$C$21,$A155),"dd/mm"),"")</f>
        <v>17/09 - 23/09</v>
      </c>
      <c r="C155" t="s">
        <v>482</v>
      </c>
      <c r="D155" t="str">
        <f>'BOBOT PEK'!C102</f>
        <v>Terminasi cor keliling</v>
      </c>
      <c r="E155" s="241">
        <f>'BOBOT PEK'!J102</f>
        <v>0.33770545111250094</v>
      </c>
      <c r="F155">
        <f>100/('BOBOT PEK'!V102-'BOBOT PEK'!U102+1)</f>
        <v>33.333333333333336</v>
      </c>
      <c r="G155">
        <f t="shared" si="4"/>
        <v>0.112568483704167</v>
      </c>
      <c r="H155">
        <f>MIN(100,($A155-'BOBOT PEK'!U102+1)/('BOBOT PEK'!V102-'BOBOT PEK'!U102+1)*100)</f>
        <v>100</v>
      </c>
      <c r="I155">
        <f>IFERROR(SUM(INDEX(TS!$M:$AB,41,1):INDEX(TS!$M:$AB,41,$A155))/TS!$L$31*100,0)</f>
        <v>15.970548933955127</v>
      </c>
      <c r="J155">
        <f t="shared" si="5"/>
        <v>84.029451066044871</v>
      </c>
      <c r="O155" t="str">
        <f ca="1">IF(I155&gt;=99.9,"COMPLETED",IF('BOBOT PEK'!U102&gt;$J$7,"NOT STARTED",IF('BOBOT PEK'!V102&lt;$J$7,"CRITICAL",IF(I155+1&lt;H155,"DELAYED","ON SCHEDULE"))))</f>
        <v>CRITICAL</v>
      </c>
      <c r="Q155" t="str">
        <f>IFERROR(IF(AND($A155=$B$8,'BOBOT PEK'!U102&lt;=$B$8,$B$8&lt;='BOBOT PEK'!V102),COUNTIFS($A$17:$A155,$B$8),""),"")</f>
        <v/>
      </c>
    </row>
    <row r="156" spans="1:17" ht="12.75" customHeight="1" x14ac:dyDescent="0.2">
      <c r="A156">
        <f>IFERROR(IF(COUNTIF($C$17:C156,C156)&lt;=('BOBOT PEK'!V103-'BOBOT PEK'!U103+1),'BOBOT PEK'!U103+COUNTIF($C$17:C156,C156)-1,0),0)</f>
        <v>6</v>
      </c>
      <c r="B156" t="str">
        <f>IFERROR(TEXT(INDEX('KALENDER MINGGU'!$B$6:$B$21,$A156),"dd/mm")&amp;" - "&amp;TEXT(INDEX('KALENDER MINGGU'!$C$6:$C$21,$A156),"dd/mm"),"")</f>
        <v>27/08 - 02/09</v>
      </c>
      <c r="C156" t="s">
        <v>483</v>
      </c>
      <c r="D156" t="str">
        <f>'BOBOT PEK'!C103</f>
        <v>Pondasi Struktur bengkel</v>
      </c>
      <c r="E156" s="241">
        <f>'BOBOT PEK'!J103</f>
        <v>0.19955322111193238</v>
      </c>
      <c r="F156">
        <f>100/('BOBOT PEK'!V103-'BOBOT PEK'!U103+1)</f>
        <v>14.285714285714286</v>
      </c>
      <c r="G156">
        <f t="shared" si="4"/>
        <v>2.8507603015990344E-2</v>
      </c>
      <c r="H156">
        <f>MIN(100,($A156-'BOBOT PEK'!U103+1)/('BOBOT PEK'!V103-'BOBOT PEK'!U103+1)*100)</f>
        <v>42.857142857142854</v>
      </c>
      <c r="I156">
        <f>IFERROR(SUM(INDEX(TS!$M:$AB,41,1):INDEX(TS!$M:$AB,41,$A156))/TS!$L$31*100,0)</f>
        <v>0</v>
      </c>
      <c r="J156">
        <f t="shared" si="5"/>
        <v>100</v>
      </c>
      <c r="O156" t="str">
        <f ca="1">IF(I156&gt;=99.9,"COMPLETED",IF('BOBOT PEK'!U103&gt;$J$7,"NOT STARTED",IF('BOBOT PEK'!V103&lt;$J$7,"CRITICAL",IF(I156+1&lt;H156,"DELAYED","ON SCHEDULE"))))</f>
        <v>DELAYED</v>
      </c>
      <c r="Q156">
        <f>IFERROR(IF(AND($A156=$B$8,'BOBOT PEK'!U103&lt;=$B$8,$B$8&lt;='BOBOT PEK'!V103),COUNTIFS($A$17:$A156,$B$8),""),"")</f>
        <v>16</v>
      </c>
    </row>
    <row r="157" spans="1:17" ht="12.75" customHeight="1" x14ac:dyDescent="0.2">
      <c r="A157">
        <f>IFERROR(IF(COUNTIF($C$17:C157,C157)&lt;=('BOBOT PEK'!V104-'BOBOT PEK'!U104+1),'BOBOT PEK'!U104+COUNTIF($C$17:C157,C157)-1,0),0)</f>
        <v>6</v>
      </c>
      <c r="B157" t="str">
        <f>IFERROR(TEXT(INDEX('KALENDER MINGGU'!$B$6:$B$21,$A157),"dd/mm")&amp;" - "&amp;TEXT(INDEX('KALENDER MINGGU'!$C$6:$C$21,$A157),"dd/mm"),"")</f>
        <v>27/08 - 02/09</v>
      </c>
      <c r="C157" t="s">
        <v>484</v>
      </c>
      <c r="D157" t="str">
        <f>'BOBOT PEK'!C104</f>
        <v>Atap bengkel dan cucian mobil</v>
      </c>
      <c r="E157" s="241">
        <f>'BOBOT PEK'!J104</f>
        <v>1.4215864467058505</v>
      </c>
      <c r="F157">
        <f>100/('BOBOT PEK'!V104-'BOBOT PEK'!U104+1)</f>
        <v>14.285714285714286</v>
      </c>
      <c r="G157">
        <f t="shared" si="4"/>
        <v>0.20308377810083583</v>
      </c>
      <c r="H157">
        <f>MIN(100,($A157-'BOBOT PEK'!U104+1)/('BOBOT PEK'!V104-'BOBOT PEK'!U104+1)*100)</f>
        <v>42.857142857142854</v>
      </c>
      <c r="I157">
        <f>IFERROR(SUM(INDEX(TS!$M:$AB,41,1):INDEX(TS!$M:$AB,41,$A157))/TS!$L$31*100,0)</f>
        <v>0</v>
      </c>
      <c r="J157">
        <f t="shared" si="5"/>
        <v>100</v>
      </c>
      <c r="O157" t="str">
        <f ca="1">IF(I157&gt;=99.9,"COMPLETED",IF('BOBOT PEK'!U104&gt;$J$7,"NOT STARTED",IF('BOBOT PEK'!V104&lt;$J$7,"CRITICAL",IF(I157+1&lt;H157,"DELAYED","ON SCHEDULE"))))</f>
        <v>DELAYED</v>
      </c>
      <c r="Q157">
        <f>IFERROR(IF(AND($A157=$B$8,'BOBOT PEK'!U104&lt;=$B$8,$B$8&lt;='BOBOT PEK'!V104),COUNTIFS($A$17:$A157,$B$8),""),"")</f>
        <v>17</v>
      </c>
    </row>
    <row r="158" spans="1:17" ht="12.75" customHeight="1" x14ac:dyDescent="0.2">
      <c r="A158">
        <f>IFERROR(IF(COUNTIF($C$17:C158,C158)&lt;=('BOBOT PEK'!V105-'BOBOT PEK'!U105+1),'BOBOT PEK'!U105+COUNTIF($C$17:C158,C158)-1,0),0)</f>
        <v>6</v>
      </c>
      <c r="B158" t="str">
        <f>IFERROR(TEXT(INDEX('KALENDER MINGGU'!$B$6:$B$21,$A158),"dd/mm")&amp;" - "&amp;TEXT(INDEX('KALENDER MINGGU'!$C$6:$C$21,$A158),"dd/mm"),"")</f>
        <v>27/08 - 02/09</v>
      </c>
      <c r="C158" t="s">
        <v>485</v>
      </c>
      <c r="D158" t="str">
        <f>'BOBOT PEK'!C105</f>
        <v>Instalasi air bersih ke arah bengkel</v>
      </c>
      <c r="E158" s="241">
        <f>'BOBOT PEK'!J105</f>
        <v>0.14531567896356101</v>
      </c>
      <c r="F158">
        <f>100/('BOBOT PEK'!V105-'BOBOT PEK'!U105+1)</f>
        <v>14.285714285714286</v>
      </c>
      <c r="G158">
        <f t="shared" si="4"/>
        <v>2.0759382709080149E-2</v>
      </c>
      <c r="H158">
        <f>MIN(100,($A158-'BOBOT PEK'!U105+1)/('BOBOT PEK'!V105-'BOBOT PEK'!U105+1)*100)</f>
        <v>42.857142857142854</v>
      </c>
      <c r="I158">
        <f>IFERROR(SUM(INDEX(TS!$M:$AB,41,1):INDEX(TS!$M:$AB,41,$A158))/TS!$L$31*100,0)</f>
        <v>0</v>
      </c>
      <c r="J158">
        <f t="shared" si="5"/>
        <v>100</v>
      </c>
      <c r="O158" t="str">
        <f ca="1">IF(I158&gt;=99.9,"COMPLETED",IF('BOBOT PEK'!U105&gt;$J$7,"NOT STARTED",IF('BOBOT PEK'!V105&lt;$J$7,"CRITICAL",IF(I158+1&lt;H158,"DELAYED","ON SCHEDULE"))))</f>
        <v>DELAYED</v>
      </c>
      <c r="Q158">
        <f>IFERROR(IF(AND($A158=$B$8,'BOBOT PEK'!U105&lt;=$B$8,$B$8&lt;='BOBOT PEK'!V105),COUNTIFS($A$17:$A158,$B$8),""),"")</f>
        <v>18</v>
      </c>
    </row>
    <row r="159" spans="1:17" ht="12.75" customHeight="1" x14ac:dyDescent="0.2">
      <c r="A159">
        <f>IFERROR(IF(COUNTIF($C$17:C159,C159)&lt;=('BOBOT PEK'!V110-'BOBOT PEK'!U110+1),'BOBOT PEK'!U110+COUNTIF($C$17:C159,C159)-1,0),0)</f>
        <v>6</v>
      </c>
      <c r="B159" t="str">
        <f>IFERROR(TEXT(INDEX('KALENDER MINGGU'!$B$6:$B$21,$A159),"dd/mm")&amp;" - "&amp;TEXT(INDEX('KALENDER MINGGU'!$C$6:$C$21,$A159),"dd/mm"),"")</f>
        <v>27/08 - 02/09</v>
      </c>
      <c r="C159" t="s">
        <v>486</v>
      </c>
      <c r="D159" t="str">
        <f>'BOBOT PEK'!C110</f>
        <v>Pemadatan dan peninggian lantai ex. Taman samping</v>
      </c>
      <c r="E159" s="241">
        <f>'BOBOT PEK'!J110</f>
        <v>0.51167492592803177</v>
      </c>
      <c r="F159">
        <f>100/('BOBOT PEK'!V110-'BOBOT PEK'!U110+1)</f>
        <v>16.666666666666668</v>
      </c>
      <c r="G159">
        <f t="shared" si="4"/>
        <v>8.5279154321338632E-2</v>
      </c>
      <c r="H159">
        <f>MIN(100,($A159-'BOBOT PEK'!U110+1)/('BOBOT PEK'!V110-'BOBOT PEK'!U110+1)*100)</f>
        <v>50</v>
      </c>
      <c r="I159">
        <f>IFERROR(SUM(INDEX(TS!$M:$AB,43,1):INDEX(TS!$M:$AB,43,$A159))/TS!$L$33*100,0)</f>
        <v>0</v>
      </c>
      <c r="J159">
        <f t="shared" si="5"/>
        <v>100</v>
      </c>
      <c r="O159" t="str">
        <f ca="1">IF(I159&gt;=99.9,"COMPLETED",IF('BOBOT PEK'!U110&gt;$J$7,"NOT STARTED",IF('BOBOT PEK'!V110&lt;$J$7,"CRITICAL",IF(I159+1&lt;H159,"DELAYED","ON SCHEDULE"))))</f>
        <v>CRITICAL</v>
      </c>
      <c r="Q159">
        <f>IFERROR(IF(AND($A159=$B$8,'BOBOT PEK'!U110&lt;=$B$8,$B$8&lt;='BOBOT PEK'!V110),COUNTIFS($A$17:$A159,$B$8),""),"")</f>
        <v>19</v>
      </c>
    </row>
    <row r="160" spans="1:17" ht="12.75" customHeight="1" x14ac:dyDescent="0.2">
      <c r="A160">
        <f>IFERROR(IF(COUNTIF($C$17:C160,C160)&lt;=('BOBOT PEK'!V111-'BOBOT PEK'!U111+1),'BOBOT PEK'!U111+COUNTIF($C$17:C160,C160)-1,0),0)</f>
        <v>0</v>
      </c>
      <c r="B160" t="str">
        <f>IFERROR(TEXT(INDEX('KALENDER MINGGU'!$B$6:$B$21,$A160),"dd/mm")&amp;" - "&amp;TEXT(INDEX('KALENDER MINGGU'!$C$6:$C$21,$A160),"dd/mm"),"")</f>
        <v/>
      </c>
      <c r="C160" t="s">
        <v>487</v>
      </c>
      <c r="D160" t="str">
        <f>'BOBOT PEK'!C111</f>
        <v>Pembuatan garis kuning lebar 10cm</v>
      </c>
      <c r="E160" s="241">
        <f>'BOBOT PEK'!J111</f>
        <v>0.15222329046358946</v>
      </c>
      <c r="F160">
        <f>100/('BOBOT PEK'!V111-'BOBOT PEK'!U111+1)</f>
        <v>50</v>
      </c>
      <c r="G160">
        <f t="shared" si="4"/>
        <v>7.6111645231794728E-2</v>
      </c>
      <c r="H160">
        <f>MIN(100,($A160-'BOBOT PEK'!U111+1)/('BOBOT PEK'!V111-'BOBOT PEK'!U111+1)*100)</f>
        <v>-350</v>
      </c>
      <c r="I160">
        <f>IFERROR(SUM(INDEX(TS!$M:$AB,43,1):INDEX(TS!$M:$AB,43,$A160))/TS!$L$33*100,0)</f>
        <v>0</v>
      </c>
      <c r="J160">
        <f t="shared" si="5"/>
        <v>100</v>
      </c>
      <c r="O160" t="str">
        <f ca="1">IF(I160&gt;=99.9,"COMPLETED",IF('BOBOT PEK'!U111&gt;$J$7,"NOT STARTED",IF('BOBOT PEK'!V111&lt;$J$7,"CRITICAL",IF(I160+1&lt;H160,"DELAYED","ON SCHEDULE"))))</f>
        <v>CRITICAL</v>
      </c>
      <c r="Q160" t="str">
        <f>IFERROR(IF(AND($A160=$B$8,'BOBOT PEK'!U111&lt;=$B$8,$B$8&lt;='BOBOT PEK'!V111),COUNTIFS($A$17:$A160,$B$8),""),"")</f>
        <v/>
      </c>
    </row>
    <row r="161" spans="1:17" ht="12.75" customHeight="1" x14ac:dyDescent="0.2">
      <c r="A161">
        <f>IFERROR(IF(COUNTIF($C$17:C161,C161)&lt;=('BOBOT PEK'!V112-'BOBOT PEK'!U112+1),'BOBOT PEK'!U112+COUNTIF($C$17:C161,C161)-1,0),0)</f>
        <v>6</v>
      </c>
      <c r="B161" t="str">
        <f>IFERROR(TEXT(INDEX('KALENDER MINGGU'!$B$6:$B$21,$A161),"dd/mm")&amp;" - "&amp;TEXT(INDEX('KALENDER MINGGU'!$C$6:$C$21,$A161),"dd/mm"),"")</f>
        <v>27/08 - 02/09</v>
      </c>
      <c r="C161" t="s">
        <v>488</v>
      </c>
      <c r="D161" t="str">
        <f>'BOBOT PEK'!C112</f>
        <v>Pekerjaan got samping</v>
      </c>
      <c r="E161" s="241">
        <f>'BOBOT PEK'!J112</f>
        <v>0</v>
      </c>
      <c r="F161">
        <f>100/('BOBOT PEK'!V112-'BOBOT PEK'!U112+1)</f>
        <v>16.666666666666668</v>
      </c>
      <c r="G161">
        <f t="shared" si="4"/>
        <v>0</v>
      </c>
      <c r="H161">
        <f>MIN(100,($A161-'BOBOT PEK'!U112+1)/('BOBOT PEK'!V112-'BOBOT PEK'!U112+1)*100)</f>
        <v>50</v>
      </c>
      <c r="I161">
        <f>IFERROR(SUM(INDEX(TS!$M:$AB,43,1):INDEX(TS!$M:$AB,43,$A161))/TS!$L$33*100,0)</f>
        <v>0</v>
      </c>
      <c r="J161">
        <f t="shared" si="5"/>
        <v>100</v>
      </c>
      <c r="O161" t="str">
        <f ca="1">IF(I161&gt;=99.9,"COMPLETED",IF('BOBOT PEK'!U112&gt;$J$7,"NOT STARTED",IF('BOBOT PEK'!V112&lt;$J$7,"CRITICAL",IF(I161+1&lt;H161,"DELAYED","ON SCHEDULE"))))</f>
        <v>CRITICAL</v>
      </c>
      <c r="Q161">
        <f>IFERROR(IF(AND($A161=$B$8,'BOBOT PEK'!U112&lt;=$B$8,$B$8&lt;='BOBOT PEK'!V112),COUNTIFS($A$17:$A161,$B$8),""),"")</f>
        <v>20</v>
      </c>
    </row>
    <row r="162" spans="1:17" ht="12.75" customHeight="1" x14ac:dyDescent="0.2">
      <c r="A162">
        <f>IFERROR(IF(COUNTIF($C$17:C162,C162)&lt;=('BOBOT PEK'!V113-'BOBOT PEK'!U113+1),'BOBOT PEK'!U113+COUNTIF($C$17:C162,C162)-1,0),0)</f>
        <v>6</v>
      </c>
      <c r="B162" t="str">
        <f>IFERROR(TEXT(INDEX('KALENDER MINGGU'!$B$6:$B$21,$A162),"dd/mm")&amp;" - "&amp;TEXT(INDEX('KALENDER MINGGU'!$C$6:$C$21,$A162),"dd/mm"),"")</f>
        <v>27/08 - 02/09</v>
      </c>
      <c r="C162" t="s">
        <v>489</v>
      </c>
      <c r="D162" t="str">
        <f>'BOBOT PEK'!C113</f>
        <v>Refinishing saluran</v>
      </c>
      <c r="E162" s="241">
        <f>'BOBOT PEK'!J113</f>
        <v>0.85193875167017286</v>
      </c>
      <c r="F162">
        <f>100/('BOBOT PEK'!V113-'BOBOT PEK'!U113+1)</f>
        <v>14.285714285714286</v>
      </c>
      <c r="G162">
        <f t="shared" si="4"/>
        <v>0.12170553595288186</v>
      </c>
      <c r="H162">
        <f>MIN(100,($A162-'BOBOT PEK'!U113+1)/('BOBOT PEK'!V113-'BOBOT PEK'!U113+1)*100)</f>
        <v>42.857142857142854</v>
      </c>
      <c r="I162">
        <f>IFERROR(SUM(INDEX(TS!$M:$AB,43,1):INDEX(TS!$M:$AB,43,$A162))/TS!$L$33*100,0)</f>
        <v>0</v>
      </c>
      <c r="J162">
        <f t="shared" si="5"/>
        <v>100</v>
      </c>
      <c r="O162" t="str">
        <f ca="1">IF(I162&gt;=99.9,"COMPLETED",IF('BOBOT PEK'!U113&gt;$J$7,"NOT STARTED",IF('BOBOT PEK'!V113&lt;$J$7,"CRITICAL",IF(I162+1&lt;H162,"DELAYED","ON SCHEDULE"))))</f>
        <v>DELAYED</v>
      </c>
      <c r="Q162">
        <f>IFERROR(IF(AND($A162=$B$8,'BOBOT PEK'!U113&lt;=$B$8,$B$8&lt;='BOBOT PEK'!V113),COUNTIFS($A$17:$A162,$B$8),""),"")</f>
        <v>21</v>
      </c>
    </row>
    <row r="163" spans="1:17" ht="12.75" customHeight="1" x14ac:dyDescent="0.2">
      <c r="A163">
        <f>IFERROR(IF(COUNTIF($C$17:C163,C163)&lt;=('BOBOT PEK'!V114-'BOBOT PEK'!U114+1),'BOBOT PEK'!U114+COUNTIF($C$17:C163,C163)-1,0),0)</f>
        <v>6</v>
      </c>
      <c r="B163" t="str">
        <f>IFERROR(TEXT(INDEX('KALENDER MINGGU'!$B$6:$B$21,$A163),"dd/mm")&amp;" - "&amp;TEXT(INDEX('KALENDER MINGGU'!$C$6:$C$21,$A163),"dd/mm"),"")</f>
        <v>27/08 - 02/09</v>
      </c>
      <c r="C163" t="s">
        <v>490</v>
      </c>
      <c r="D163" t="str">
        <f>'BOBOT PEK'!C114</f>
        <v>Pembuatan dinding batu kali</v>
      </c>
      <c r="E163" s="241">
        <f>'BOBOT PEK'!J114</f>
        <v>0.61400991111363812</v>
      </c>
      <c r="F163">
        <f>100/('BOBOT PEK'!V114-'BOBOT PEK'!U114+1)</f>
        <v>14.285714285714286</v>
      </c>
      <c r="G163">
        <f t="shared" si="4"/>
        <v>8.7715701587662606E-2</v>
      </c>
      <c r="H163">
        <f>MIN(100,($A163-'BOBOT PEK'!U114+1)/('BOBOT PEK'!V114-'BOBOT PEK'!U114+1)*100)</f>
        <v>42.857142857142854</v>
      </c>
      <c r="I163">
        <f>IFERROR(SUM(INDEX(TS!$M:$AB,43,1):INDEX(TS!$M:$AB,43,$A163))/TS!$L$33*100,0)</f>
        <v>0</v>
      </c>
      <c r="J163">
        <f t="shared" si="5"/>
        <v>100</v>
      </c>
      <c r="O163" t="str">
        <f ca="1">IF(I163&gt;=99.9,"COMPLETED",IF('BOBOT PEK'!U114&gt;$J$7,"NOT STARTED",IF('BOBOT PEK'!V114&lt;$J$7,"CRITICAL",IF(I163+1&lt;H163,"DELAYED","ON SCHEDULE"))))</f>
        <v>DELAYED</v>
      </c>
      <c r="Q163">
        <f>IFERROR(IF(AND($A163=$B$8,'BOBOT PEK'!U114&lt;=$B$8,$B$8&lt;='BOBOT PEK'!V114),COUNTIFS($A$17:$A163,$B$8),""),"")</f>
        <v>22</v>
      </c>
    </row>
    <row r="164" spans="1:17" ht="12.75" customHeight="1" x14ac:dyDescent="0.2">
      <c r="A164">
        <f>IFERROR(IF(COUNTIF($C$17:C164,C164)&lt;=('BOBOT PEK'!V131-'BOBOT PEK'!U131+1),'BOBOT PEK'!U131+COUNTIF($C$17:C164,C164)-1,0),0)</f>
        <v>10</v>
      </c>
      <c r="B164" t="str">
        <f>IFERROR(TEXT(INDEX('KALENDER MINGGU'!$B$6:$B$21,$A164),"dd/mm")&amp;" - "&amp;TEXT(INDEX('KALENDER MINGGU'!$C$6:$C$21,$A164),"dd/mm"),"")</f>
        <v>24/09 - 30/09</v>
      </c>
      <c r="C164" t="s">
        <v>499</v>
      </c>
      <c r="D164" t="str">
        <f>'BOBOT PEK'!C131</f>
        <v>Pengecatan rangka atap sebelah pos satpam</v>
      </c>
      <c r="E164" s="241">
        <f>'BOBOT PEK'!J131</f>
        <v>6.5238553055824045E-2</v>
      </c>
      <c r="F164">
        <f>100/('BOBOT PEK'!V131-'BOBOT PEK'!U131+1)</f>
        <v>50</v>
      </c>
      <c r="G164">
        <f t="shared" si="4"/>
        <v>3.2619276527912022E-2</v>
      </c>
      <c r="H164">
        <f>MIN(100,($A164-'BOBOT PEK'!U131+1)/('BOBOT PEK'!V131-'BOBOT PEK'!U131+1)*100)</f>
        <v>50</v>
      </c>
      <c r="I164">
        <f>IFERROR(SUM(INDEX(TS!$M:$AB,49,1):INDEX(TS!$M:$AB,49,$A164))/TS!$L$39*100,0)</f>
        <v>1149.4933333333331</v>
      </c>
      <c r="J164">
        <f t="shared" si="5"/>
        <v>0</v>
      </c>
      <c r="O164" t="str">
        <f>IF(I164&gt;=99.9,"COMPLETED",IF('BOBOT PEK'!U131&gt;$J$7,"NOT STARTED",IF('BOBOT PEK'!V131&lt;$J$7,"CRITICAL",IF(I164+1&lt;H164,"DELAYED","ON SCHEDULE"))))</f>
        <v>COMPLETED</v>
      </c>
      <c r="Q164" t="str">
        <f>IFERROR(IF(AND($A164=$B$8,'BOBOT PEK'!U131&lt;=$B$8,$B$8&lt;='BOBOT PEK'!V131),COUNTIFS($A$17:$A164,$B$8),""),"")</f>
        <v/>
      </c>
    </row>
    <row r="165" spans="1:17" ht="12.75" customHeight="1" x14ac:dyDescent="0.2">
      <c r="A165">
        <f>IFERROR(IF(COUNTIF($C$17:C165,C165)&lt;=('BOBOT PEK'!V218-'BOBOT PEK'!U218+1),'BOBOT PEK'!U218+COUNTIF($C$17:C165,C165)-1,0),0)</f>
        <v>6</v>
      </c>
      <c r="B165" t="str">
        <f>IFERROR(TEXT(INDEX('KALENDER MINGGU'!$B$6:$B$21,$A165),"dd/mm")&amp;" - "&amp;TEXT(INDEX('KALENDER MINGGU'!$C$6:$C$21,$A165),"dd/mm"),"")</f>
        <v>27/08 - 02/09</v>
      </c>
      <c r="C165" t="s">
        <v>535</v>
      </c>
      <c r="D165" t="str">
        <f>'BOBOT PEK'!C218</f>
        <v>Galian tanah dan langsir</v>
      </c>
      <c r="E165" s="241">
        <f>'BOBOT PEK'!J218</f>
        <v>1.2970959372275603E-2</v>
      </c>
      <c r="F165">
        <f>100/('BOBOT PEK'!V218-'BOBOT PEK'!U218+1)</f>
        <v>50</v>
      </c>
      <c r="G165">
        <f t="shared" si="4"/>
        <v>6.4854796861378017E-3</v>
      </c>
      <c r="H165">
        <f>MIN(100,($A165-'BOBOT PEK'!U218+1)/('BOBOT PEK'!V218-'BOBOT PEK'!U218+1)*100)</f>
        <v>100</v>
      </c>
      <c r="I165">
        <f>IFERROR(SUM(INDEX(TS!$M:$AB,63,1):INDEX(TS!$M:$AB,63,$A165))/TS!$L$53*100,0)</f>
        <v>0</v>
      </c>
      <c r="J165">
        <f t="shared" si="5"/>
        <v>100</v>
      </c>
      <c r="O165" t="str">
        <f ca="1">IF(I165&gt;=99.9,"COMPLETED",IF('BOBOT PEK'!U218&gt;$J$7,"NOT STARTED",IF('BOBOT PEK'!V218&lt;$J$7,"CRITICAL",IF(I165+1&lt;H165,"DELAYED","ON SCHEDULE"))))</f>
        <v>CRITICAL</v>
      </c>
      <c r="Q165">
        <f>IFERROR(IF(AND($A165=$B$8,'BOBOT PEK'!U218&lt;=$B$8,$B$8&lt;='BOBOT PEK'!V218),COUNTIFS($A$17:$A165,$B$8),""),"")</f>
        <v>23</v>
      </c>
    </row>
    <row r="166" spans="1:17" ht="12.75" customHeight="1" x14ac:dyDescent="0.2">
      <c r="A166">
        <f>IFERROR(IF(COUNTIF($C$17:C166,C166)&lt;=('BOBOT PEK'!V219-'BOBOT PEK'!U219+1),'BOBOT PEK'!U219+COUNTIF($C$17:C166,C166)-1,0),0)</f>
        <v>5</v>
      </c>
      <c r="B166" t="str">
        <f>IFERROR(TEXT(INDEX('KALENDER MINGGU'!$B$6:$B$21,$A166),"dd/mm")&amp;" - "&amp;TEXT(INDEX('KALENDER MINGGU'!$C$6:$C$21,$A166),"dd/mm"),"")</f>
        <v>20/08 - 26/08</v>
      </c>
      <c r="C166" t="s">
        <v>536</v>
      </c>
      <c r="D166" t="str">
        <f>'BOBOT PEK'!C219</f>
        <v>urugan kembali dan pemadatan tanah</v>
      </c>
      <c r="E166" s="241">
        <f>'BOBOT PEK'!J219</f>
        <v>1.995532211119324E-2</v>
      </c>
      <c r="F166">
        <f>100/('BOBOT PEK'!V219-'BOBOT PEK'!U219+1)</f>
        <v>50</v>
      </c>
      <c r="G166">
        <f t="shared" si="4"/>
        <v>9.9776610555966198E-3</v>
      </c>
      <c r="H166">
        <f>MIN(100,($A166-'BOBOT PEK'!U219+1)/('BOBOT PEK'!V219-'BOBOT PEK'!U219+1)*100)</f>
        <v>50</v>
      </c>
      <c r="I166">
        <f>IFERROR(SUM(INDEX(TS!$M:$AB,63,1):INDEX(TS!$M:$AB,63,$A166))/TS!$L$53*100,0)</f>
        <v>0</v>
      </c>
      <c r="J166">
        <f t="shared" si="5"/>
        <v>100</v>
      </c>
      <c r="O166" t="str">
        <f ca="1">IF(I166&gt;=99.9,"COMPLETED",IF('BOBOT PEK'!U219&gt;$J$7,"NOT STARTED",IF('BOBOT PEK'!V219&lt;$J$7,"CRITICAL",IF(I166+1&lt;H166,"DELAYED","ON SCHEDULE"))))</f>
        <v>CRITICAL</v>
      </c>
      <c r="Q166" t="str">
        <f>IFERROR(IF(AND($A166=$B$8,'BOBOT PEK'!U219&lt;=$B$8,$B$8&lt;='BOBOT PEK'!V219),COUNTIFS($A$17:$A166,$B$8),""),"")</f>
        <v/>
      </c>
    </row>
    <row r="167" spans="1:17" ht="12.75" customHeight="1" x14ac:dyDescent="0.2">
      <c r="A167">
        <f>IFERROR(IF(COUNTIF($C$17:C167,C167)&lt;=('BOBOT PEK'!V221-'BOBOT PEK'!U221+1),'BOBOT PEK'!U221+COUNTIF($C$17:C167,C167)-1,0),0)</f>
        <v>5</v>
      </c>
      <c r="B167" t="str">
        <f>IFERROR(TEXT(INDEX('KALENDER MINGGU'!$B$6:$B$21,$A167),"dd/mm")&amp;" - "&amp;TEXT(INDEX('KALENDER MINGGU'!$C$6:$C$21,$A167),"dd/mm"),"")</f>
        <v>20/08 - 26/08</v>
      </c>
      <c r="C167" t="s">
        <v>538</v>
      </c>
      <c r="D167" t="str">
        <f>'BOBOT PEK'!C221</f>
        <v>bekesting</v>
      </c>
      <c r="E167" s="241">
        <f>'BOBOT PEK'!J221</f>
        <v>3.3258870185322066E-2</v>
      </c>
      <c r="F167">
        <f>100/('BOBOT PEK'!V221-'BOBOT PEK'!U221+1)</f>
        <v>25</v>
      </c>
      <c r="G167">
        <f t="shared" si="4"/>
        <v>8.3147175463305165E-3</v>
      </c>
      <c r="H167">
        <f>MIN(100,($A167-'BOBOT PEK'!U221+1)/('BOBOT PEK'!V221-'BOBOT PEK'!U221+1)*100)</f>
        <v>25</v>
      </c>
      <c r="I167">
        <f>IFERROR(SUM(INDEX(TS!$M:$AB,63,1):INDEX(TS!$M:$AB,63,$A167))/TS!$L$53*100,0)</f>
        <v>0</v>
      </c>
      <c r="J167">
        <f t="shared" si="5"/>
        <v>100</v>
      </c>
      <c r="O167" t="str">
        <f ca="1">IF(I167&gt;=99.9,"COMPLETED",IF('BOBOT PEK'!U221&gt;$J$7,"NOT STARTED",IF('BOBOT PEK'!V221&lt;$J$7,"CRITICAL",IF(I167+1&lt;H167,"DELAYED","ON SCHEDULE"))))</f>
        <v>CRITICAL</v>
      </c>
      <c r="Q167" t="str">
        <f>IFERROR(IF(AND($A167=$B$8,'BOBOT PEK'!U221&lt;=$B$8,$B$8&lt;='BOBOT PEK'!V221),COUNTIFS($A$17:$A167,$B$8),""),"")</f>
        <v/>
      </c>
    </row>
    <row r="168" spans="1:17" ht="23.25" customHeight="1" x14ac:dyDescent="0.2">
      <c r="A168">
        <f>IFERROR(IF(COUNTIF($C$17:C168,C168)&lt;=('BOBOT PEK'!V222-'BOBOT PEK'!U222+1),'BOBOT PEK'!U222+COUNTIF($C$17:C168,C168)-1,0),0)</f>
        <v>5</v>
      </c>
      <c r="B168" t="str">
        <f>IFERROR(TEXT(INDEX('KALENDER MINGGU'!$B$6:$B$21,$A168),"dd/mm")&amp;" - "&amp;TEXT(INDEX('KALENDER MINGGU'!$C$6:$C$21,$A168),"dd/mm"),"")</f>
        <v>20/08 - 26/08</v>
      </c>
      <c r="C168" t="s">
        <v>539</v>
      </c>
      <c r="D168" s="228" t="str">
        <f>'BOBOT PEK'!C222</f>
        <v>sloof
rolag bata</v>
      </c>
      <c r="E168" s="241">
        <f>'BOBOT PEK'!J222</f>
        <v>1.5299080285248149E-2</v>
      </c>
      <c r="F168">
        <f>100/('BOBOT PEK'!V222-'BOBOT PEK'!U222+1)</f>
        <v>25</v>
      </c>
      <c r="G168">
        <f t="shared" si="4"/>
        <v>3.8247700713120373E-3</v>
      </c>
      <c r="H168">
        <f>MIN(100,($A168-'BOBOT PEK'!U222+1)/('BOBOT PEK'!V222-'BOBOT PEK'!U222+1)*100)</f>
        <v>25</v>
      </c>
      <c r="I168">
        <f>IFERROR(SUM(INDEX(TS!$M:$AB,63,1):INDEX(TS!$M:$AB,63,$A168))/TS!$L$53*100,0)</f>
        <v>0</v>
      </c>
      <c r="J168">
        <f t="shared" si="5"/>
        <v>100</v>
      </c>
      <c r="O168" t="str">
        <f ca="1">IF(I168&gt;=99.9,"COMPLETED",IF('BOBOT PEK'!U222&gt;$J$7,"NOT STARTED",IF('BOBOT PEK'!V222&lt;$J$7,"CRITICAL",IF(I168+1&lt;H168,"DELAYED","ON SCHEDULE"))))</f>
        <v>CRITICAL</v>
      </c>
      <c r="Q168" t="str">
        <f>IFERROR(IF(AND($A168=$B$8,'BOBOT PEK'!U222&lt;=$B$8,$B$8&lt;='BOBOT PEK'!V222),COUNTIFS($A$17:$A168,$B$8),""),"")</f>
        <v/>
      </c>
    </row>
    <row r="169" spans="1:17" ht="12.75" customHeight="1" x14ac:dyDescent="0.2">
      <c r="A169">
        <f>IFERROR(IF(COUNTIF($C$17:C169,C169)&lt;=('BOBOT PEK'!V16-'BOBOT PEK'!U16+1),'BOBOT PEK'!U16+COUNTIF($C$17:C169,C169)-1,0),0)</f>
        <v>8</v>
      </c>
      <c r="B169" t="str">
        <f>IFERROR(TEXT(INDEX('KALENDER MINGGU'!$B$6:$B$21,$A169),"dd/mm")&amp;" - "&amp;TEXT(INDEX('KALENDER MINGGU'!$C$6:$C$21,$A169),"dd/mm"),"")</f>
        <v>10/09 - 16/09</v>
      </c>
      <c r="C169" t="s">
        <v>423</v>
      </c>
      <c r="D169" t="str">
        <f>'BOBOT PEK'!C16</f>
        <v>Pekerjaan Bak Kontrol</v>
      </c>
      <c r="E169" s="241">
        <f>'BOBOT PEK'!J16</f>
        <v>6.6517740370644132E-2</v>
      </c>
      <c r="F169">
        <f>100/('BOBOT PEK'!V16-'BOBOT PEK'!U16+1)</f>
        <v>33.333333333333336</v>
      </c>
      <c r="G169">
        <f t="shared" si="4"/>
        <v>2.2172580123548048E-2</v>
      </c>
      <c r="H169">
        <f>MIN(100,($A169-'BOBOT PEK'!U16+1)/('BOBOT PEK'!V16-'BOBOT PEK'!U16+1)*100)</f>
        <v>66.666666666666657</v>
      </c>
      <c r="I169">
        <f>IFERROR(SUM(INDEX(TS!$M:$AB,25,1):INDEX(TS!$M:$AB,25,$A169))/TS!$L$15*100,0)</f>
        <v>6.3585114450039812</v>
      </c>
      <c r="J169">
        <f t="shared" si="5"/>
        <v>93.641488554996016</v>
      </c>
      <c r="O169" t="str">
        <f ca="1">IF(I169&gt;=99.9,"COMPLETED",IF('BOBOT PEK'!U16&gt;$J$7,"NOT STARTED",IF('BOBOT PEK'!V16&lt;$J$7,"CRITICAL",IF(I169+1&lt;H169,"DELAYED","ON SCHEDULE"))))</f>
        <v>CRITICAL</v>
      </c>
      <c r="Q169" t="str">
        <f>IFERROR(IF(AND($A169=$B$8,'BOBOT PEK'!U16&lt;=$B$8,$B$8&lt;='BOBOT PEK'!V16),COUNTIFS($A$17:$A169,$B$8),""),"")</f>
        <v/>
      </c>
    </row>
    <row r="170" spans="1:17" ht="12.75" customHeight="1" x14ac:dyDescent="0.2">
      <c r="A170">
        <f>IFERROR(IF(COUNTIF($C$17:C170,C170)&lt;=('BOBOT PEK'!V17-'BOBOT PEK'!U17+1),'BOBOT PEK'!U17+COUNTIF($C$17:C170,C170)-1,0),0)</f>
        <v>8</v>
      </c>
      <c r="B170" t="str">
        <f>IFERROR(TEXT(INDEX('KALENDER MINGGU'!$B$6:$B$21,$A170),"dd/mm")&amp;" - "&amp;TEXT(INDEX('KALENDER MINGGU'!$C$6:$C$21,$A170),"dd/mm"),"")</f>
        <v>10/09 - 16/09</v>
      </c>
      <c r="C170" t="s">
        <v>424</v>
      </c>
      <c r="D170" t="str">
        <f>'BOBOT PEK'!C17</f>
        <v>Pasang aluminium bubble dibawah atap+plat strip</v>
      </c>
      <c r="E170" s="241">
        <f>'BOBOT PEK'!J17</f>
        <v>8.8263924722585472</v>
      </c>
      <c r="F170">
        <f>100/('BOBOT PEK'!V17-'BOBOT PEK'!U17+1)</f>
        <v>25</v>
      </c>
      <c r="G170">
        <f t="shared" si="4"/>
        <v>2.2065981180646368</v>
      </c>
      <c r="H170">
        <f>MIN(100,($A170-'BOBOT PEK'!U17+1)/('BOBOT PEK'!V17-'BOBOT PEK'!U17+1)*100)</f>
        <v>75</v>
      </c>
      <c r="I170">
        <f>IFERROR(SUM(INDEX(TS!$M:$AB,25,1):INDEX(TS!$M:$AB,25,$A170))/TS!$L$15*100,0)</f>
        <v>6.3585114450039812</v>
      </c>
      <c r="J170">
        <f t="shared" si="5"/>
        <v>93.641488554996016</v>
      </c>
      <c r="O170" t="str">
        <f ca="1">IF(I170&gt;=99.9,"COMPLETED",IF('BOBOT PEK'!U17&gt;$J$7,"NOT STARTED",IF('BOBOT PEK'!V17&lt;$J$7,"CRITICAL",IF(I170+1&lt;H170,"DELAYED","ON SCHEDULE"))))</f>
        <v>CRITICAL</v>
      </c>
      <c r="Q170" t="str">
        <f>IFERROR(IF(AND($A170=$B$8,'BOBOT PEK'!U17&lt;=$B$8,$B$8&lt;='BOBOT PEK'!V17),COUNTIFS($A$17:$A170,$B$8),""),"")</f>
        <v/>
      </c>
    </row>
    <row r="171" spans="1:17" ht="12.75" customHeight="1" x14ac:dyDescent="0.2">
      <c r="A171">
        <f>IFERROR(IF(COUNTIF($C$17:C171,C171)&lt;=('BOBOT PEK'!V18-'BOBOT PEK'!U18+1),'BOBOT PEK'!U18+COUNTIF($C$17:C171,C171)-1,0),0)</f>
        <v>8</v>
      </c>
      <c r="B171" t="str">
        <f>IFERROR(TEXT(INDEX('KALENDER MINGGU'!$B$6:$B$21,$A171),"dd/mm")&amp;" - "&amp;TEXT(INDEX('KALENDER MINGGU'!$C$6:$C$21,$A171),"dd/mm"),"")</f>
        <v>10/09 - 16/09</v>
      </c>
      <c r="C171" t="s">
        <v>425</v>
      </c>
      <c r="D171" t="str">
        <f>'BOBOT PEK'!C18</f>
        <v>Pekerjaan finishing cat sisi luar samping dan belakang</v>
      </c>
      <c r="E171" s="241">
        <f>'BOBOT PEK'!J18</f>
        <v>1.8094104568130023</v>
      </c>
      <c r="F171">
        <f>100/('BOBOT PEK'!V18-'BOBOT PEK'!U18+1)</f>
        <v>33.333333333333336</v>
      </c>
      <c r="G171">
        <f t="shared" si="4"/>
        <v>0.60313681893766746</v>
      </c>
      <c r="H171">
        <f>MIN(100,($A171-'BOBOT PEK'!U18+1)/('BOBOT PEK'!V18-'BOBOT PEK'!U18+1)*100)</f>
        <v>66.666666666666657</v>
      </c>
      <c r="I171">
        <f>IFERROR(SUM(INDEX(TS!$M:$AB,25,1):INDEX(TS!$M:$AB,25,$A171))/TS!$L$15*100,0)</f>
        <v>6.3585114450039812</v>
      </c>
      <c r="J171">
        <f t="shared" si="5"/>
        <v>93.641488554996016</v>
      </c>
      <c r="O171" t="str">
        <f ca="1">IF(I171&gt;=99.9,"COMPLETED",IF('BOBOT PEK'!U18&gt;$J$7,"NOT STARTED",IF('BOBOT PEK'!V18&lt;$J$7,"CRITICAL",IF(I171+1&lt;H171,"DELAYED","ON SCHEDULE"))))</f>
        <v>CRITICAL</v>
      </c>
      <c r="Q171" t="str">
        <f>IFERROR(IF(AND($A171=$B$8,'BOBOT PEK'!U18&lt;=$B$8,$B$8&lt;='BOBOT PEK'!V18),COUNTIFS($A$17:$A171,$B$8),""),"")</f>
        <v/>
      </c>
    </row>
    <row r="172" spans="1:17" ht="12.75" customHeight="1" x14ac:dyDescent="0.2">
      <c r="A172">
        <f>IFERROR(IF(COUNTIF($C$17:C172,C172)&lt;=('BOBOT PEK'!V19-'BOBOT PEK'!U19+1),'BOBOT PEK'!U19+COUNTIF($C$17:C172,C172)-1,0),0)</f>
        <v>8</v>
      </c>
      <c r="B172" t="str">
        <f>IFERROR(TEXT(INDEX('KALENDER MINGGU'!$B$6:$B$21,$A172),"dd/mm")&amp;" - "&amp;TEXT(INDEX('KALENDER MINGGU'!$C$6:$C$21,$A172),"dd/mm"),"")</f>
        <v>10/09 - 16/09</v>
      </c>
      <c r="C172" t="s">
        <v>426</v>
      </c>
      <c r="D172" t="str">
        <f>'BOBOT PEK'!C19</f>
        <v>Pasang turbin ventilator 32"</v>
      </c>
      <c r="E172" s="241">
        <f>'BOBOT PEK'!J19</f>
        <v>1.1512685833380714</v>
      </c>
      <c r="F172">
        <f>100/('BOBOT PEK'!V19-'BOBOT PEK'!U19+1)</f>
        <v>33.333333333333336</v>
      </c>
      <c r="G172">
        <f t="shared" si="4"/>
        <v>0.38375619444602382</v>
      </c>
      <c r="H172">
        <f>MIN(100,($A172-'BOBOT PEK'!U19+1)/('BOBOT PEK'!V19-'BOBOT PEK'!U19+1)*100)</f>
        <v>66.666666666666657</v>
      </c>
      <c r="I172">
        <f>IFERROR(SUM(INDEX(TS!$M:$AB,25,1):INDEX(TS!$M:$AB,25,$A172))/TS!$L$15*100,0)</f>
        <v>6.3585114450039812</v>
      </c>
      <c r="J172">
        <f t="shared" si="5"/>
        <v>93.641488554996016</v>
      </c>
      <c r="O172" t="str">
        <f ca="1">IF(I172&gt;=99.9,"COMPLETED",IF('BOBOT PEK'!U19&gt;$J$7,"NOT STARTED",IF('BOBOT PEK'!V19&lt;$J$7,"CRITICAL",IF(I172+1&lt;H172,"DELAYED","ON SCHEDULE"))))</f>
        <v>CRITICAL</v>
      </c>
      <c r="Q172" t="str">
        <f>IFERROR(IF(AND($A172=$B$8,'BOBOT PEK'!U19&lt;=$B$8,$B$8&lt;='BOBOT PEK'!V19),COUNTIFS($A$17:$A172,$B$8),""),"")</f>
        <v/>
      </c>
    </row>
    <row r="173" spans="1:17" ht="12.75" customHeight="1" x14ac:dyDescent="0.2">
      <c r="A173">
        <f>IFERROR(IF(COUNTIF($C$17:C173,C173)&lt;=('BOBOT PEK'!V20-'BOBOT PEK'!U20+1),'BOBOT PEK'!U20+COUNTIF($C$17:C173,C173)-1,0),0)</f>
        <v>8</v>
      </c>
      <c r="B173" t="str">
        <f>IFERROR(TEXT(INDEX('KALENDER MINGGU'!$B$6:$B$21,$A173),"dd/mm")&amp;" - "&amp;TEXT(INDEX('KALENDER MINGGU'!$C$6:$C$21,$A173),"dd/mm"),"")</f>
        <v>10/09 - 16/09</v>
      </c>
      <c r="C173" t="s">
        <v>427</v>
      </c>
      <c r="D173" t="str">
        <f>'BOBOT PEK'!C20</f>
        <v>Bongkar atap existing</v>
      </c>
      <c r="E173" s="241">
        <f>'BOBOT PEK'!J20</f>
        <v>0.12536035685236779</v>
      </c>
      <c r="F173">
        <f>100/('BOBOT PEK'!V20-'BOBOT PEK'!U20+1)</f>
        <v>33.333333333333336</v>
      </c>
      <c r="G173">
        <f t="shared" si="4"/>
        <v>4.1786785617455934E-2</v>
      </c>
      <c r="H173">
        <f>MIN(100,($A173-'BOBOT PEK'!U20+1)/('BOBOT PEK'!V20-'BOBOT PEK'!U20+1)*100)</f>
        <v>66.666666666666657</v>
      </c>
      <c r="I173">
        <f>IFERROR(SUM(INDEX(TS!$M:$AB,25,1):INDEX(TS!$M:$AB,25,$A173))/TS!$L$15*100,0)</f>
        <v>6.3585114450039812</v>
      </c>
      <c r="J173">
        <f t="shared" si="5"/>
        <v>93.641488554996016</v>
      </c>
      <c r="O173" t="str">
        <f ca="1">IF(I173&gt;=99.9,"COMPLETED",IF('BOBOT PEK'!U20&gt;$J$7,"NOT STARTED",IF('BOBOT PEK'!V20&lt;$J$7,"CRITICAL",IF(I173+1&lt;H173,"DELAYED","ON SCHEDULE"))))</f>
        <v>CRITICAL</v>
      </c>
      <c r="Q173" t="str">
        <f>IFERROR(IF(AND($A173=$B$8,'BOBOT PEK'!U20&lt;=$B$8,$B$8&lt;='BOBOT PEK'!V20),COUNTIFS($A$17:$A173,$B$8),""),"")</f>
        <v/>
      </c>
    </row>
    <row r="174" spans="1:17" ht="12.75" customHeight="1" x14ac:dyDescent="0.2">
      <c r="A174">
        <f>IFERROR(IF(COUNTIF($C$17:C174,C174)&lt;=('BOBOT PEK'!V21-'BOBOT PEK'!U21+1),'BOBOT PEK'!U21+COUNTIF($C$17:C174,C174)-1,0),0)</f>
        <v>8</v>
      </c>
      <c r="B174" t="str">
        <f>IFERROR(TEXT(INDEX('KALENDER MINGGU'!$B$6:$B$21,$A174),"dd/mm")&amp;" - "&amp;TEXT(INDEX('KALENDER MINGGU'!$C$6:$C$21,$A174),"dd/mm"),"")</f>
        <v>10/09 - 16/09</v>
      </c>
      <c r="C174" t="s">
        <v>428</v>
      </c>
      <c r="D174" t="str">
        <f>'BOBOT PEK'!C21</f>
        <v>Pasang atap fiber bening</v>
      </c>
      <c r="E174" s="241">
        <f>'BOBOT PEK'!J21</f>
        <v>0.71706124119554371</v>
      </c>
      <c r="F174">
        <f>100/('BOBOT PEK'!V21-'BOBOT PEK'!U21+1)</f>
        <v>33.333333333333336</v>
      </c>
      <c r="G174">
        <f t="shared" si="4"/>
        <v>0.23902041373184793</v>
      </c>
      <c r="H174">
        <f>MIN(100,($A174-'BOBOT PEK'!U21+1)/('BOBOT PEK'!V21-'BOBOT PEK'!U21+1)*100)</f>
        <v>66.666666666666657</v>
      </c>
      <c r="I174">
        <f>IFERROR(SUM(INDEX(TS!$M:$AB,25,1):INDEX(TS!$M:$AB,25,$A174))/TS!$L$15*100,0)</f>
        <v>6.3585114450039812</v>
      </c>
      <c r="J174">
        <f t="shared" si="5"/>
        <v>93.641488554996016</v>
      </c>
      <c r="O174" t="str">
        <f ca="1">IF(I174&gt;=99.9,"COMPLETED",IF('BOBOT PEK'!U21&gt;$J$7,"NOT STARTED",IF('BOBOT PEK'!V21&lt;$J$7,"CRITICAL",IF(I174+1&lt;H174,"DELAYED","ON SCHEDULE"))))</f>
        <v>CRITICAL</v>
      </c>
      <c r="Q174" t="str">
        <f>IFERROR(IF(AND($A174=$B$8,'BOBOT PEK'!U21&lt;=$B$8,$B$8&lt;='BOBOT PEK'!V21),COUNTIFS($A$17:$A174,$B$8),""),"")</f>
        <v/>
      </c>
    </row>
    <row r="175" spans="1:17" ht="12.75" customHeight="1" x14ac:dyDescent="0.2">
      <c r="A175">
        <f>IFERROR(IF(COUNTIF($C$17:C175,C175)&lt;=('BOBOT PEK'!V22-'BOBOT PEK'!U22+1),'BOBOT PEK'!U22+COUNTIF($C$17:C175,C175)-1,0),0)</f>
        <v>8</v>
      </c>
      <c r="B175" t="str">
        <f>IFERROR(TEXT(INDEX('KALENDER MINGGU'!$B$6:$B$21,$A175),"dd/mm")&amp;" - "&amp;TEXT(INDEX('KALENDER MINGGU'!$C$6:$C$21,$A175),"dd/mm"),"")</f>
        <v>10/09 - 16/09</v>
      </c>
      <c r="C175" t="s">
        <v>429</v>
      </c>
      <c r="D175" t="str">
        <f>'BOBOT PEK'!C22</f>
        <v>pekerjaan refinishing kanopi loading dock</v>
      </c>
      <c r="E175" s="241">
        <f>'BOBOT PEK'!J22</f>
        <v>0.63063934620629902</v>
      </c>
      <c r="F175">
        <f>100/('BOBOT PEK'!V22-'BOBOT PEK'!U22+1)</f>
        <v>33.333333333333336</v>
      </c>
      <c r="G175">
        <f t="shared" si="4"/>
        <v>0.21021311540209969</v>
      </c>
      <c r="H175">
        <f>MIN(100,($A175-'BOBOT PEK'!U22+1)/('BOBOT PEK'!V22-'BOBOT PEK'!U22+1)*100)</f>
        <v>66.666666666666657</v>
      </c>
      <c r="I175">
        <f>IFERROR(SUM(INDEX(TS!$M:$AB,25,1):INDEX(TS!$M:$AB,25,$A175))/TS!$L$15*100,0)</f>
        <v>6.3585114450039812</v>
      </c>
      <c r="J175">
        <f t="shared" si="5"/>
        <v>93.641488554996016</v>
      </c>
      <c r="O175" t="str">
        <f ca="1">IF(I175&gt;=99.9,"COMPLETED",IF('BOBOT PEK'!U22&gt;$J$7,"NOT STARTED",IF('BOBOT PEK'!V22&lt;$J$7,"CRITICAL",IF(I175+1&lt;H175,"DELAYED","ON SCHEDULE"))))</f>
        <v>CRITICAL</v>
      </c>
      <c r="Q175" t="str">
        <f>IFERROR(IF(AND($A175=$B$8,'BOBOT PEK'!U22&lt;=$B$8,$B$8&lt;='BOBOT PEK'!V22),COUNTIFS($A$17:$A175,$B$8),""),"")</f>
        <v/>
      </c>
    </row>
    <row r="176" spans="1:17" ht="12.75" customHeight="1" x14ac:dyDescent="0.2">
      <c r="A176">
        <f>IFERROR(IF(COUNTIF($C$17:C176,C176)&lt;=('BOBOT PEK'!V23-'BOBOT PEK'!U23+1),'BOBOT PEK'!U23+COUNTIF($C$17:C176,C176)-1,0),0)</f>
        <v>9</v>
      </c>
      <c r="B176" t="str">
        <f>IFERROR(TEXT(INDEX('KALENDER MINGGU'!$B$6:$B$21,$A176),"dd/mm")&amp;" - "&amp;TEXT(INDEX('KALENDER MINGGU'!$C$6:$C$21,$A176),"dd/mm"),"")</f>
        <v>17/09 - 23/09</v>
      </c>
      <c r="C176" t="s">
        <v>430</v>
      </c>
      <c r="D176" t="str">
        <f>'BOBOT PEK'!C23</f>
        <v>Perbaikan loading dock</v>
      </c>
      <c r="E176" s="241">
        <f>'BOBOT PEK'!J23</f>
        <v>0.39661202695996561</v>
      </c>
      <c r="F176">
        <f>100/('BOBOT PEK'!V23-'BOBOT PEK'!U23+1)</f>
        <v>50</v>
      </c>
      <c r="G176">
        <f t="shared" si="4"/>
        <v>0.19830601347998281</v>
      </c>
      <c r="H176">
        <f>MIN(100,($A176-'BOBOT PEK'!U23+1)/('BOBOT PEK'!V23-'BOBOT PEK'!U23+1)*100)</f>
        <v>100</v>
      </c>
      <c r="I176">
        <f>IFERROR(SUM(INDEX(TS!$M:$AB,25,1):INDEX(TS!$M:$AB,25,$A176))/TS!$L$15*100,0)</f>
        <v>6.3585114450039812</v>
      </c>
      <c r="J176">
        <f t="shared" si="5"/>
        <v>93.641488554996016</v>
      </c>
      <c r="O176" t="str">
        <f ca="1">IF(I176&gt;=99.9,"COMPLETED",IF('BOBOT PEK'!U23&gt;$J$7,"NOT STARTED",IF('BOBOT PEK'!V23&lt;$J$7,"CRITICAL",IF(I176+1&lt;H176,"DELAYED","ON SCHEDULE"))))</f>
        <v>CRITICAL</v>
      </c>
      <c r="Q176" t="str">
        <f>IFERROR(IF(AND($A176=$B$8,'BOBOT PEK'!U23&lt;=$B$8,$B$8&lt;='BOBOT PEK'!V23),COUNTIFS($A$17:$A176,$B$8),""),"")</f>
        <v/>
      </c>
    </row>
    <row r="177" spans="1:17" ht="12.75" customHeight="1" x14ac:dyDescent="0.2">
      <c r="A177">
        <f>IFERROR(IF(COUNTIF($C$17:C177,C177)&lt;=('BOBOT PEK'!V24-'BOBOT PEK'!U24+1),'BOBOT PEK'!U24+COUNTIF($C$17:C177,C177)-1,0),0)</f>
        <v>9</v>
      </c>
      <c r="B177" t="str">
        <f>IFERROR(TEXT(INDEX('KALENDER MINGGU'!$B$6:$B$21,$A177),"dd/mm")&amp;" - "&amp;TEXT(INDEX('KALENDER MINGGU'!$C$6:$C$21,$A177),"dd/mm"),"")</f>
        <v>17/09 - 23/09</v>
      </c>
      <c r="C177" t="s">
        <v>431</v>
      </c>
      <c r="D177" t="str">
        <f>'BOBOT PEK'!C24</f>
        <v>Perbaikan dinding dan cat dinding loading dock</v>
      </c>
      <c r="E177" s="241">
        <f>'BOBOT PEK'!J24</f>
        <v>5.4429420245594377E-2</v>
      </c>
      <c r="F177">
        <f>100/('BOBOT PEK'!V24-'BOBOT PEK'!U24+1)</f>
        <v>50</v>
      </c>
      <c r="G177">
        <f t="shared" si="4"/>
        <v>2.7214710122797189E-2</v>
      </c>
      <c r="H177">
        <f>MIN(100,($A177-'BOBOT PEK'!U24+1)/('BOBOT PEK'!V24-'BOBOT PEK'!U24+1)*100)</f>
        <v>100</v>
      </c>
      <c r="I177">
        <f>IFERROR(SUM(INDEX(TS!$M:$AB,25,1):INDEX(TS!$M:$AB,25,$A177))/TS!$L$15*100,0)</f>
        <v>6.3585114450039812</v>
      </c>
      <c r="J177">
        <f t="shared" si="5"/>
        <v>93.641488554996016</v>
      </c>
      <c r="O177" t="str">
        <f ca="1">IF(I177&gt;=99.9,"COMPLETED",IF('BOBOT PEK'!U24&gt;$J$7,"NOT STARTED",IF('BOBOT PEK'!V24&lt;$J$7,"CRITICAL",IF(I177+1&lt;H177,"DELAYED","ON SCHEDULE"))))</f>
        <v>CRITICAL</v>
      </c>
      <c r="Q177" t="str">
        <f>IFERROR(IF(AND($A177=$B$8,'BOBOT PEK'!U24&lt;=$B$8,$B$8&lt;='BOBOT PEK'!V24),COUNTIFS($A$17:$A177,$B$8),""),"")</f>
        <v/>
      </c>
    </row>
    <row r="178" spans="1:17" ht="12.75" customHeight="1" x14ac:dyDescent="0.2">
      <c r="A178">
        <f>IFERROR(IF(COUNTIF($C$17:C178,C178)&lt;=('BOBOT PEK'!V25-'BOBOT PEK'!U25+1),'BOBOT PEK'!U25+COUNTIF($C$17:C178,C178)-1,0),0)</f>
        <v>8</v>
      </c>
      <c r="B178" t="str">
        <f>IFERROR(TEXT(INDEX('KALENDER MINGGU'!$B$6:$B$21,$A178),"dd/mm")&amp;" - "&amp;TEXT(INDEX('KALENDER MINGGU'!$C$6:$C$21,$A178),"dd/mm"),"")</f>
        <v>10/09 - 16/09</v>
      </c>
      <c r="C178" t="s">
        <v>432</v>
      </c>
      <c r="D178" t="str">
        <f>'BOBOT PEK'!C25</f>
        <v>Servis kebocoran pipa talang</v>
      </c>
      <c r="E178" s="241">
        <f>'BOBOT PEK'!J25</f>
        <v>0.13303548074128826</v>
      </c>
      <c r="F178">
        <f>100/('BOBOT PEK'!V25-'BOBOT PEK'!U25+1)</f>
        <v>33.333333333333336</v>
      </c>
      <c r="G178">
        <f t="shared" si="4"/>
        <v>4.4345160247096095E-2</v>
      </c>
      <c r="H178">
        <f>MIN(100,($A178-'BOBOT PEK'!U25+1)/('BOBOT PEK'!V25-'BOBOT PEK'!U25+1)*100)</f>
        <v>66.666666666666657</v>
      </c>
      <c r="I178">
        <f>IFERROR(SUM(INDEX(TS!$M:$AB,25,1):INDEX(TS!$M:$AB,25,$A178))/TS!$L$15*100,0)</f>
        <v>6.3585114450039812</v>
      </c>
      <c r="J178">
        <f t="shared" si="5"/>
        <v>93.641488554996016</v>
      </c>
      <c r="O178" t="str">
        <f ca="1">IF(I178&gt;=99.9,"COMPLETED",IF('BOBOT PEK'!U25&gt;$J$7,"NOT STARTED",IF('BOBOT PEK'!V25&lt;$J$7,"CRITICAL",IF(I178+1&lt;H178,"DELAYED","ON SCHEDULE"))))</f>
        <v>CRITICAL</v>
      </c>
      <c r="Q178" t="str">
        <f>IFERROR(IF(AND($A178=$B$8,'BOBOT PEK'!U25&lt;=$B$8,$B$8&lt;='BOBOT PEK'!V25),COUNTIFS($A$17:$A178,$B$8),""),"")</f>
        <v/>
      </c>
    </row>
    <row r="179" spans="1:17" ht="12.75" customHeight="1" x14ac:dyDescent="0.2">
      <c r="A179">
        <f>IFERROR(IF(COUNTIF($C$17:C179,C179)&lt;=('BOBOT PEK'!V27-'BOBOT PEK'!U27+1),'BOBOT PEK'!U27+COUNTIF($C$17:C179,C179)-1,0),0)</f>
        <v>9</v>
      </c>
      <c r="B179" t="str">
        <f>IFERROR(TEXT(INDEX('KALENDER MINGGU'!$B$6:$B$21,$A179),"dd/mm")&amp;" - "&amp;TEXT(INDEX('KALENDER MINGGU'!$C$6:$C$21,$A179),"dd/mm"),"")</f>
        <v>17/09 - 23/09</v>
      </c>
      <c r="C179" t="s">
        <v>434</v>
      </c>
      <c r="D179" t="str">
        <f>'BOBOT PEK'!C27</f>
        <v>Pembongkaran pintu rolling door</v>
      </c>
      <c r="E179" s="241">
        <f>'BOBOT PEK'!J27</f>
        <v>6.3959365741003971E-2</v>
      </c>
      <c r="F179">
        <f>100/('BOBOT PEK'!V27-'BOBOT PEK'!U27+1)</f>
        <v>50</v>
      </c>
      <c r="G179">
        <f t="shared" si="4"/>
        <v>3.1979682870501985E-2</v>
      </c>
      <c r="H179">
        <f>MIN(100,($A179-'BOBOT PEK'!U27+1)/('BOBOT PEK'!V27-'BOBOT PEK'!U27+1)*100)</f>
        <v>100</v>
      </c>
      <c r="I179">
        <f>IFERROR(SUM(INDEX(TS!$M:$AB,25,1):INDEX(TS!$M:$AB,25,$A179))/TS!$L$15*100,0)</f>
        <v>6.3585114450039812</v>
      </c>
      <c r="J179">
        <f t="shared" si="5"/>
        <v>93.641488554996016</v>
      </c>
      <c r="O179" t="str">
        <f ca="1">IF(I179&gt;=99.9,"COMPLETED",IF('BOBOT PEK'!U27&gt;$J$7,"NOT STARTED",IF('BOBOT PEK'!V27&lt;$J$7,"CRITICAL",IF(I179+1&lt;H179,"DELAYED","ON SCHEDULE"))))</f>
        <v>CRITICAL</v>
      </c>
      <c r="Q179" t="str">
        <f>IFERROR(IF(AND($A179=$B$8,'BOBOT PEK'!U27&lt;=$B$8,$B$8&lt;='BOBOT PEK'!V27),COUNTIFS($A$17:$A179,$B$8),""),"")</f>
        <v/>
      </c>
    </row>
    <row r="180" spans="1:17" ht="12.75" customHeight="1" x14ac:dyDescent="0.2">
      <c r="A180">
        <f>IFERROR(IF(COUNTIF($C$17:C180,C180)&lt;=('BOBOT PEK'!V28-'BOBOT PEK'!U28+1),'BOBOT PEK'!U28+COUNTIF($C$17:C180,C180)-1,0),0)</f>
        <v>9</v>
      </c>
      <c r="B180" t="str">
        <f>IFERROR(TEXT(INDEX('KALENDER MINGGU'!$B$6:$B$21,$A180),"dd/mm")&amp;" - "&amp;TEXT(INDEX('KALENDER MINGGU'!$C$6:$C$21,$A180),"dd/mm"),"")</f>
        <v>17/09 - 23/09</v>
      </c>
      <c r="C180" t="s">
        <v>435</v>
      </c>
      <c r="D180" t="str">
        <f>'BOBOT PEK'!C28</f>
        <v>Perapian kabel  dalam gudang</v>
      </c>
      <c r="E180" s="241">
        <f>'BOBOT PEK'!J28</f>
        <v>0.49734802800204686</v>
      </c>
      <c r="F180">
        <f>100/('BOBOT PEK'!V28-'BOBOT PEK'!U28+1)</f>
        <v>33.333333333333336</v>
      </c>
      <c r="G180">
        <f t="shared" si="4"/>
        <v>0.16578267600068231</v>
      </c>
      <c r="H180">
        <f>MIN(100,($A180-'BOBOT PEK'!U28+1)/('BOBOT PEK'!V28-'BOBOT PEK'!U28+1)*100)</f>
        <v>66.666666666666657</v>
      </c>
      <c r="I180">
        <f>IFERROR(SUM(INDEX(TS!$M:$AB,25,1):INDEX(TS!$M:$AB,25,$A180))/TS!$L$15*100,0)</f>
        <v>6.3585114450039812</v>
      </c>
      <c r="J180">
        <f t="shared" si="5"/>
        <v>93.641488554996016</v>
      </c>
      <c r="O180" t="str">
        <f ca="1">IF(I180&gt;=99.9,"COMPLETED",IF('BOBOT PEK'!U28&gt;$J$7,"NOT STARTED",IF('BOBOT PEK'!V28&lt;$J$7,"CRITICAL",IF(I180+1&lt;H180,"DELAYED","ON SCHEDULE"))))</f>
        <v>DELAYED</v>
      </c>
      <c r="Q180" t="str">
        <f>IFERROR(IF(AND($A180=$B$8,'BOBOT PEK'!U28&lt;=$B$8,$B$8&lt;='BOBOT PEK'!V28),COUNTIFS($A$17:$A180,$B$8),""),"")</f>
        <v/>
      </c>
    </row>
    <row r="181" spans="1:17" ht="12.75" customHeight="1" x14ac:dyDescent="0.2">
      <c r="A181">
        <f>IFERROR(IF(COUNTIF($C$17:C181,C181)&lt;=('BOBOT PEK'!V32-'BOBOT PEK'!U32+1),'BOBOT PEK'!U32+COUNTIF($C$17:C181,C181)-1,0),0)</f>
        <v>10</v>
      </c>
      <c r="B181" t="str">
        <f>IFERROR(TEXT(INDEX('KALENDER MINGGU'!$B$6:$B$21,$A181),"dd/mm")&amp;" - "&amp;TEXT(INDEX('KALENDER MINGGU'!$C$6:$C$21,$A181),"dd/mm"),"")</f>
        <v>24/09 - 30/09</v>
      </c>
      <c r="C181" t="s">
        <v>436</v>
      </c>
      <c r="D181" t="str">
        <f>'BOBOT PEK'!C32</f>
        <v>Perbaikan atap existing</v>
      </c>
      <c r="E181" s="241">
        <f>'BOBOT PEK'!J32</f>
        <v>3.0700495555681905E-2</v>
      </c>
      <c r="F181">
        <f>100/('BOBOT PEK'!V32-'BOBOT PEK'!U32+1)</f>
        <v>50</v>
      </c>
      <c r="G181">
        <f t="shared" si="4"/>
        <v>1.5350247777840952E-2</v>
      </c>
      <c r="H181">
        <f>MIN(100,($A181-'BOBOT PEK'!U32+1)/('BOBOT PEK'!V32-'BOBOT PEK'!U32+1)*100)</f>
        <v>100</v>
      </c>
      <c r="I181">
        <f>IFERROR(SUM(INDEX(TS!$M:$AB,27,1):INDEX(TS!$M:$AB,27,$A181))/TS!$L$17*100,0)</f>
        <v>1378.7904749080305</v>
      </c>
      <c r="J181">
        <f t="shared" si="5"/>
        <v>0</v>
      </c>
      <c r="O181" t="str">
        <f>IF(I181&gt;=99.9,"COMPLETED",IF('BOBOT PEK'!U32&gt;$J$7,"NOT STARTED",IF('BOBOT PEK'!V32&lt;$J$7,"CRITICAL",IF(I181+1&lt;H181,"DELAYED","ON SCHEDULE"))))</f>
        <v>COMPLETED</v>
      </c>
      <c r="Q181" t="str">
        <f>IFERROR(IF(AND($A181=$B$8,'BOBOT PEK'!U32&lt;=$B$8,$B$8&lt;='BOBOT PEK'!V32),COUNTIFS($A$17:$A181,$B$8),""),"")</f>
        <v/>
      </c>
    </row>
    <row r="182" spans="1:17" ht="12.75" customHeight="1" x14ac:dyDescent="0.2">
      <c r="A182">
        <f>IFERROR(IF(COUNTIF($C$17:C182,C182)&lt;=('BOBOT PEK'!V33-'BOBOT PEK'!U33+1),'BOBOT PEK'!U33+COUNTIF($C$17:C182,C182)-1,0),0)</f>
        <v>8</v>
      </c>
      <c r="B182" t="str">
        <f>IFERROR(TEXT(INDEX('KALENDER MINGGU'!$B$6:$B$21,$A182),"dd/mm")&amp;" - "&amp;TEXT(INDEX('KALENDER MINGGU'!$C$6:$C$21,$A182),"dd/mm"),"")</f>
        <v>10/09 - 16/09</v>
      </c>
      <c r="C182" t="s">
        <v>437</v>
      </c>
      <c r="D182" t="str">
        <f>'BOBOT PEK'!C33</f>
        <v>Pekerjaan bongkaran lantai paving block existing</v>
      </c>
      <c r="E182" s="241">
        <f>'BOBOT PEK'!J33</f>
        <v>9.4020267639275831E-2</v>
      </c>
      <c r="F182">
        <f>100/('BOBOT PEK'!V33-'BOBOT PEK'!U33+1)</f>
        <v>33.333333333333336</v>
      </c>
      <c r="G182">
        <f t="shared" si="4"/>
        <v>3.1340089213091948E-2</v>
      </c>
      <c r="H182">
        <f>MIN(100,($A182-'BOBOT PEK'!U33+1)/('BOBOT PEK'!V33-'BOBOT PEK'!U33+1)*100)</f>
        <v>66.666666666666657</v>
      </c>
      <c r="I182">
        <f>IFERROR(SUM(INDEX(TS!$M:$AB,27,1):INDEX(TS!$M:$AB,27,$A182))/TS!$L$17*100,0)</f>
        <v>1103.0323799264245</v>
      </c>
      <c r="J182">
        <f t="shared" si="5"/>
        <v>0</v>
      </c>
      <c r="O182" t="str">
        <f>IF(I182&gt;=99.9,"COMPLETED",IF('BOBOT PEK'!U33&gt;$J$7,"NOT STARTED",IF('BOBOT PEK'!V33&lt;$J$7,"CRITICAL",IF(I182+1&lt;H182,"DELAYED","ON SCHEDULE"))))</f>
        <v>COMPLETED</v>
      </c>
      <c r="Q182" t="str">
        <f>IFERROR(IF(AND($A182=$B$8,'BOBOT PEK'!U33&lt;=$B$8,$B$8&lt;='BOBOT PEK'!V33),COUNTIFS($A$17:$A182,$B$8),""),"")</f>
        <v/>
      </c>
    </row>
    <row r="183" spans="1:17" ht="12.75" customHeight="1" x14ac:dyDescent="0.2">
      <c r="A183">
        <f>IFERROR(IF(COUNTIF($C$17:C183,C183)&lt;=('BOBOT PEK'!V34-'BOBOT PEK'!U34+1),'BOBOT PEK'!U34+COUNTIF($C$17:C183,C183)-1,0),0)</f>
        <v>8</v>
      </c>
      <c r="B183" t="str">
        <f>IFERROR(TEXT(INDEX('KALENDER MINGGU'!$B$6:$B$21,$A183),"dd/mm")&amp;" - "&amp;TEXT(INDEX('KALENDER MINGGU'!$C$6:$C$21,$A183),"dd/mm"),"")</f>
        <v>10/09 - 16/09</v>
      </c>
      <c r="C183" t="s">
        <v>438</v>
      </c>
      <c r="D183" t="str">
        <f>'BOBOT PEK'!C34</f>
        <v>Pekerjaan pasang rangka kolom dan atap area parkir + penutup + talang</v>
      </c>
      <c r="E183" s="241">
        <f>'BOBOT PEK'!J34</f>
        <v>0.28142120926041747</v>
      </c>
      <c r="F183">
        <f>100/('BOBOT PEK'!V34-'BOBOT PEK'!U34+1)</f>
        <v>33.333333333333336</v>
      </c>
      <c r="G183">
        <f t="shared" si="4"/>
        <v>9.38070697534725E-2</v>
      </c>
      <c r="H183">
        <f>MIN(100,($A183-'BOBOT PEK'!U34+1)/('BOBOT PEK'!V34-'BOBOT PEK'!U34+1)*100)</f>
        <v>66.666666666666657</v>
      </c>
      <c r="I183">
        <f>IFERROR(SUM(INDEX(TS!$M:$AB,27,1):INDEX(TS!$M:$AB,27,$A183))/TS!$L$17*100,0)</f>
        <v>1103.0323799264245</v>
      </c>
      <c r="J183">
        <f t="shared" si="5"/>
        <v>0</v>
      </c>
      <c r="O183" t="str">
        <f>IF(I183&gt;=99.9,"COMPLETED",IF('BOBOT PEK'!U34&gt;$J$7,"NOT STARTED",IF('BOBOT PEK'!V34&lt;$J$7,"CRITICAL",IF(I183+1&lt;H183,"DELAYED","ON SCHEDULE"))))</f>
        <v>COMPLETED</v>
      </c>
      <c r="Q183" t="str">
        <f>IFERROR(IF(AND($A183=$B$8,'BOBOT PEK'!U34&lt;=$B$8,$B$8&lt;='BOBOT PEK'!V34),COUNTIFS($A$17:$A183,$B$8),""),"")</f>
        <v/>
      </c>
    </row>
    <row r="184" spans="1:17" ht="12.75" customHeight="1" x14ac:dyDescent="0.2">
      <c r="A184">
        <f>IFERROR(IF(COUNTIF($C$17:C184,C184)&lt;=('BOBOT PEK'!V35-'BOBOT PEK'!U35+1),'BOBOT PEK'!U35+COUNTIF($C$17:C184,C184)-1,0),0)</f>
        <v>7</v>
      </c>
      <c r="B184" t="str">
        <f>IFERROR(TEXT(INDEX('KALENDER MINGGU'!$B$6:$B$21,$A184),"dd/mm")&amp;" - "&amp;TEXT(INDEX('KALENDER MINGGU'!$C$6:$C$21,$A184),"dd/mm"),"")</f>
        <v>03/09 - 09/09</v>
      </c>
      <c r="C184" t="s">
        <v>439</v>
      </c>
      <c r="D184" t="str">
        <f>'BOBOT PEK'!C35</f>
        <v>Pemasangan atap transparan di area tambahan</v>
      </c>
      <c r="E184" s="241">
        <f>'BOBOT PEK'!J35</f>
        <v>5.730759170393955E-2</v>
      </c>
      <c r="F184">
        <f>100/('BOBOT PEK'!V35-'BOBOT PEK'!U35+1)</f>
        <v>33.333333333333336</v>
      </c>
      <c r="G184">
        <f t="shared" si="4"/>
        <v>1.9102530567979854E-2</v>
      </c>
      <c r="H184">
        <f>MIN(100,($A184-'BOBOT PEK'!U35+1)/('BOBOT PEK'!V35-'BOBOT PEK'!U35+1)*100)</f>
        <v>33.333333333333329</v>
      </c>
      <c r="I184">
        <f>IFERROR(SUM(INDEX(TS!$M:$AB,27,1):INDEX(TS!$M:$AB,27,$A184))/TS!$L$17*100,0)</f>
        <v>965.15333243562134</v>
      </c>
      <c r="J184">
        <f t="shared" si="5"/>
        <v>0</v>
      </c>
      <c r="O184" t="str">
        <f>IF(I184&gt;=99.9,"COMPLETED",IF('BOBOT PEK'!U35&gt;$J$7,"NOT STARTED",IF('BOBOT PEK'!V35&lt;$J$7,"CRITICAL",IF(I184+1&lt;H184,"DELAYED","ON SCHEDULE"))))</f>
        <v>COMPLETED</v>
      </c>
      <c r="Q184" t="str">
        <f>IFERROR(IF(AND($A184=$B$8,'BOBOT PEK'!U35&lt;=$B$8,$B$8&lt;='BOBOT PEK'!V35),COUNTIFS($A$17:$A184,$B$8),""),"")</f>
        <v/>
      </c>
    </row>
    <row r="185" spans="1:17" ht="12.75" customHeight="1" x14ac:dyDescent="0.2">
      <c r="A185">
        <f>IFERROR(IF(COUNTIF($C$17:C185,C185)&lt;=('BOBOT PEK'!V36-'BOBOT PEK'!U36+1),'BOBOT PEK'!U36+COUNTIF($C$17:C185,C185)-1,0),0)</f>
        <v>8</v>
      </c>
      <c r="B185" t="str">
        <f>IFERROR(TEXT(INDEX('KALENDER MINGGU'!$B$6:$B$21,$A185),"dd/mm")&amp;" - "&amp;TEXT(INDEX('KALENDER MINGGU'!$C$6:$C$21,$A185),"dd/mm"),"")</f>
        <v>10/09 - 16/09</v>
      </c>
      <c r="C185" t="s">
        <v>440</v>
      </c>
      <c r="D185" t="str">
        <f>'BOBOT PEK'!C36</f>
        <v>Pemadatan dan peninggian lantai parkir</v>
      </c>
      <c r="E185" s="241">
        <f>'BOBOT PEK'!J36</f>
        <v>0.70994895972514405</v>
      </c>
      <c r="F185">
        <f>100/('BOBOT PEK'!V36-'BOBOT PEK'!U36+1)</f>
        <v>25</v>
      </c>
      <c r="G185">
        <f t="shared" si="4"/>
        <v>0.17748723993128601</v>
      </c>
      <c r="H185">
        <f>MIN(100,($A185-'BOBOT PEK'!U36+1)/('BOBOT PEK'!V36-'BOBOT PEK'!U36+1)*100)</f>
        <v>50</v>
      </c>
      <c r="I185">
        <f>IFERROR(SUM(INDEX(TS!$M:$AB,27,1):INDEX(TS!$M:$AB,27,$A185))/TS!$L$17*100,0)</f>
        <v>1103.0323799264245</v>
      </c>
      <c r="J185">
        <f t="shared" si="5"/>
        <v>0</v>
      </c>
      <c r="O185" t="str">
        <f>IF(I185&gt;=99.9,"COMPLETED",IF('BOBOT PEK'!U36&gt;$J$7,"NOT STARTED",IF('BOBOT PEK'!V36&lt;$J$7,"CRITICAL",IF(I185+1&lt;H185,"DELAYED","ON SCHEDULE"))))</f>
        <v>COMPLETED</v>
      </c>
      <c r="Q185" t="str">
        <f>IFERROR(IF(AND($A185=$B$8,'BOBOT PEK'!U36&lt;=$B$8,$B$8&lt;='BOBOT PEK'!V36),COUNTIFS($A$17:$A185,$B$8),""),"")</f>
        <v/>
      </c>
    </row>
    <row r="186" spans="1:17" ht="12.75" customHeight="1" x14ac:dyDescent="0.2">
      <c r="A186">
        <f>IFERROR(IF(COUNTIF($C$17:C186,C186)&lt;=('BOBOT PEK'!V37-'BOBOT PEK'!U37+1),'BOBOT PEK'!U37+COUNTIF($C$17:C186,C186)-1,0),0)</f>
        <v>9</v>
      </c>
      <c r="B186" t="str">
        <f>IFERROR(TEXT(INDEX('KALENDER MINGGU'!$B$6:$B$21,$A186),"dd/mm")&amp;" - "&amp;TEXT(INDEX('KALENDER MINGGU'!$C$6:$C$21,$A186),"dd/mm"),"")</f>
        <v>17/09 - 23/09</v>
      </c>
      <c r="C186" t="s">
        <v>441</v>
      </c>
      <c r="D186" t="str">
        <f>'BOBOT PEK'!C37</f>
        <v>Pasang paving block lantai parkir</v>
      </c>
      <c r="E186" s="241">
        <f>'BOBOT PEK'!J37</f>
        <v>0.44016835502958929</v>
      </c>
      <c r="F186">
        <f>100/('BOBOT PEK'!V37-'BOBOT PEK'!U37+1)</f>
        <v>33.333333333333336</v>
      </c>
      <c r="G186">
        <f t="shared" si="4"/>
        <v>0.1467227850098631</v>
      </c>
      <c r="H186">
        <f>MIN(100,($A186-'BOBOT PEK'!U37+1)/('BOBOT PEK'!V37-'BOBOT PEK'!U37+1)*100)</f>
        <v>66.666666666666657</v>
      </c>
      <c r="I186">
        <f>IFERROR(SUM(INDEX(TS!$M:$AB,27,1):INDEX(TS!$M:$AB,27,$A186))/TS!$L$17*100,0)</f>
        <v>1240.9114274172277</v>
      </c>
      <c r="J186">
        <f t="shared" si="5"/>
        <v>0</v>
      </c>
      <c r="O186" t="str">
        <f>IF(I186&gt;=99.9,"COMPLETED",IF('BOBOT PEK'!U37&gt;$J$7,"NOT STARTED",IF('BOBOT PEK'!V37&lt;$J$7,"CRITICAL",IF(I186+1&lt;H186,"DELAYED","ON SCHEDULE"))))</f>
        <v>COMPLETED</v>
      </c>
      <c r="Q186" t="str">
        <f>IFERROR(IF(AND($A186=$B$8,'BOBOT PEK'!U37&lt;=$B$8,$B$8&lt;='BOBOT PEK'!V37),COUNTIFS($A$17:$A186,$B$8),""),"")</f>
        <v/>
      </c>
    </row>
    <row r="187" spans="1:17" ht="12.75" customHeight="1" x14ac:dyDescent="0.2">
      <c r="A187">
        <f>IFERROR(IF(COUNTIF($C$17:C187,C187)&lt;=('BOBOT PEK'!V38-'BOBOT PEK'!U38+1),'BOBOT PEK'!U38+COUNTIF($C$17:C187,C187)-1,0),0)</f>
        <v>10</v>
      </c>
      <c r="B187" t="str">
        <f>IFERROR(TEXT(INDEX('KALENDER MINGGU'!$B$6:$B$21,$A187),"dd/mm")&amp;" - "&amp;TEXT(INDEX('KALENDER MINGGU'!$C$6:$C$21,$A187),"dd/mm"),"")</f>
        <v>24/09 - 30/09</v>
      </c>
      <c r="C187" t="s">
        <v>442</v>
      </c>
      <c r="D187" t="str">
        <f>'BOBOT PEK'!C38</f>
        <v>Instalasi penerangan + downlight exposed + bohlam 12 w</v>
      </c>
      <c r="E187" s="241">
        <f>'BOBOT PEK'!J38</f>
        <v>9.3124836518901771E-2</v>
      </c>
      <c r="F187">
        <f>100/('BOBOT PEK'!V38-'BOBOT PEK'!U38+1)</f>
        <v>50</v>
      </c>
      <c r="G187">
        <f t="shared" si="4"/>
        <v>4.6562418259450886E-2</v>
      </c>
      <c r="H187">
        <f>MIN(100,($A187-'BOBOT PEK'!U38+1)/('BOBOT PEK'!V38-'BOBOT PEK'!U38+1)*100)</f>
        <v>100</v>
      </c>
      <c r="I187">
        <f>IFERROR(SUM(INDEX(TS!$M:$AB,27,1):INDEX(TS!$M:$AB,27,$A187))/TS!$L$17*100,0)</f>
        <v>1378.7904749080305</v>
      </c>
      <c r="J187">
        <f t="shared" si="5"/>
        <v>0</v>
      </c>
      <c r="O187" t="str">
        <f>IF(I187&gt;=99.9,"COMPLETED",IF('BOBOT PEK'!U38&gt;$J$7,"NOT STARTED",IF('BOBOT PEK'!V38&lt;$J$7,"CRITICAL",IF(I187+1&lt;H187,"DELAYED","ON SCHEDULE"))))</f>
        <v>COMPLETED</v>
      </c>
      <c r="Q187" t="str">
        <f>IFERROR(IF(AND($A187=$B$8,'BOBOT PEK'!U38&lt;=$B$8,$B$8&lt;='BOBOT PEK'!V38),COUNTIFS($A$17:$A187,$B$8),""),"")</f>
        <v/>
      </c>
    </row>
    <row r="188" spans="1:17" ht="12.75" customHeight="1" x14ac:dyDescent="0.2">
      <c r="A188">
        <f>IFERROR(IF(COUNTIF($C$17:C188,C188)&lt;=('BOBOT PEK'!V39-'BOBOT PEK'!U39+1),'BOBOT PEK'!U39+COUNTIF($C$17:C188,C188)-1,0),0)</f>
        <v>10</v>
      </c>
      <c r="B188" t="str">
        <f>IFERROR(TEXT(INDEX('KALENDER MINGGU'!$B$6:$B$21,$A188),"dd/mm")&amp;" - "&amp;TEXT(INDEX('KALENDER MINGGU'!$C$6:$C$21,$A188),"dd/mm"),"")</f>
        <v>24/09 - 30/09</v>
      </c>
      <c r="C188" t="s">
        <v>443</v>
      </c>
      <c r="D188" t="str">
        <f>'BOBOT PEK'!C39</f>
        <v>Perapian kabel existing dan dinding existing</v>
      </c>
      <c r="E188" s="241">
        <f>'BOBOT PEK'!J39</f>
        <v>0.11512685833380715</v>
      </c>
      <c r="F188">
        <f>100/('BOBOT PEK'!V39-'BOBOT PEK'!U39+1)</f>
        <v>50</v>
      </c>
      <c r="G188">
        <f t="shared" si="4"/>
        <v>5.7563429166903574E-2</v>
      </c>
      <c r="H188">
        <f>MIN(100,($A188-'BOBOT PEK'!U39+1)/('BOBOT PEK'!V39-'BOBOT PEK'!U39+1)*100)</f>
        <v>100</v>
      </c>
      <c r="I188">
        <f>IFERROR(SUM(INDEX(TS!$M:$AB,27,1):INDEX(TS!$M:$AB,27,$A188))/TS!$L$17*100,0)</f>
        <v>1378.7904749080305</v>
      </c>
      <c r="J188">
        <f t="shared" si="5"/>
        <v>0</v>
      </c>
      <c r="O188" t="str">
        <f>IF(I188&gt;=99.9,"COMPLETED",IF('BOBOT PEK'!U39&gt;$J$7,"NOT STARTED",IF('BOBOT PEK'!V39&lt;$J$7,"CRITICAL",IF(I188+1&lt;H188,"DELAYED","ON SCHEDULE"))))</f>
        <v>COMPLETED</v>
      </c>
      <c r="Q188" t="str">
        <f>IFERROR(IF(AND($A188=$B$8,'BOBOT PEK'!U39&lt;=$B$8,$B$8&lt;='BOBOT PEK'!V39),COUNTIFS($A$17:$A188,$B$8),""),"")</f>
        <v/>
      </c>
    </row>
    <row r="189" spans="1:17" ht="12.75" customHeight="1" x14ac:dyDescent="0.2">
      <c r="A189">
        <f>IFERROR(IF(COUNTIF($C$17:C189,C189)&lt;=('BOBOT PEK'!V40-'BOBOT PEK'!U40+1),'BOBOT PEK'!U40+COUNTIF($C$17:C189,C189)-1,0),0)</f>
        <v>8</v>
      </c>
      <c r="B189" t="str">
        <f>IFERROR(TEXT(INDEX('KALENDER MINGGU'!$B$6:$B$21,$A189),"dd/mm")&amp;" - "&amp;TEXT(INDEX('KALENDER MINGGU'!$C$6:$C$21,$A189),"dd/mm"),"")</f>
        <v>10/09 - 16/09</v>
      </c>
      <c r="C189" t="s">
        <v>444</v>
      </c>
      <c r="D189" t="str">
        <f>'BOBOT PEK'!C40</f>
        <v>Pembuatan saluran bawah paving</v>
      </c>
      <c r="E189" s="241">
        <f>'BOBOT PEK'!J40</f>
        <v>9.2101486667045707E-2</v>
      </c>
      <c r="F189">
        <f>100/('BOBOT PEK'!V40-'BOBOT PEK'!U40+1)</f>
        <v>33.333333333333336</v>
      </c>
      <c r="G189">
        <f t="shared" si="4"/>
        <v>3.0700495555681905E-2</v>
      </c>
      <c r="H189">
        <f>MIN(100,($A189-'BOBOT PEK'!U40+1)/('BOBOT PEK'!V40-'BOBOT PEK'!U40+1)*100)</f>
        <v>66.666666666666657</v>
      </c>
      <c r="I189">
        <f>IFERROR(SUM(INDEX(TS!$M:$AB,27,1):INDEX(TS!$M:$AB,27,$A189))/TS!$L$17*100,0)</f>
        <v>1103.0323799264245</v>
      </c>
      <c r="J189">
        <f t="shared" si="5"/>
        <v>0</v>
      </c>
      <c r="O189" t="str">
        <f>IF(I189&gt;=99.9,"COMPLETED",IF('BOBOT PEK'!U40&gt;$J$7,"NOT STARTED",IF('BOBOT PEK'!V40&lt;$J$7,"CRITICAL",IF(I189+1&lt;H189,"DELAYED","ON SCHEDULE"))))</f>
        <v>COMPLETED</v>
      </c>
      <c r="Q189" t="str">
        <f>IFERROR(IF(AND($A189=$B$8,'BOBOT PEK'!U40&lt;=$B$8,$B$8&lt;='BOBOT PEK'!V40),COUNTIFS($A$17:$A189,$B$8),""),"")</f>
        <v/>
      </c>
    </row>
    <row r="190" spans="1:17" ht="12.75" customHeight="1" x14ac:dyDescent="0.2">
      <c r="A190">
        <f>IFERROR(IF(COUNTIF($C$17:C190,C190)&lt;=('BOBOT PEK'!V41-'BOBOT PEK'!U41+1),'BOBOT PEK'!U41+COUNTIF($C$17:C190,C190)-1,0),0)</f>
        <v>10</v>
      </c>
      <c r="B190" t="str">
        <f>IFERROR(TEXT(INDEX('KALENDER MINGGU'!$B$6:$B$21,$A190),"dd/mm")&amp;" - "&amp;TEXT(INDEX('KALENDER MINGGU'!$C$6:$C$21,$A190),"dd/mm"),"")</f>
        <v>24/09 - 30/09</v>
      </c>
      <c r="C190" t="s">
        <v>445</v>
      </c>
      <c r="D190" t="str">
        <f>'BOBOT PEK'!C41</f>
        <v>Pembongkaran besi kerangkeng motor</v>
      </c>
      <c r="E190" s="241">
        <f>'BOBOT PEK'!J41</f>
        <v>2.5583746296401588E-2</v>
      </c>
      <c r="F190">
        <f>100/('BOBOT PEK'!V41-'BOBOT PEK'!U41+1)</f>
        <v>50</v>
      </c>
      <c r="G190">
        <f t="shared" si="4"/>
        <v>1.2791873148200794E-2</v>
      </c>
      <c r="H190">
        <f>MIN(100,($A190-'BOBOT PEK'!U41+1)/('BOBOT PEK'!V41-'BOBOT PEK'!U41+1)*100)</f>
        <v>100</v>
      </c>
      <c r="I190">
        <f>IFERROR(SUM(INDEX(TS!$M:$AB,27,1):INDEX(TS!$M:$AB,27,$A190))/TS!$L$17*100,0)</f>
        <v>1378.7904749080305</v>
      </c>
      <c r="J190">
        <f t="shared" si="5"/>
        <v>0</v>
      </c>
      <c r="O190" t="str">
        <f>IF(I190&gt;=99.9,"COMPLETED",IF('BOBOT PEK'!U41&gt;$J$7,"NOT STARTED",IF('BOBOT PEK'!V41&lt;$J$7,"CRITICAL",IF(I190+1&lt;H190,"DELAYED","ON SCHEDULE"))))</f>
        <v>COMPLETED</v>
      </c>
      <c r="Q190" t="str">
        <f>IFERROR(IF(AND($A190=$B$8,'BOBOT PEK'!U41&lt;=$B$8,$B$8&lt;='BOBOT PEK'!V41),COUNTIFS($A$17:$A190,$B$8),""),"")</f>
        <v/>
      </c>
    </row>
    <row r="191" spans="1:17" ht="12.75" customHeight="1" x14ac:dyDescent="0.2">
      <c r="A191">
        <f>IFERROR(IF(COUNTIF($C$17:C191,C191)&lt;=('BOBOT PEK'!V46-'BOBOT PEK'!U46+1),'BOBOT PEK'!U46+COUNTIF($C$17:C191,C191)-1,0),0)</f>
        <v>7</v>
      </c>
      <c r="B191" t="str">
        <f>IFERROR(TEXT(INDEX('KALENDER MINGGU'!$B$6:$B$21,$A191),"dd/mm")&amp;" - "&amp;TEXT(INDEX('KALENDER MINGGU'!$C$6:$C$21,$A191),"dd/mm"),"")</f>
        <v>03/09 - 09/09</v>
      </c>
      <c r="C191" t="s">
        <v>447</v>
      </c>
      <c r="D191" t="str">
        <f>'BOBOT PEK'!C46</f>
        <v>Pekerjaan pasangan pagar precast sisi barat</v>
      </c>
      <c r="E191" s="241">
        <f>'BOBOT PEK'!J46</f>
        <v>0.90950218083707646</v>
      </c>
      <c r="F191">
        <f>100/('BOBOT PEK'!V46-'BOBOT PEK'!U46+1)</f>
        <v>20</v>
      </c>
      <c r="G191">
        <f t="shared" si="4"/>
        <v>0.1819004361674153</v>
      </c>
      <c r="H191">
        <f>MIN(100,($A191-'BOBOT PEK'!U46+1)/('BOBOT PEK'!V46-'BOBOT PEK'!U46+1)*100)</f>
        <v>40</v>
      </c>
      <c r="I191">
        <f>IFERROR(SUM(INDEX(TS!$M:$AB,29,1):INDEX(TS!$M:$AB,29,$A191))/TS!$L$19*100,0)</f>
        <v>0</v>
      </c>
      <c r="J191">
        <f t="shared" si="5"/>
        <v>100</v>
      </c>
      <c r="O191" t="str">
        <f ca="1">IF(I191&gt;=99.9,"COMPLETED",IF('BOBOT PEK'!U46&gt;$J$7,"NOT STARTED",IF('BOBOT PEK'!V46&lt;$J$7,"CRITICAL",IF(I191+1&lt;H191,"DELAYED","ON SCHEDULE"))))</f>
        <v>DELAYED</v>
      </c>
      <c r="Q191" t="str">
        <f>IFERROR(IF(AND($A191=$B$8,'BOBOT PEK'!U46&lt;=$B$8,$B$8&lt;='BOBOT PEK'!V46),COUNTIFS($A$17:$A191,$B$8),""),"")</f>
        <v/>
      </c>
    </row>
    <row r="192" spans="1:17" ht="12.75" customHeight="1" x14ac:dyDescent="0.2">
      <c r="A192">
        <f>IFERROR(IF(COUNTIF($C$17:C192,C192)&lt;=('BOBOT PEK'!V47-'BOBOT PEK'!U47+1),'BOBOT PEK'!U47+COUNTIF($C$17:C192,C192)-1,0),0)</f>
        <v>7</v>
      </c>
      <c r="B192" t="str">
        <f>IFERROR(TEXT(INDEX('KALENDER MINGGU'!$B$6:$B$21,$A192),"dd/mm")&amp;" - "&amp;TEXT(INDEX('KALENDER MINGGU'!$C$6:$C$21,$A192),"dd/mm"),"")</f>
        <v>03/09 - 09/09</v>
      </c>
      <c r="C192" t="s">
        <v>448</v>
      </c>
      <c r="D192" t="str">
        <f>'BOBOT PEK'!C47</f>
        <v>Pasang rangka kawat razor</v>
      </c>
      <c r="E192" s="241">
        <f>'BOBOT PEK'!J47</f>
        <v>0</v>
      </c>
      <c r="F192">
        <f>100/('BOBOT PEK'!V47-'BOBOT PEK'!U47+1)</f>
        <v>14.285714285714286</v>
      </c>
      <c r="G192">
        <f t="shared" si="4"/>
        <v>0</v>
      </c>
      <c r="H192">
        <f>MIN(100,($A192-'BOBOT PEK'!U47+1)/('BOBOT PEK'!V47-'BOBOT PEK'!U47+1)*100)</f>
        <v>14.285714285714285</v>
      </c>
      <c r="I192">
        <f>IFERROR(SUM(INDEX(TS!$M:$AB,29,1):INDEX(TS!$M:$AB,29,$A192))/TS!$L$19*100,0)</f>
        <v>0</v>
      </c>
      <c r="J192">
        <f t="shared" si="5"/>
        <v>100</v>
      </c>
      <c r="O192" t="str">
        <f ca="1">IF(I192&gt;=99.9,"COMPLETED",IF('BOBOT PEK'!U47&gt;$J$7,"NOT STARTED",IF('BOBOT PEK'!V47&lt;$J$7,"CRITICAL",IF(I192+1&lt;H192,"DELAYED","ON SCHEDULE"))))</f>
        <v>DELAYED</v>
      </c>
      <c r="Q192" t="str">
        <f>IFERROR(IF(AND($A192=$B$8,'BOBOT PEK'!U47&lt;=$B$8,$B$8&lt;='BOBOT PEK'!V47),COUNTIFS($A$17:$A192,$B$8),""),"")</f>
        <v/>
      </c>
    </row>
    <row r="193" spans="1:17" ht="12.75" customHeight="1" x14ac:dyDescent="0.2">
      <c r="A193">
        <f>IFERROR(IF(COUNTIF($C$17:C193,C193)&lt;=('BOBOT PEK'!V48-'BOBOT PEK'!U48+1),'BOBOT PEK'!U48+COUNTIF($C$17:C193,C193)-1,0),0)</f>
        <v>7</v>
      </c>
      <c r="B193" t="str">
        <f>IFERROR(TEXT(INDEX('KALENDER MINGGU'!$B$6:$B$21,$A193),"dd/mm")&amp;" - "&amp;TEXT(INDEX('KALENDER MINGGU'!$C$6:$C$21,$A193),"dd/mm"),"")</f>
        <v>03/09 - 09/09</v>
      </c>
      <c r="C193" t="s">
        <v>449</v>
      </c>
      <c r="D193" t="str">
        <f>'BOBOT PEK'!C48</f>
        <v>ex. Besi siku Uk. 40x40x4 mm</v>
      </c>
      <c r="E193" s="241">
        <f>'BOBOT PEK'!J48</f>
        <v>1.1256848370416699</v>
      </c>
      <c r="F193">
        <f>100/('BOBOT PEK'!V48-'BOBOT PEK'!U48+1)</f>
        <v>14.285714285714286</v>
      </c>
      <c r="G193">
        <f t="shared" si="4"/>
        <v>0.16081211957738142</v>
      </c>
      <c r="H193">
        <f>MIN(100,($A193-'BOBOT PEK'!U48+1)/('BOBOT PEK'!V48-'BOBOT PEK'!U48+1)*100)</f>
        <v>14.285714285714285</v>
      </c>
      <c r="I193">
        <f>IFERROR(SUM(INDEX(TS!$M:$AB,29,1):INDEX(TS!$M:$AB,29,$A193))/TS!$L$19*100,0)</f>
        <v>0</v>
      </c>
      <c r="J193">
        <f t="shared" si="5"/>
        <v>100</v>
      </c>
      <c r="O193" t="str">
        <f ca="1">IF(I193&gt;=99.9,"COMPLETED",IF('BOBOT PEK'!U48&gt;$J$7,"NOT STARTED",IF('BOBOT PEK'!V48&lt;$J$7,"CRITICAL",IF(I193+1&lt;H193,"DELAYED","ON SCHEDULE"))))</f>
        <v>DELAYED</v>
      </c>
      <c r="Q193" t="str">
        <f>IFERROR(IF(AND($A193=$B$8,'BOBOT PEK'!U48&lt;=$B$8,$B$8&lt;='BOBOT PEK'!V48),COUNTIFS($A$17:$A193,$B$8),""),"")</f>
        <v/>
      </c>
    </row>
    <row r="194" spans="1:17" ht="12.75" customHeight="1" x14ac:dyDescent="0.2">
      <c r="A194">
        <f>IFERROR(IF(COUNTIF($C$17:C194,C194)&lt;=('BOBOT PEK'!V49-'BOBOT PEK'!U49+1),'BOBOT PEK'!U49+COUNTIF($C$17:C194,C194)-1,0),0)</f>
        <v>7</v>
      </c>
      <c r="B194" t="str">
        <f>IFERROR(TEXT(INDEX('KALENDER MINGGU'!$B$6:$B$21,$A194),"dd/mm")&amp;" - "&amp;TEXT(INDEX('KALENDER MINGGU'!$C$6:$C$21,$A194),"dd/mm"),"")</f>
        <v>03/09 - 09/09</v>
      </c>
      <c r="C194" t="s">
        <v>450</v>
      </c>
      <c r="D194" t="str">
        <f>'BOBOT PEK'!C49</f>
        <v>Pasang kawat razor (diameter gulungan 45-50 cm)</v>
      </c>
      <c r="E194" s="241">
        <f>'BOBOT PEK'!J49</f>
        <v>1.1481985337825031</v>
      </c>
      <c r="F194">
        <f>100/('BOBOT PEK'!V49-'BOBOT PEK'!U49+1)</f>
        <v>14.285714285714286</v>
      </c>
      <c r="G194">
        <f t="shared" si="4"/>
        <v>0.16402836196892903</v>
      </c>
      <c r="H194">
        <f>MIN(100,($A194-'BOBOT PEK'!U49+1)/('BOBOT PEK'!V49-'BOBOT PEK'!U49+1)*100)</f>
        <v>14.285714285714285</v>
      </c>
      <c r="I194">
        <f>IFERROR(SUM(INDEX(TS!$M:$AB,29,1):INDEX(TS!$M:$AB,29,$A194))/TS!$L$19*100,0)</f>
        <v>0</v>
      </c>
      <c r="J194">
        <f t="shared" si="5"/>
        <v>100</v>
      </c>
      <c r="O194" t="str">
        <f ca="1">IF(I194&gt;=99.9,"COMPLETED",IF('BOBOT PEK'!U49&gt;$J$7,"NOT STARTED",IF('BOBOT PEK'!V49&lt;$J$7,"CRITICAL",IF(I194+1&lt;H194,"DELAYED","ON SCHEDULE"))))</f>
        <v>DELAYED</v>
      </c>
      <c r="Q194" t="str">
        <f>IFERROR(IF(AND($A194=$B$8,'BOBOT PEK'!U49&lt;=$B$8,$B$8&lt;='BOBOT PEK'!V49),COUNTIFS($A$17:$A194,$B$8),""),"")</f>
        <v/>
      </c>
    </row>
    <row r="195" spans="1:17" ht="12.75" customHeight="1" x14ac:dyDescent="0.2">
      <c r="A195">
        <f>IFERROR(IF(COUNTIF($C$17:C195,C195)&lt;=('BOBOT PEK'!V67-'BOBOT PEK'!U67+1),'BOBOT PEK'!U67+COUNTIF($C$17:C195,C195)-1,0),0)</f>
        <v>7</v>
      </c>
      <c r="B195" t="str">
        <f>IFERROR(TEXT(INDEX('KALENDER MINGGU'!$B$6:$B$21,$A195),"dd/mm")&amp;" - "&amp;TEXT(INDEX('KALENDER MINGGU'!$C$6:$C$21,$A195),"dd/mm"),"")</f>
        <v>03/09 - 09/09</v>
      </c>
      <c r="C195" t="s">
        <v>459</v>
      </c>
      <c r="D195" t="str">
        <f>'BOBOT PEK'!C67</f>
        <v>Kansteen dan ban-banan area dalam taman</v>
      </c>
      <c r="E195" s="241">
        <f>'BOBOT PEK'!J67</f>
        <v>0.81867988148485082</v>
      </c>
      <c r="F195">
        <f>100/('BOBOT PEK'!V67-'BOBOT PEK'!U67+1)</f>
        <v>14.285714285714286</v>
      </c>
      <c r="G195">
        <f t="shared" si="4"/>
        <v>0.11695426878355013</v>
      </c>
      <c r="H195">
        <f>MIN(100,($A195-'BOBOT PEK'!U67+1)/('BOBOT PEK'!V67-'BOBOT PEK'!U67+1)*100)</f>
        <v>57.142857142857139</v>
      </c>
      <c r="I195">
        <f>IFERROR(SUM(INDEX(TS!$M:$AB,35,1):INDEX(TS!$M:$AB,35,$A195))/TS!$L$25*100,0)</f>
        <v>0</v>
      </c>
      <c r="J195">
        <f t="shared" si="5"/>
        <v>100</v>
      </c>
      <c r="O195" t="str">
        <f ca="1">IF(I195&gt;=99.9,"COMPLETED",IF('BOBOT PEK'!U67&gt;$J$7,"NOT STARTED",IF('BOBOT PEK'!V67&lt;$J$7,"CRITICAL",IF(I195+1&lt;H195,"DELAYED","ON SCHEDULE"))))</f>
        <v>DELAYED</v>
      </c>
      <c r="Q195" t="str">
        <f>IFERROR(IF(AND($A195=$B$8,'BOBOT PEK'!U67&lt;=$B$8,$B$8&lt;='BOBOT PEK'!V67),COUNTIFS($A$17:$A195,$B$8),""),"")</f>
        <v/>
      </c>
    </row>
    <row r="196" spans="1:17" ht="12.75" customHeight="1" x14ac:dyDescent="0.2">
      <c r="A196">
        <f>IFERROR(IF(COUNTIF($C$17:C196,C196)&lt;=('BOBOT PEK'!V68-'BOBOT PEK'!U68+1),'BOBOT PEK'!U68+COUNTIF($C$17:C196,C196)-1,0),0)</f>
        <v>7</v>
      </c>
      <c r="B196" t="str">
        <f>IFERROR(TEXT(INDEX('KALENDER MINGGU'!$B$6:$B$21,$A196),"dd/mm")&amp;" - "&amp;TEXT(INDEX('KALENDER MINGGU'!$C$6:$C$21,$A196),"dd/mm"),"")</f>
        <v>03/09 - 09/09</v>
      </c>
      <c r="C196" t="s">
        <v>460</v>
      </c>
      <c r="D196" t="str">
        <f>'BOBOT PEK'!C68</f>
        <v>Instalasi penerangan lampu taman</v>
      </c>
      <c r="E196" s="241">
        <f>'BOBOT PEK'!J68</f>
        <v>0.13469842425055434</v>
      </c>
      <c r="F196">
        <f>100/('BOBOT PEK'!V68-'BOBOT PEK'!U68+1)</f>
        <v>33.333333333333336</v>
      </c>
      <c r="G196">
        <f t="shared" si="4"/>
        <v>4.4899474750184784E-2</v>
      </c>
      <c r="H196">
        <f>MIN(100,($A196-'BOBOT PEK'!U68+1)/('BOBOT PEK'!V68-'BOBOT PEK'!U68+1)*100)</f>
        <v>66.666666666666657</v>
      </c>
      <c r="I196">
        <f>IFERROR(SUM(INDEX(TS!$M:$AB,35,1):INDEX(TS!$M:$AB,35,$A196))/TS!$L$25*100,0)</f>
        <v>0</v>
      </c>
      <c r="J196">
        <f t="shared" si="5"/>
        <v>100</v>
      </c>
      <c r="O196" t="str">
        <f ca="1">IF(I196&gt;=99.9,"COMPLETED",IF('BOBOT PEK'!U68&gt;$J$7,"NOT STARTED",IF('BOBOT PEK'!V68&lt;$J$7,"CRITICAL",IF(I196+1&lt;H196,"DELAYED","ON SCHEDULE"))))</f>
        <v>CRITICAL</v>
      </c>
      <c r="Q196" t="str">
        <f>IFERROR(IF(AND($A196=$B$8,'BOBOT PEK'!U68&lt;=$B$8,$B$8&lt;='BOBOT PEK'!V68),COUNTIFS($A$17:$A196,$B$8),""),"")</f>
        <v/>
      </c>
    </row>
    <row r="197" spans="1:17" ht="12.75" customHeight="1" x14ac:dyDescent="0.2">
      <c r="A197">
        <f>IFERROR(IF(COUNTIF($C$17:C197,C197)&lt;=('BOBOT PEK'!V77-'BOBOT PEK'!U77+1),'BOBOT PEK'!U77+COUNTIF($C$17:C197,C197)-1,0),0)</f>
        <v>7</v>
      </c>
      <c r="B197" t="str">
        <f>IFERROR(TEXT(INDEX('KALENDER MINGGU'!$B$6:$B$21,$A197),"dd/mm")&amp;" - "&amp;TEXT(INDEX('KALENDER MINGGU'!$C$6:$C$21,$A197),"dd/mm"),"")</f>
        <v>03/09 - 09/09</v>
      </c>
      <c r="C197" t="s">
        <v>464</v>
      </c>
      <c r="D197" t="str">
        <f>'BOBOT PEK'!C77</f>
        <v xml:space="preserve">Pengupasan aspal existing </v>
      </c>
      <c r="E197" s="241">
        <f>'BOBOT PEK'!J77</f>
        <v>3.3576108639397444</v>
      </c>
      <c r="F197">
        <f>100/('BOBOT PEK'!V77-'BOBOT PEK'!U77+1)</f>
        <v>6.25</v>
      </c>
      <c r="G197">
        <f t="shared" si="4"/>
        <v>0.20985067899623402</v>
      </c>
      <c r="H197">
        <f>MIN(100,($A197-'BOBOT PEK'!U77+1)/('BOBOT PEK'!V77-'BOBOT PEK'!U77+1)*100)</f>
        <v>43.75</v>
      </c>
      <c r="I197">
        <f>IFERROR(SUM(INDEX(TS!$M:$AB,37,1):INDEX(TS!$M:$AB,37,$A197))/TS!$L$27*100,0)</f>
        <v>0</v>
      </c>
      <c r="J197">
        <f t="shared" si="5"/>
        <v>100</v>
      </c>
      <c r="N197" t="s">
        <v>720</v>
      </c>
      <c r="O197" t="str">
        <f ca="1">IF(I197&gt;=99.9,"COMPLETED",IF('BOBOT PEK'!U77&gt;$J$7,"NOT STARTED",IF('BOBOT PEK'!V77&lt;$J$7,"CRITICAL",IF(I197+1&lt;H197,"DELAYED","ON SCHEDULE"))))</f>
        <v>DELAYED</v>
      </c>
      <c r="Q197" t="str">
        <f>IFERROR(IF(AND($A197=$B$8,'BOBOT PEK'!U77&lt;=$B$8,$B$8&lt;='BOBOT PEK'!V77),COUNTIFS($A$17:$A197,$B$8),""),"")</f>
        <v/>
      </c>
    </row>
    <row r="198" spans="1:17" ht="12.75" customHeight="1" x14ac:dyDescent="0.2">
      <c r="A198">
        <f>IFERROR(IF(COUNTIF($C$17:C198,C198)&lt;=('BOBOT PEK'!V78-'BOBOT PEK'!U78+1),'BOBOT PEK'!U78+COUNTIF($C$17:C198,C198)-1,0),0)</f>
        <v>7</v>
      </c>
      <c r="B198" t="str">
        <f>IFERROR(TEXT(INDEX('KALENDER MINGGU'!$B$6:$B$21,$A198),"dd/mm")&amp;" - "&amp;TEXT(INDEX('KALENDER MINGGU'!$C$6:$C$21,$A198),"dd/mm"),"")</f>
        <v>03/09 - 09/09</v>
      </c>
      <c r="C198" t="s">
        <v>465</v>
      </c>
      <c r="D198" t="str">
        <f>'BOBOT PEK'!C78</f>
        <v xml:space="preserve">Pengupasan beton existing </v>
      </c>
      <c r="E198" s="241">
        <f>'BOBOT PEK'!J78</f>
        <v>1.9430855312117006</v>
      </c>
      <c r="F198">
        <f>100/('BOBOT PEK'!V78-'BOBOT PEK'!U78+1)</f>
        <v>6.25</v>
      </c>
      <c r="G198">
        <f t="shared" si="4"/>
        <v>0.12144284570073129</v>
      </c>
      <c r="H198">
        <f>MIN(100,($A198-'BOBOT PEK'!U78+1)/('BOBOT PEK'!V78-'BOBOT PEK'!U78+1)*100)</f>
        <v>43.75</v>
      </c>
      <c r="I198">
        <f>IFERROR(SUM(INDEX(TS!$M:$AB,37,1):INDEX(TS!$M:$AB,37,$A198))/TS!$L$27*100,0)</f>
        <v>0</v>
      </c>
      <c r="J198">
        <f t="shared" si="5"/>
        <v>100</v>
      </c>
      <c r="N198" t="s">
        <v>720</v>
      </c>
      <c r="O198" t="str">
        <f ca="1">IF(I198&gt;=99.9,"COMPLETED",IF('BOBOT PEK'!U78&gt;$J$7,"NOT STARTED",IF('BOBOT PEK'!V78&lt;$J$7,"CRITICAL",IF(I198+1&lt;H198,"DELAYED","ON SCHEDULE"))))</f>
        <v>DELAYED</v>
      </c>
      <c r="Q198" t="str">
        <f>IFERROR(IF(AND($A198=$B$8,'BOBOT PEK'!U78&lt;=$B$8,$B$8&lt;='BOBOT PEK'!V78),COUNTIFS($A$17:$A198,$B$8),""),"")</f>
        <v/>
      </c>
    </row>
    <row r="199" spans="1:17" ht="12.75" customHeight="1" x14ac:dyDescent="0.2">
      <c r="A199">
        <f>IFERROR(IF(COUNTIF($C$17:C199,C199)&lt;=('BOBOT PEK'!V79-'BOBOT PEK'!U79+1),'BOBOT PEK'!U79+COUNTIF($C$17:C199,C199)-1,0),0)</f>
        <v>7</v>
      </c>
      <c r="B199" t="str">
        <f>IFERROR(TEXT(INDEX('KALENDER MINGGU'!$B$6:$B$21,$A199),"dd/mm")&amp;" - "&amp;TEXT(INDEX('KALENDER MINGGU'!$C$6:$C$21,$A199),"dd/mm"),"")</f>
        <v>03/09 - 09/09</v>
      </c>
      <c r="C199" t="s">
        <v>466</v>
      </c>
      <c r="D199" t="str">
        <f>'BOBOT PEK'!C79</f>
        <v>Pembuangan puing sewa truk</v>
      </c>
      <c r="E199" s="241">
        <f>'BOBOT PEK'!J79</f>
        <v>3.3766707549305637</v>
      </c>
      <c r="F199">
        <f>100/('BOBOT PEK'!V79-'BOBOT PEK'!U79+1)</f>
        <v>6.25</v>
      </c>
      <c r="G199">
        <f t="shared" si="4"/>
        <v>0.21104192218316023</v>
      </c>
      <c r="H199">
        <f>MIN(100,($A199-'BOBOT PEK'!U79+1)/('BOBOT PEK'!V79-'BOBOT PEK'!U79+1)*100)</f>
        <v>43.75</v>
      </c>
      <c r="I199">
        <f>IFERROR(SUM(INDEX(TS!$M:$AB,37,1):INDEX(TS!$M:$AB,37,$A199))/TS!$L$27*100,0)</f>
        <v>0</v>
      </c>
      <c r="J199">
        <f t="shared" si="5"/>
        <v>100</v>
      </c>
      <c r="N199" t="s">
        <v>720</v>
      </c>
      <c r="O199" t="str">
        <f ca="1">IF(I199&gt;=99.9,"COMPLETED",IF('BOBOT PEK'!U79&gt;$J$7,"NOT STARTED",IF('BOBOT PEK'!V79&lt;$J$7,"CRITICAL",IF(I199+1&lt;H199,"DELAYED","ON SCHEDULE"))))</f>
        <v>DELAYED</v>
      </c>
      <c r="Q199" t="str">
        <f>IFERROR(IF(AND($A199=$B$8,'BOBOT PEK'!U79&lt;=$B$8,$B$8&lt;='BOBOT PEK'!V79),COUNTIFS($A$17:$A199,$B$8),""),"")</f>
        <v/>
      </c>
    </row>
    <row r="200" spans="1:17" ht="12.75" customHeight="1" x14ac:dyDescent="0.2">
      <c r="A200">
        <f>IFERROR(IF(COUNTIF($C$17:C200,C200)&lt;=('BOBOT PEK'!V80-'BOBOT PEK'!U80+1),'BOBOT PEK'!U80+COUNTIF($C$17:C200,C200)-1,0),0)</f>
        <v>7</v>
      </c>
      <c r="B200" t="str">
        <f>IFERROR(TEXT(INDEX('KALENDER MINGGU'!$B$6:$B$21,$A200),"dd/mm")&amp;" - "&amp;TEXT(INDEX('KALENDER MINGGU'!$C$6:$C$21,$A200),"dd/mm"),"")</f>
        <v>03/09 - 09/09</v>
      </c>
      <c r="C200" t="s">
        <v>467</v>
      </c>
      <c r="D200" t="str">
        <f>'BOBOT PEK'!C80</f>
        <v>Besi 13 ulir , kotak 30x30cm</v>
      </c>
      <c r="E200" s="241">
        <f>'BOBOT PEK'!J80</f>
        <v>15.224105695407308</v>
      </c>
      <c r="F200">
        <f>100/('BOBOT PEK'!V80-'BOBOT PEK'!U80+1)</f>
        <v>6.25</v>
      </c>
      <c r="G200">
        <f t="shared" si="4"/>
        <v>0.95150660596295678</v>
      </c>
      <c r="H200">
        <f>MIN(100,($A200-'BOBOT PEK'!U80+1)/('BOBOT PEK'!V80-'BOBOT PEK'!U80+1)*100)</f>
        <v>43.75</v>
      </c>
      <c r="I200">
        <f>IFERROR(SUM(INDEX(TS!$M:$AB,37,1):INDEX(TS!$M:$AB,37,$A200))/TS!$L$27*100,0)</f>
        <v>0</v>
      </c>
      <c r="J200">
        <f t="shared" si="5"/>
        <v>100</v>
      </c>
      <c r="N200" t="s">
        <v>720</v>
      </c>
      <c r="O200" t="str">
        <f ca="1">IF(I200&gt;=99.9,"COMPLETED",IF('BOBOT PEK'!U80&gt;$J$7,"NOT STARTED",IF('BOBOT PEK'!V80&lt;$J$7,"CRITICAL",IF(I200+1&lt;H200,"DELAYED","ON SCHEDULE"))))</f>
        <v>DELAYED</v>
      </c>
      <c r="Q200" t="str">
        <f>IFERROR(IF(AND($A200=$B$8,'BOBOT PEK'!U80&lt;=$B$8,$B$8&lt;='BOBOT PEK'!V80),COUNTIFS($A$17:$A200,$B$8),""),"")</f>
        <v/>
      </c>
    </row>
    <row r="201" spans="1:17" ht="12.75" customHeight="1" x14ac:dyDescent="0.2">
      <c r="A201">
        <f>IFERROR(IF(COUNTIF($C$17:C201,C201)&lt;=('BOBOT PEK'!V81-'BOBOT PEK'!U81+1),'BOBOT PEK'!U81+COUNTIF($C$17:C201,C201)-1,0),0)</f>
        <v>7</v>
      </c>
      <c r="B201" t="str">
        <f>IFERROR(TEXT(INDEX('KALENDER MINGGU'!$B$6:$B$21,$A201),"dd/mm")&amp;" - "&amp;TEXT(INDEX('KALENDER MINGGU'!$C$6:$C$21,$A201),"dd/mm"),"")</f>
        <v>03/09 - 09/09</v>
      </c>
      <c r="C201" t="s">
        <v>468</v>
      </c>
      <c r="D201" t="str">
        <f>'BOBOT PEK'!C81</f>
        <v>Cor ready mix K-350 (tanpa trowel dan line cutting)</v>
      </c>
      <c r="E201" s="241">
        <f>'BOBOT PEK'!J81</f>
        <v>18.885237150790225</v>
      </c>
      <c r="F201">
        <f>100/('BOBOT PEK'!V81-'BOBOT PEK'!U81+1)</f>
        <v>6.25</v>
      </c>
      <c r="G201">
        <f t="shared" si="4"/>
        <v>1.1803273219243891</v>
      </c>
      <c r="H201">
        <f>MIN(100,($A201-'BOBOT PEK'!U81+1)/('BOBOT PEK'!V81-'BOBOT PEK'!U81+1)*100)</f>
        <v>43.75</v>
      </c>
      <c r="I201">
        <f>IFERROR(SUM(INDEX(TS!$M:$AB,37,1):INDEX(TS!$M:$AB,37,$A201))/TS!$L$27*100,0)</f>
        <v>0</v>
      </c>
      <c r="J201">
        <f t="shared" si="5"/>
        <v>100</v>
      </c>
      <c r="N201" t="s">
        <v>720</v>
      </c>
      <c r="O201" t="str">
        <f ca="1">IF(I201&gt;=99.9,"COMPLETED",IF('BOBOT PEK'!U81&gt;$J$7,"NOT STARTED",IF('BOBOT PEK'!V81&lt;$J$7,"CRITICAL",IF(I201+1&lt;H201,"DELAYED","ON SCHEDULE"))))</f>
        <v>DELAYED</v>
      </c>
      <c r="Q201" t="str">
        <f>IFERROR(IF(AND($A201=$B$8,'BOBOT PEK'!U81&lt;=$B$8,$B$8&lt;='BOBOT PEK'!V81),COUNTIFS($A$17:$A201,$B$8),""),"")</f>
        <v/>
      </c>
    </row>
    <row r="202" spans="1:17" ht="12.75" customHeight="1" x14ac:dyDescent="0.2">
      <c r="A202">
        <f>IFERROR(IF(COUNTIF($C$17:C202,C202)&lt;=('BOBOT PEK'!V85-'BOBOT PEK'!U85+1),'BOBOT PEK'!U85+COUNTIF($C$17:C202,C202)-1,0),0)</f>
        <v>7</v>
      </c>
      <c r="B202" t="str">
        <f>IFERROR(TEXT(INDEX('KALENDER MINGGU'!$B$6:$B$21,$A202),"dd/mm")&amp;" - "&amp;TEXT(INDEX('KALENDER MINGGU'!$C$6:$C$21,$A202),"dd/mm"),"")</f>
        <v>03/09 - 09/09</v>
      </c>
      <c r="C202" t="s">
        <v>469</v>
      </c>
      <c r="D202" t="str">
        <f>'BOBOT PEK'!C85</f>
        <v>Pekerjaan refinishing dinding pagar timur &amp; utara</v>
      </c>
      <c r="E202" s="241">
        <f>'BOBOT PEK'!J85</f>
        <v>1.0803504386044462</v>
      </c>
      <c r="F202">
        <f>100/('BOBOT PEK'!V85-'BOBOT PEK'!U85+1)</f>
        <v>10</v>
      </c>
      <c r="G202">
        <f t="shared" si="4"/>
        <v>0.10803504386044463</v>
      </c>
      <c r="H202">
        <f>MIN(100,($A202-'BOBOT PEK'!U85+1)/('BOBOT PEK'!V85-'BOBOT PEK'!U85+1)*100)</f>
        <v>30</v>
      </c>
      <c r="I202">
        <f>IFERROR(SUM(INDEX(TS!$M:$AB,39,1):INDEX(TS!$M:$AB,39,$A202))/TS!$L$29*100,0)</f>
        <v>13.039305683050989</v>
      </c>
      <c r="J202">
        <f t="shared" si="5"/>
        <v>86.960694316949017</v>
      </c>
      <c r="O202" t="str">
        <f ca="1">IF(I202&gt;=99.9,"COMPLETED",IF('BOBOT PEK'!U85&gt;$J$7,"NOT STARTED",IF('BOBOT PEK'!V85&lt;$J$7,"CRITICAL",IF(I202+1&lt;H202,"DELAYED","ON SCHEDULE"))))</f>
        <v>DELAYED</v>
      </c>
      <c r="Q202" t="str">
        <f>IFERROR(IF(AND($A202=$B$8,'BOBOT PEK'!U85&lt;=$B$8,$B$8&lt;='BOBOT PEK'!V85),COUNTIFS($A$17:$A202,$B$8),""),"")</f>
        <v/>
      </c>
    </row>
    <row r="203" spans="1:17" ht="12.75" customHeight="1" x14ac:dyDescent="0.2">
      <c r="A203">
        <f>IFERROR(IF(COUNTIF($C$17:C203,C203)&lt;=('BOBOT PEK'!V86-'BOBOT PEK'!U86+1),'BOBOT PEK'!U86+COUNTIF($C$17:C203,C203)-1,0),0)</f>
        <v>7</v>
      </c>
      <c r="B203" t="str">
        <f>IFERROR(TEXT(INDEX('KALENDER MINGGU'!$B$6:$B$21,$A203),"dd/mm")&amp;" - "&amp;TEXT(INDEX('KALENDER MINGGU'!$C$6:$C$21,$A203),"dd/mm"),"")</f>
        <v>03/09 - 09/09</v>
      </c>
      <c r="C203" t="s">
        <v>470</v>
      </c>
      <c r="D203" t="str">
        <f>'BOBOT PEK'!C86</f>
        <v>Pekerjaan refinishing dinding barat</v>
      </c>
      <c r="E203" s="241">
        <f>'BOBOT PEK'!J86</f>
        <v>0.75906975261423504</v>
      </c>
      <c r="F203">
        <f>100/('BOBOT PEK'!V86-'BOBOT PEK'!U86+1)</f>
        <v>10</v>
      </c>
      <c r="G203">
        <f t="shared" si="4"/>
        <v>7.5906975261423509E-2</v>
      </c>
      <c r="H203">
        <f>MIN(100,($A203-'BOBOT PEK'!U86+1)/('BOBOT PEK'!V86-'BOBOT PEK'!U86+1)*100)</f>
        <v>30</v>
      </c>
      <c r="I203">
        <f>IFERROR(SUM(INDEX(TS!$M:$AB,39,1):INDEX(TS!$M:$AB,39,$A203))/TS!$L$29*100,0)</f>
        <v>13.039305683050989</v>
      </c>
      <c r="J203">
        <f t="shared" si="5"/>
        <v>86.960694316949017</v>
      </c>
      <c r="O203" t="str">
        <f ca="1">IF(I203&gt;=99.9,"COMPLETED",IF('BOBOT PEK'!U86&gt;$J$7,"NOT STARTED",IF('BOBOT PEK'!V86&lt;$J$7,"CRITICAL",IF(I203+1&lt;H203,"DELAYED","ON SCHEDULE"))))</f>
        <v>DELAYED</v>
      </c>
      <c r="Q203" t="str">
        <f>IFERROR(IF(AND($A203=$B$8,'BOBOT PEK'!U86&lt;=$B$8,$B$8&lt;='BOBOT PEK'!V86),COUNTIFS($A$17:$A203,$B$8),""),"")</f>
        <v/>
      </c>
    </row>
    <row r="204" spans="1:17" ht="12.75" customHeight="1" x14ac:dyDescent="0.2">
      <c r="A204">
        <f>IFERROR(IF(COUNTIF($C$17:C204,C204)&lt;=('BOBOT PEK'!V91-'BOBOT PEK'!U91+1),'BOBOT PEK'!U91+COUNTIF($C$17:C204,C204)-1,0),0)</f>
        <v>0</v>
      </c>
      <c r="B204" t="str">
        <f>IFERROR(TEXT(INDEX('KALENDER MINGGU'!$B$6:$B$21,$A204),"dd/mm")&amp;" - "&amp;TEXT(INDEX('KALENDER MINGGU'!$C$6:$C$21,$A204),"dd/mm"),"")</f>
        <v/>
      </c>
      <c r="C204" t="s">
        <v>471</v>
      </c>
      <c r="D204" t="str">
        <f>'BOBOT PEK'!C91</f>
        <v>Ganti rangka atap toilet ( rangka lama sudah lapuk )</v>
      </c>
      <c r="E204" s="241">
        <f>'BOBOT PEK'!J91</f>
        <v>0.92235801335101819</v>
      </c>
      <c r="F204">
        <f>100/('BOBOT PEK'!V91-'BOBOT PEK'!U91+1)</f>
        <v>50</v>
      </c>
      <c r="G204">
        <f t="shared" si="4"/>
        <v>0.4611790066755091</v>
      </c>
      <c r="H204">
        <f>MIN(100,($A204-'BOBOT PEK'!U91+1)/('BOBOT PEK'!V91-'BOBOT PEK'!U91+1)*100)</f>
        <v>-250</v>
      </c>
      <c r="I204">
        <f>IFERROR(SUM(INDEX(TS!$M:$AB,41,1):INDEX(TS!$M:$AB,41,$A204))/TS!$L$31*100,0)</f>
        <v>21.294065245273501</v>
      </c>
      <c r="J204">
        <f t="shared" si="5"/>
        <v>78.705934754726499</v>
      </c>
      <c r="O204" t="str">
        <f ca="1">IF(I204&gt;=99.9,"COMPLETED",IF('BOBOT PEK'!U91&gt;$J$7,"NOT STARTED",IF('BOBOT PEK'!V91&lt;$J$7,"CRITICAL",IF(I204+1&lt;H204,"DELAYED","ON SCHEDULE"))))</f>
        <v>CRITICAL</v>
      </c>
      <c r="Q204" t="str">
        <f>IFERROR(IF(AND($A204=$B$8,'BOBOT PEK'!U91&lt;=$B$8,$B$8&lt;='BOBOT PEK'!V91),COUNTIFS($A$17:$A204,$B$8),""),"")</f>
        <v/>
      </c>
    </row>
    <row r="205" spans="1:17" ht="12.75" customHeight="1" x14ac:dyDescent="0.2">
      <c r="A205">
        <f>IFERROR(IF(COUNTIF($C$17:C205,C205)&lt;=('BOBOT PEK'!V92-'BOBOT PEK'!U92+1),'BOBOT PEK'!U92+COUNTIF($C$17:C205,C205)-1,0),0)</f>
        <v>0</v>
      </c>
      <c r="B205" t="str">
        <f>IFERROR(TEXT(INDEX('KALENDER MINGGU'!$B$6:$B$21,$A205),"dd/mm")&amp;" - "&amp;TEXT(INDEX('KALENDER MINGGU'!$C$6:$C$21,$A205),"dd/mm"),"")</f>
        <v/>
      </c>
      <c r="C205" t="s">
        <v>472</v>
      </c>
      <c r="D205" t="str">
        <f>'BOBOT PEK'!C92</f>
        <v>Perbaikan plafond + refinishing cat</v>
      </c>
      <c r="E205" s="241">
        <f>'BOBOT PEK'!J92</f>
        <v>0.49755269797241802</v>
      </c>
      <c r="F205">
        <f>100/('BOBOT PEK'!V92-'BOBOT PEK'!U92+1)</f>
        <v>50</v>
      </c>
      <c r="G205">
        <f t="shared" si="4"/>
        <v>0.24877634898620901</v>
      </c>
      <c r="H205">
        <f>MIN(100,($A205-'BOBOT PEK'!U92+1)/('BOBOT PEK'!V92-'BOBOT PEK'!U92+1)*100)</f>
        <v>-300</v>
      </c>
      <c r="I205">
        <f>IFERROR(SUM(INDEX(TS!$M:$AB,41,1):INDEX(TS!$M:$AB,41,$A205))/TS!$L$31*100,0)</f>
        <v>21.294065245273501</v>
      </c>
      <c r="J205">
        <f t="shared" si="5"/>
        <v>78.705934754726499</v>
      </c>
      <c r="O205" t="str">
        <f ca="1">IF(I205&gt;=99.9,"COMPLETED",IF('BOBOT PEK'!U92&gt;$J$7,"NOT STARTED",IF('BOBOT PEK'!V92&lt;$J$7,"CRITICAL",IF(I205+1&lt;H205,"DELAYED","ON SCHEDULE"))))</f>
        <v>CRITICAL</v>
      </c>
      <c r="Q205" t="str">
        <f>IFERROR(IF(AND($A205=$B$8,'BOBOT PEK'!U92&lt;=$B$8,$B$8&lt;='BOBOT PEK'!V92),COUNTIFS($A$17:$A205,$B$8),""),"")</f>
        <v/>
      </c>
    </row>
    <row r="206" spans="1:17" ht="12.75" customHeight="1" x14ac:dyDescent="0.2">
      <c r="A206">
        <f>IFERROR(IF(COUNTIF($C$17:C206,C206)&lt;=('BOBOT PEK'!V93-'BOBOT PEK'!U93+1),'BOBOT PEK'!U93+COUNTIF($C$17:C206,C206)-1,0),0)</f>
        <v>0</v>
      </c>
      <c r="B206" t="str">
        <f>IFERROR(TEXT(INDEX('KALENDER MINGGU'!$B$6:$B$21,$A206),"dd/mm")&amp;" - "&amp;TEXT(INDEX('KALENDER MINGGU'!$C$6:$C$21,$A206),"dd/mm"),"")</f>
        <v/>
      </c>
      <c r="C206" t="s">
        <v>473</v>
      </c>
      <c r="D206" t="str">
        <f>'BOBOT PEK'!C93</f>
        <v>Cat ulang exterior musholla</v>
      </c>
      <c r="E206" s="241">
        <f>'BOBOT PEK'!J93</f>
        <v>0.17417414478590201</v>
      </c>
      <c r="F206">
        <f>100/('BOBOT PEK'!V93-'BOBOT PEK'!U93+1)</f>
        <v>50</v>
      </c>
      <c r="G206">
        <f t="shared" si="4"/>
        <v>8.7087072392951007E-2</v>
      </c>
      <c r="H206">
        <f>MIN(100,($A206-'BOBOT PEK'!U93+1)/('BOBOT PEK'!V93-'BOBOT PEK'!U93+1)*100)</f>
        <v>-350</v>
      </c>
      <c r="I206">
        <f>IFERROR(SUM(INDEX(TS!$M:$AB,41,1):INDEX(TS!$M:$AB,41,$A206))/TS!$L$31*100,0)</f>
        <v>21.294065245273501</v>
      </c>
      <c r="J206">
        <f t="shared" si="5"/>
        <v>78.705934754726499</v>
      </c>
      <c r="O206" t="str">
        <f ca="1">IF(I206&gt;=99.9,"COMPLETED",IF('BOBOT PEK'!U93&gt;$J$7,"NOT STARTED",IF('BOBOT PEK'!V93&lt;$J$7,"CRITICAL",IF(I206+1&lt;H206,"DELAYED","ON SCHEDULE"))))</f>
        <v>CRITICAL</v>
      </c>
      <c r="Q206" t="str">
        <f>IFERROR(IF(AND($A206=$B$8,'BOBOT PEK'!U93&lt;=$B$8,$B$8&lt;='BOBOT PEK'!V93),COUNTIFS($A$17:$A206,$B$8),""),"")</f>
        <v/>
      </c>
    </row>
    <row r="207" spans="1:17" ht="12.75" customHeight="1" x14ac:dyDescent="0.2">
      <c r="A207">
        <f>IFERROR(IF(COUNTIF($C$17:C207,C207)&lt;=('BOBOT PEK'!V94-'BOBOT PEK'!U94+1),'BOBOT PEK'!U94+COUNTIF($C$17:C207,C207)-1,0),0)</f>
        <v>0</v>
      </c>
      <c r="B207" t="str">
        <f>IFERROR(TEXT(INDEX('KALENDER MINGGU'!$B$6:$B$21,$A207),"dd/mm")&amp;" - "&amp;TEXT(INDEX('KALENDER MINGGU'!$C$6:$C$21,$A207),"dd/mm"),"")</f>
        <v/>
      </c>
      <c r="C207" t="s">
        <v>474</v>
      </c>
      <c r="D207" t="str">
        <f>'BOBOT PEK'!C94</f>
        <v>Penggantian pintu  musholla</v>
      </c>
      <c r="E207" s="241">
        <f>'BOBOT PEK'!J94</f>
        <v>9.9776610555966191E-2</v>
      </c>
      <c r="F207">
        <f>100/('BOBOT PEK'!V94-'BOBOT PEK'!U94+1)</f>
        <v>50</v>
      </c>
      <c r="G207">
        <f t="shared" si="4"/>
        <v>4.9888305277983096E-2</v>
      </c>
      <c r="H207">
        <f>MIN(100,($A207-'BOBOT PEK'!U94+1)/('BOBOT PEK'!V94-'BOBOT PEK'!U94+1)*100)</f>
        <v>-350</v>
      </c>
      <c r="I207">
        <f>IFERROR(SUM(INDEX(TS!$M:$AB,41,1):INDEX(TS!$M:$AB,41,$A207))/TS!$L$31*100,0)</f>
        <v>21.294065245273501</v>
      </c>
      <c r="J207">
        <f t="shared" si="5"/>
        <v>78.705934754726499</v>
      </c>
      <c r="O207" t="str">
        <f ca="1">IF(I207&gt;=99.9,"COMPLETED",IF('BOBOT PEK'!U94&gt;$J$7,"NOT STARTED",IF('BOBOT PEK'!V94&lt;$J$7,"CRITICAL",IF(I207+1&lt;H207,"DELAYED","ON SCHEDULE"))))</f>
        <v>CRITICAL</v>
      </c>
      <c r="Q207" t="str">
        <f>IFERROR(IF(AND($A207=$B$8,'BOBOT PEK'!U94&lt;=$B$8,$B$8&lt;='BOBOT PEK'!V94),COUNTIFS($A$17:$A207,$B$8),""),"")</f>
        <v/>
      </c>
    </row>
    <row r="208" spans="1:17" ht="12.75" customHeight="1" x14ac:dyDescent="0.2">
      <c r="A208">
        <f>IFERROR(IF(COUNTIF($C$17:C208,C208)&lt;=('BOBOT PEK'!V95-'BOBOT PEK'!U95+1),'BOBOT PEK'!U95+COUNTIF($C$17:C208,C208)-1,0),0)</f>
        <v>0</v>
      </c>
      <c r="B208" t="str">
        <f>IFERROR(TEXT(INDEX('KALENDER MINGGU'!$B$6:$B$21,$A208),"dd/mm")&amp;" - "&amp;TEXT(INDEX('KALENDER MINGGU'!$C$6:$C$21,$A208),"dd/mm"),"")</f>
        <v/>
      </c>
      <c r="C208" t="s">
        <v>475</v>
      </c>
      <c r="D208" t="str">
        <f>'BOBOT PEK'!C95</f>
        <v>Penggantian keramik teras</v>
      </c>
      <c r="E208" s="241">
        <f>'BOBOT PEK'!J95</f>
        <v>6.1400991111363809E-2</v>
      </c>
      <c r="F208">
        <f>100/('BOBOT PEK'!V95-'BOBOT PEK'!U95+1)</f>
        <v>50</v>
      </c>
      <c r="G208">
        <f t="shared" si="4"/>
        <v>3.0700495555681905E-2</v>
      </c>
      <c r="H208">
        <f>MIN(100,($A208-'BOBOT PEK'!U95+1)/('BOBOT PEK'!V95-'BOBOT PEK'!U95+1)*100)</f>
        <v>-300</v>
      </c>
      <c r="I208">
        <f>IFERROR(SUM(INDEX(TS!$M:$AB,41,1):INDEX(TS!$M:$AB,41,$A208))/TS!$L$31*100,0)</f>
        <v>21.294065245273501</v>
      </c>
      <c r="J208">
        <f t="shared" si="5"/>
        <v>78.705934754726499</v>
      </c>
      <c r="O208" t="str">
        <f ca="1">IF(I208&gt;=99.9,"COMPLETED",IF('BOBOT PEK'!U95&gt;$J$7,"NOT STARTED",IF('BOBOT PEK'!V95&lt;$J$7,"CRITICAL",IF(I208+1&lt;H208,"DELAYED","ON SCHEDULE"))))</f>
        <v>CRITICAL</v>
      </c>
      <c r="Q208" t="str">
        <f>IFERROR(IF(AND($A208=$B$8,'BOBOT PEK'!U95&lt;=$B$8,$B$8&lt;='BOBOT PEK'!V95),COUNTIFS($A$17:$A208,$B$8),""),"")</f>
        <v/>
      </c>
    </row>
    <row r="209" spans="1:17" ht="12.75" customHeight="1" x14ac:dyDescent="0.2">
      <c r="A209">
        <f>IFERROR(IF(COUNTIF($C$17:C209,C209)&lt;=('BOBOT PEK'!V96-'BOBOT PEK'!U96+1),'BOBOT PEK'!U96+COUNTIF($C$17:C209,C209)-1,0),0)</f>
        <v>0</v>
      </c>
      <c r="B209" t="str">
        <f>IFERROR(TEXT(INDEX('KALENDER MINGGU'!$B$6:$B$21,$A209),"dd/mm")&amp;" - "&amp;TEXT(INDEX('KALENDER MINGGU'!$C$6:$C$21,$A209),"dd/mm"),"")</f>
        <v/>
      </c>
      <c r="C209" t="s">
        <v>476</v>
      </c>
      <c r="D209" t="str">
        <f>'BOBOT PEK'!C96</f>
        <v>Pembuatan tempat wudhu</v>
      </c>
      <c r="E209" s="241">
        <f>'BOBOT PEK'!J96</f>
        <v>6.907611500028428E-2</v>
      </c>
      <c r="F209">
        <f>100/('BOBOT PEK'!V96-'BOBOT PEK'!U96+1)</f>
        <v>50</v>
      </c>
      <c r="G209">
        <f t="shared" ref="G209:G272" si="6">F209/100*E209</f>
        <v>3.453805750014214E-2</v>
      </c>
      <c r="H209">
        <f>MIN(100,($A209-'BOBOT PEK'!U96+1)/('BOBOT PEK'!V96-'BOBOT PEK'!U96+1)*100)</f>
        <v>-350</v>
      </c>
      <c r="I209">
        <f>IFERROR(SUM(INDEX(TS!$M:$AB,41,1):INDEX(TS!$M:$AB,41,$A209))/TS!$L$31*100,0)</f>
        <v>21.294065245273501</v>
      </c>
      <c r="J209">
        <f t="shared" ref="J209:J272" si="7">MAX(0,100-I209)</f>
        <v>78.705934754726499</v>
      </c>
      <c r="O209" t="str">
        <f ca="1">IF(I209&gt;=99.9,"COMPLETED",IF('BOBOT PEK'!U96&gt;$J$7,"NOT STARTED",IF('BOBOT PEK'!V96&lt;$J$7,"CRITICAL",IF(I209+1&lt;H209,"DELAYED","ON SCHEDULE"))))</f>
        <v>CRITICAL</v>
      </c>
      <c r="Q209" t="str">
        <f>IFERROR(IF(AND($A209=$B$8,'BOBOT PEK'!U96&lt;=$B$8,$B$8&lt;='BOBOT PEK'!V96),COUNTIFS($A$17:$A209,$B$8),""),"")</f>
        <v/>
      </c>
    </row>
    <row r="210" spans="1:17" ht="12.75" customHeight="1" x14ac:dyDescent="0.2">
      <c r="A210">
        <f>IFERROR(IF(COUNTIF($C$17:C210,C210)&lt;=('BOBOT PEK'!V97-'BOBOT PEK'!U97+1),'BOBOT PEK'!U97+COUNTIF($C$17:C210,C210)-1,0),0)</f>
        <v>0</v>
      </c>
      <c r="B210" t="str">
        <f>IFERROR(TEXT(INDEX('KALENDER MINGGU'!$B$6:$B$21,$A210),"dd/mm")&amp;" - "&amp;TEXT(INDEX('KALENDER MINGGU'!$C$6:$C$21,$A210),"dd/mm"),"")</f>
        <v/>
      </c>
      <c r="C210" t="s">
        <v>477</v>
      </c>
      <c r="D210" t="str">
        <f>'BOBOT PEK'!C97</f>
        <v>Pembuatan instalasi wastafel</v>
      </c>
      <c r="E210" s="241">
        <f>'BOBOT PEK'!J97</f>
        <v>5.116749259280318E-3</v>
      </c>
      <c r="F210">
        <f>100/('BOBOT PEK'!V97-'BOBOT PEK'!U97+1)</f>
        <v>50</v>
      </c>
      <c r="G210">
        <f t="shared" si="6"/>
        <v>2.558374629640159E-3</v>
      </c>
      <c r="H210">
        <f>MIN(100,($A210-'BOBOT PEK'!U97+1)/('BOBOT PEK'!V97-'BOBOT PEK'!U97+1)*100)</f>
        <v>-350</v>
      </c>
      <c r="I210">
        <f>IFERROR(SUM(INDEX(TS!$M:$AB,41,1):INDEX(TS!$M:$AB,41,$A210))/TS!$L$31*100,0)</f>
        <v>21.294065245273501</v>
      </c>
      <c r="J210">
        <f t="shared" si="7"/>
        <v>78.705934754726499</v>
      </c>
      <c r="O210" t="str">
        <f ca="1">IF(I210&gt;=99.9,"COMPLETED",IF('BOBOT PEK'!U97&gt;$J$7,"NOT STARTED",IF('BOBOT PEK'!V97&lt;$J$7,"CRITICAL",IF(I210+1&lt;H210,"DELAYED","ON SCHEDULE"))))</f>
        <v>CRITICAL</v>
      </c>
      <c r="Q210" t="str">
        <f>IFERROR(IF(AND($A210=$B$8,'BOBOT PEK'!U97&lt;=$B$8,$B$8&lt;='BOBOT PEK'!V97),COUNTIFS($A$17:$A210,$B$8),""),"")</f>
        <v/>
      </c>
    </row>
    <row r="211" spans="1:17" ht="12.75" customHeight="1" x14ac:dyDescent="0.2">
      <c r="A211">
        <f>IFERROR(IF(COUNTIF($C$17:C211,C211)&lt;=('BOBOT PEK'!V98-'BOBOT PEK'!U98+1),'BOBOT PEK'!U98+COUNTIF($C$17:C211,C211)-1,0),0)</f>
        <v>0</v>
      </c>
      <c r="B211" t="str">
        <f>IFERROR(TEXT(INDEX('KALENDER MINGGU'!$B$6:$B$21,$A211),"dd/mm")&amp;" - "&amp;TEXT(INDEX('KALENDER MINGGU'!$C$6:$C$21,$A211),"dd/mm"),"")</f>
        <v/>
      </c>
      <c r="C211" t="s">
        <v>478</v>
      </c>
      <c r="D211" t="str">
        <f>'BOBOT PEK'!C98</f>
        <v>Pekerjaan lantai bengkel</v>
      </c>
      <c r="E211" s="241">
        <f>'BOBOT PEK'!J98</f>
        <v>0</v>
      </c>
      <c r="F211">
        <f>100/('BOBOT PEK'!V98-'BOBOT PEK'!U98+1)</f>
        <v>33.333333333333336</v>
      </c>
      <c r="G211">
        <f t="shared" si="6"/>
        <v>0</v>
      </c>
      <c r="H211">
        <f>MIN(100,($A211-'BOBOT PEK'!U98+1)/('BOBOT PEK'!V98-'BOBOT PEK'!U98+1)*100)</f>
        <v>-200</v>
      </c>
      <c r="I211">
        <f>IFERROR(SUM(INDEX(TS!$M:$AB,41,1):INDEX(TS!$M:$AB,41,$A211))/TS!$L$31*100,0)</f>
        <v>21.294065245273501</v>
      </c>
      <c r="J211">
        <f t="shared" si="7"/>
        <v>78.705934754726499</v>
      </c>
      <c r="O211" t="str">
        <f ca="1">IF(I211&gt;=99.9,"COMPLETED",IF('BOBOT PEK'!U98&gt;$J$7,"NOT STARTED",IF('BOBOT PEK'!V98&lt;$J$7,"CRITICAL",IF(I211+1&lt;H211,"DELAYED","ON SCHEDULE"))))</f>
        <v>CRITICAL</v>
      </c>
      <c r="Q211" t="str">
        <f>IFERROR(IF(AND($A211=$B$8,'BOBOT PEK'!U98&lt;=$B$8,$B$8&lt;='BOBOT PEK'!V98),COUNTIFS($A$17:$A211,$B$8),""),"")</f>
        <v/>
      </c>
    </row>
    <row r="212" spans="1:17" ht="12.75" customHeight="1" x14ac:dyDescent="0.2">
      <c r="A212">
        <f>IFERROR(IF(COUNTIF($C$17:C212,C212)&lt;=('BOBOT PEK'!V101-'BOBOT PEK'!U101+1),'BOBOT PEK'!U101+COUNTIF($C$17:C212,C212)-1,0),0)</f>
        <v>9</v>
      </c>
      <c r="B212" t="str">
        <f>IFERROR(TEXT(INDEX('KALENDER MINGGU'!$B$6:$B$21,$A212),"dd/mm")&amp;" - "&amp;TEXT(INDEX('KALENDER MINGGU'!$C$6:$C$21,$A212),"dd/mm"),"")</f>
        <v>17/09 - 23/09</v>
      </c>
      <c r="C212" t="s">
        <v>481</v>
      </c>
      <c r="D212" t="str">
        <f>'BOBOT PEK'!C101</f>
        <v xml:space="preserve">Finishing paving </v>
      </c>
      <c r="E212" s="241">
        <f>'BOBOT PEK'!J101</f>
        <v>2.7016436089000075</v>
      </c>
      <c r="F212">
        <f>100/('BOBOT PEK'!V101-'BOBOT PEK'!U101+1)</f>
        <v>25</v>
      </c>
      <c r="G212">
        <f t="shared" si="6"/>
        <v>0.67541090222500189</v>
      </c>
      <c r="H212">
        <f>MIN(100,($A212-'BOBOT PEK'!U101+1)/('BOBOT PEK'!V101-'BOBOT PEK'!U101+1)*100)</f>
        <v>100</v>
      </c>
      <c r="I212">
        <f>IFERROR(SUM(INDEX(TS!$M:$AB,41,1):INDEX(TS!$M:$AB,41,$A212))/TS!$L$31*100,0)</f>
        <v>15.970548933955127</v>
      </c>
      <c r="J212">
        <f t="shared" si="7"/>
        <v>84.029451066044871</v>
      </c>
      <c r="O212" t="str">
        <f ca="1">IF(I212&gt;=99.9,"COMPLETED",IF('BOBOT PEK'!U101&gt;$J$7,"NOT STARTED",IF('BOBOT PEK'!V101&lt;$J$7,"CRITICAL",IF(I212+1&lt;H212,"DELAYED","ON SCHEDULE"))))</f>
        <v>CRITICAL</v>
      </c>
      <c r="Q212" t="str">
        <f>IFERROR(IF(AND($A212=$B$8,'BOBOT PEK'!U101&lt;=$B$8,$B$8&lt;='BOBOT PEK'!V101),COUNTIFS($A$17:$A212,$B$8),""),"")</f>
        <v/>
      </c>
    </row>
    <row r="213" spans="1:17" ht="12.75" customHeight="1" x14ac:dyDescent="0.2">
      <c r="A213">
        <f>IFERROR(IF(COUNTIF($C$17:C213,C213)&lt;=('BOBOT PEK'!V102-'BOBOT PEK'!U102+1),'BOBOT PEK'!U102+COUNTIF($C$17:C213,C213)-1,0),0)</f>
        <v>0</v>
      </c>
      <c r="B213" t="str">
        <f>IFERROR(TEXT(INDEX('KALENDER MINGGU'!$B$6:$B$21,$A213),"dd/mm")&amp;" - "&amp;TEXT(INDEX('KALENDER MINGGU'!$C$6:$C$21,$A213),"dd/mm"),"")</f>
        <v/>
      </c>
      <c r="C213" t="s">
        <v>482</v>
      </c>
      <c r="D213" t="str">
        <f>'BOBOT PEK'!C102</f>
        <v>Terminasi cor keliling</v>
      </c>
      <c r="E213" s="241">
        <f>'BOBOT PEK'!J102</f>
        <v>0.33770545111250094</v>
      </c>
      <c r="F213">
        <f>100/('BOBOT PEK'!V102-'BOBOT PEK'!U102+1)</f>
        <v>33.333333333333336</v>
      </c>
      <c r="G213">
        <f t="shared" si="6"/>
        <v>0.112568483704167</v>
      </c>
      <c r="H213">
        <f>MIN(100,($A213-'BOBOT PEK'!U102+1)/('BOBOT PEK'!V102-'BOBOT PEK'!U102+1)*100)</f>
        <v>-200</v>
      </c>
      <c r="I213">
        <f>IFERROR(SUM(INDEX(TS!$M:$AB,41,1):INDEX(TS!$M:$AB,41,$A213))/TS!$L$31*100,0)</f>
        <v>21.294065245273501</v>
      </c>
      <c r="J213">
        <f t="shared" si="7"/>
        <v>78.705934754726499</v>
      </c>
      <c r="O213" t="str">
        <f ca="1">IF(I213&gt;=99.9,"COMPLETED",IF('BOBOT PEK'!U102&gt;$J$7,"NOT STARTED",IF('BOBOT PEK'!V102&lt;$J$7,"CRITICAL",IF(I213+1&lt;H213,"DELAYED","ON SCHEDULE"))))</f>
        <v>CRITICAL</v>
      </c>
      <c r="Q213" t="str">
        <f>IFERROR(IF(AND($A213=$B$8,'BOBOT PEK'!U102&lt;=$B$8,$B$8&lt;='BOBOT PEK'!V102),COUNTIFS($A$17:$A213,$B$8),""),"")</f>
        <v/>
      </c>
    </row>
    <row r="214" spans="1:17" ht="12.75" customHeight="1" x14ac:dyDescent="0.2">
      <c r="A214">
        <f>IFERROR(IF(COUNTIF($C$17:C214,C214)&lt;=('BOBOT PEK'!V103-'BOBOT PEK'!U103+1),'BOBOT PEK'!U103+COUNTIF($C$17:C214,C214)-1,0),0)</f>
        <v>7</v>
      </c>
      <c r="B214" t="str">
        <f>IFERROR(TEXT(INDEX('KALENDER MINGGU'!$B$6:$B$21,$A214),"dd/mm")&amp;" - "&amp;TEXT(INDEX('KALENDER MINGGU'!$C$6:$C$21,$A214),"dd/mm"),"")</f>
        <v>03/09 - 09/09</v>
      </c>
      <c r="C214" t="s">
        <v>483</v>
      </c>
      <c r="D214" t="str">
        <f>'BOBOT PEK'!C103</f>
        <v>Pondasi Struktur bengkel</v>
      </c>
      <c r="E214" s="241">
        <f>'BOBOT PEK'!J103</f>
        <v>0.19955322111193238</v>
      </c>
      <c r="F214">
        <f>100/('BOBOT PEK'!V103-'BOBOT PEK'!U103+1)</f>
        <v>14.285714285714286</v>
      </c>
      <c r="G214">
        <f t="shared" si="6"/>
        <v>2.8507603015990344E-2</v>
      </c>
      <c r="H214">
        <f>MIN(100,($A214-'BOBOT PEK'!U103+1)/('BOBOT PEK'!V103-'BOBOT PEK'!U103+1)*100)</f>
        <v>57.142857142857139</v>
      </c>
      <c r="I214">
        <f>IFERROR(SUM(INDEX(TS!$M:$AB,41,1):INDEX(TS!$M:$AB,41,$A214))/TS!$L$31*100,0)</f>
        <v>5.3235163113183752</v>
      </c>
      <c r="J214">
        <f t="shared" si="7"/>
        <v>94.676483688681628</v>
      </c>
      <c r="O214" t="str">
        <f ca="1">IF(I214&gt;=99.9,"COMPLETED",IF('BOBOT PEK'!U103&gt;$J$7,"NOT STARTED",IF('BOBOT PEK'!V103&lt;$J$7,"CRITICAL",IF(I214+1&lt;H214,"DELAYED","ON SCHEDULE"))))</f>
        <v>DELAYED</v>
      </c>
      <c r="Q214" t="str">
        <f>IFERROR(IF(AND($A214=$B$8,'BOBOT PEK'!U103&lt;=$B$8,$B$8&lt;='BOBOT PEK'!V103),COUNTIFS($A$17:$A214,$B$8),""),"")</f>
        <v/>
      </c>
    </row>
    <row r="215" spans="1:17" ht="12.75" customHeight="1" x14ac:dyDescent="0.2">
      <c r="A215">
        <f>IFERROR(IF(COUNTIF($C$17:C215,C215)&lt;=('BOBOT PEK'!V104-'BOBOT PEK'!U104+1),'BOBOT PEK'!U104+COUNTIF($C$17:C215,C215)-1,0),0)</f>
        <v>7</v>
      </c>
      <c r="B215" t="str">
        <f>IFERROR(TEXT(INDEX('KALENDER MINGGU'!$B$6:$B$21,$A215),"dd/mm")&amp;" - "&amp;TEXT(INDEX('KALENDER MINGGU'!$C$6:$C$21,$A215),"dd/mm"),"")</f>
        <v>03/09 - 09/09</v>
      </c>
      <c r="C215" t="s">
        <v>484</v>
      </c>
      <c r="D215" t="str">
        <f>'BOBOT PEK'!C104</f>
        <v>Atap bengkel dan cucian mobil</v>
      </c>
      <c r="E215" s="241">
        <f>'BOBOT PEK'!J104</f>
        <v>1.4215864467058505</v>
      </c>
      <c r="F215">
        <f>100/('BOBOT PEK'!V104-'BOBOT PEK'!U104+1)</f>
        <v>14.285714285714286</v>
      </c>
      <c r="G215">
        <f t="shared" si="6"/>
        <v>0.20308377810083583</v>
      </c>
      <c r="H215">
        <f>MIN(100,($A215-'BOBOT PEK'!U104+1)/('BOBOT PEK'!V104-'BOBOT PEK'!U104+1)*100)</f>
        <v>57.142857142857139</v>
      </c>
      <c r="I215">
        <f>IFERROR(SUM(INDEX(TS!$M:$AB,41,1):INDEX(TS!$M:$AB,41,$A215))/TS!$L$31*100,0)</f>
        <v>5.3235163113183752</v>
      </c>
      <c r="J215">
        <f t="shared" si="7"/>
        <v>94.676483688681628</v>
      </c>
      <c r="O215" t="str">
        <f ca="1">IF(I215&gt;=99.9,"COMPLETED",IF('BOBOT PEK'!U104&gt;$J$7,"NOT STARTED",IF('BOBOT PEK'!V104&lt;$J$7,"CRITICAL",IF(I215+1&lt;H215,"DELAYED","ON SCHEDULE"))))</f>
        <v>DELAYED</v>
      </c>
      <c r="Q215" t="str">
        <f>IFERROR(IF(AND($A215=$B$8,'BOBOT PEK'!U104&lt;=$B$8,$B$8&lt;='BOBOT PEK'!V104),COUNTIFS($A$17:$A215,$B$8),""),"")</f>
        <v/>
      </c>
    </row>
    <row r="216" spans="1:17" ht="12.75" customHeight="1" x14ac:dyDescent="0.2">
      <c r="A216">
        <f>IFERROR(IF(COUNTIF($C$17:C216,C216)&lt;=('BOBOT PEK'!V105-'BOBOT PEK'!U105+1),'BOBOT PEK'!U105+COUNTIF($C$17:C216,C216)-1,0),0)</f>
        <v>7</v>
      </c>
      <c r="B216" t="str">
        <f>IFERROR(TEXT(INDEX('KALENDER MINGGU'!$B$6:$B$21,$A216),"dd/mm")&amp;" - "&amp;TEXT(INDEX('KALENDER MINGGU'!$C$6:$C$21,$A216),"dd/mm"),"")</f>
        <v>03/09 - 09/09</v>
      </c>
      <c r="C216" t="s">
        <v>485</v>
      </c>
      <c r="D216" t="str">
        <f>'BOBOT PEK'!C105</f>
        <v>Instalasi air bersih ke arah bengkel</v>
      </c>
      <c r="E216" s="241">
        <f>'BOBOT PEK'!J105</f>
        <v>0.14531567896356101</v>
      </c>
      <c r="F216">
        <f>100/('BOBOT PEK'!V105-'BOBOT PEK'!U105+1)</f>
        <v>14.285714285714286</v>
      </c>
      <c r="G216">
        <f t="shared" si="6"/>
        <v>2.0759382709080149E-2</v>
      </c>
      <c r="H216">
        <f>MIN(100,($A216-'BOBOT PEK'!U105+1)/('BOBOT PEK'!V105-'BOBOT PEK'!U105+1)*100)</f>
        <v>57.142857142857139</v>
      </c>
      <c r="I216">
        <f>IFERROR(SUM(INDEX(TS!$M:$AB,41,1):INDEX(TS!$M:$AB,41,$A216))/TS!$L$31*100,0)</f>
        <v>5.3235163113183752</v>
      </c>
      <c r="J216">
        <f t="shared" si="7"/>
        <v>94.676483688681628</v>
      </c>
      <c r="O216" t="str">
        <f ca="1">IF(I216&gt;=99.9,"COMPLETED",IF('BOBOT PEK'!U105&gt;$J$7,"NOT STARTED",IF('BOBOT PEK'!V105&lt;$J$7,"CRITICAL",IF(I216+1&lt;H216,"DELAYED","ON SCHEDULE"))))</f>
        <v>DELAYED</v>
      </c>
      <c r="Q216" t="str">
        <f>IFERROR(IF(AND($A216=$B$8,'BOBOT PEK'!U105&lt;=$B$8,$B$8&lt;='BOBOT PEK'!V105),COUNTIFS($A$17:$A216,$B$8),""),"")</f>
        <v/>
      </c>
    </row>
    <row r="217" spans="1:17" ht="12.75" customHeight="1" x14ac:dyDescent="0.2">
      <c r="A217">
        <f>IFERROR(IF(COUNTIF($C$17:C217,C217)&lt;=('BOBOT PEK'!V110-'BOBOT PEK'!U110+1),'BOBOT PEK'!U110+COUNTIF($C$17:C217,C217)-1,0),0)</f>
        <v>7</v>
      </c>
      <c r="B217" t="str">
        <f>IFERROR(TEXT(INDEX('KALENDER MINGGU'!$B$6:$B$21,$A217),"dd/mm")&amp;" - "&amp;TEXT(INDEX('KALENDER MINGGU'!$C$6:$C$21,$A217),"dd/mm"),"")</f>
        <v>03/09 - 09/09</v>
      </c>
      <c r="C217" t="s">
        <v>486</v>
      </c>
      <c r="D217" t="str">
        <f>'BOBOT PEK'!C110</f>
        <v>Pemadatan dan peninggian lantai ex. Taman samping</v>
      </c>
      <c r="E217" s="241">
        <f>'BOBOT PEK'!J110</f>
        <v>0.51167492592803177</v>
      </c>
      <c r="F217">
        <f>100/('BOBOT PEK'!V110-'BOBOT PEK'!U110+1)</f>
        <v>16.666666666666668</v>
      </c>
      <c r="G217">
        <f t="shared" si="6"/>
        <v>8.5279154321338632E-2</v>
      </c>
      <c r="H217">
        <f>MIN(100,($A217-'BOBOT PEK'!U110+1)/('BOBOT PEK'!V110-'BOBOT PEK'!U110+1)*100)</f>
        <v>66.666666666666657</v>
      </c>
      <c r="I217">
        <f>IFERROR(SUM(INDEX(TS!$M:$AB,43,1):INDEX(TS!$M:$AB,43,$A217))/TS!$L$33*100,0)</f>
        <v>0</v>
      </c>
      <c r="J217">
        <f t="shared" si="7"/>
        <v>100</v>
      </c>
      <c r="O217" t="str">
        <f ca="1">IF(I217&gt;=99.9,"COMPLETED",IF('BOBOT PEK'!U110&gt;$J$7,"NOT STARTED",IF('BOBOT PEK'!V110&lt;$J$7,"CRITICAL",IF(I217+1&lt;H217,"DELAYED","ON SCHEDULE"))))</f>
        <v>CRITICAL</v>
      </c>
      <c r="Q217" t="str">
        <f>IFERROR(IF(AND($A217=$B$8,'BOBOT PEK'!U110&lt;=$B$8,$B$8&lt;='BOBOT PEK'!V110),COUNTIFS($A$17:$A217,$B$8),""),"")</f>
        <v/>
      </c>
    </row>
    <row r="218" spans="1:17" ht="12.75" customHeight="1" x14ac:dyDescent="0.2">
      <c r="A218">
        <f>IFERROR(IF(COUNTIF($C$17:C218,C218)&lt;=('BOBOT PEK'!V111-'BOBOT PEK'!U111+1),'BOBOT PEK'!U111+COUNTIF($C$17:C218,C218)-1,0),0)</f>
        <v>0</v>
      </c>
      <c r="B218" t="str">
        <f>IFERROR(TEXT(INDEX('KALENDER MINGGU'!$B$6:$B$21,$A218),"dd/mm")&amp;" - "&amp;TEXT(INDEX('KALENDER MINGGU'!$C$6:$C$21,$A218),"dd/mm"),"")</f>
        <v/>
      </c>
      <c r="C218" t="s">
        <v>487</v>
      </c>
      <c r="D218" t="str">
        <f>'BOBOT PEK'!C111</f>
        <v>Pembuatan garis kuning lebar 10cm</v>
      </c>
      <c r="E218" s="241">
        <f>'BOBOT PEK'!J111</f>
        <v>0.15222329046358946</v>
      </c>
      <c r="F218">
        <f>100/('BOBOT PEK'!V111-'BOBOT PEK'!U111+1)</f>
        <v>50</v>
      </c>
      <c r="G218">
        <f t="shared" si="6"/>
        <v>7.6111645231794728E-2</v>
      </c>
      <c r="H218">
        <f>MIN(100,($A218-'BOBOT PEK'!U111+1)/('BOBOT PEK'!V111-'BOBOT PEK'!U111+1)*100)</f>
        <v>-350</v>
      </c>
      <c r="I218">
        <f>IFERROR(SUM(INDEX(TS!$M:$AB,43,1):INDEX(TS!$M:$AB,43,$A218))/TS!$L$33*100,0)</f>
        <v>0</v>
      </c>
      <c r="J218">
        <f t="shared" si="7"/>
        <v>100</v>
      </c>
      <c r="O218" t="str">
        <f ca="1">IF(I218&gt;=99.9,"COMPLETED",IF('BOBOT PEK'!U111&gt;$J$7,"NOT STARTED",IF('BOBOT PEK'!V111&lt;$J$7,"CRITICAL",IF(I218+1&lt;H218,"DELAYED","ON SCHEDULE"))))</f>
        <v>CRITICAL</v>
      </c>
      <c r="Q218" t="str">
        <f>IFERROR(IF(AND($A218=$B$8,'BOBOT PEK'!U111&lt;=$B$8,$B$8&lt;='BOBOT PEK'!V111),COUNTIFS($A$17:$A218,$B$8),""),"")</f>
        <v/>
      </c>
    </row>
    <row r="219" spans="1:17" ht="12.75" customHeight="1" x14ac:dyDescent="0.2">
      <c r="A219">
        <f>IFERROR(IF(COUNTIF($C$17:C219,C219)&lt;=('BOBOT PEK'!V112-'BOBOT PEK'!U112+1),'BOBOT PEK'!U112+COUNTIF($C$17:C219,C219)-1,0),0)</f>
        <v>7</v>
      </c>
      <c r="B219" t="str">
        <f>IFERROR(TEXT(INDEX('KALENDER MINGGU'!$B$6:$B$21,$A219),"dd/mm")&amp;" - "&amp;TEXT(INDEX('KALENDER MINGGU'!$C$6:$C$21,$A219),"dd/mm"),"")</f>
        <v>03/09 - 09/09</v>
      </c>
      <c r="C219" t="s">
        <v>488</v>
      </c>
      <c r="D219" t="str">
        <f>'BOBOT PEK'!C112</f>
        <v>Pekerjaan got samping</v>
      </c>
      <c r="E219" s="241">
        <f>'BOBOT PEK'!J112</f>
        <v>0</v>
      </c>
      <c r="F219">
        <f>100/('BOBOT PEK'!V112-'BOBOT PEK'!U112+1)</f>
        <v>16.666666666666668</v>
      </c>
      <c r="G219">
        <f t="shared" si="6"/>
        <v>0</v>
      </c>
      <c r="H219">
        <f>MIN(100,($A219-'BOBOT PEK'!U112+1)/('BOBOT PEK'!V112-'BOBOT PEK'!U112+1)*100)</f>
        <v>66.666666666666657</v>
      </c>
      <c r="I219">
        <f>IFERROR(SUM(INDEX(TS!$M:$AB,43,1):INDEX(TS!$M:$AB,43,$A219))/TS!$L$33*100,0)</f>
        <v>0</v>
      </c>
      <c r="J219">
        <f t="shared" si="7"/>
        <v>100</v>
      </c>
      <c r="O219" t="str">
        <f ca="1">IF(I219&gt;=99.9,"COMPLETED",IF('BOBOT PEK'!U112&gt;$J$7,"NOT STARTED",IF('BOBOT PEK'!V112&lt;$J$7,"CRITICAL",IF(I219+1&lt;H219,"DELAYED","ON SCHEDULE"))))</f>
        <v>CRITICAL</v>
      </c>
      <c r="Q219" t="str">
        <f>IFERROR(IF(AND($A219=$B$8,'BOBOT PEK'!U112&lt;=$B$8,$B$8&lt;='BOBOT PEK'!V112),COUNTIFS($A$17:$A219,$B$8),""),"")</f>
        <v/>
      </c>
    </row>
    <row r="220" spans="1:17" ht="12.75" customHeight="1" x14ac:dyDescent="0.2">
      <c r="A220">
        <f>IFERROR(IF(COUNTIF($C$17:C220,C220)&lt;=('BOBOT PEK'!V113-'BOBOT PEK'!U113+1),'BOBOT PEK'!U113+COUNTIF($C$17:C220,C220)-1,0),0)</f>
        <v>7</v>
      </c>
      <c r="B220" t="str">
        <f>IFERROR(TEXT(INDEX('KALENDER MINGGU'!$B$6:$B$21,$A220),"dd/mm")&amp;" - "&amp;TEXT(INDEX('KALENDER MINGGU'!$C$6:$C$21,$A220),"dd/mm"),"")</f>
        <v>03/09 - 09/09</v>
      </c>
      <c r="C220" t="s">
        <v>489</v>
      </c>
      <c r="D220" t="str">
        <f>'BOBOT PEK'!C113</f>
        <v>Refinishing saluran</v>
      </c>
      <c r="E220" s="241">
        <f>'BOBOT PEK'!J113</f>
        <v>0.85193875167017286</v>
      </c>
      <c r="F220">
        <f>100/('BOBOT PEK'!V113-'BOBOT PEK'!U113+1)</f>
        <v>14.285714285714286</v>
      </c>
      <c r="G220">
        <f t="shared" si="6"/>
        <v>0.12170553595288186</v>
      </c>
      <c r="H220">
        <f>MIN(100,($A220-'BOBOT PEK'!U113+1)/('BOBOT PEK'!V113-'BOBOT PEK'!U113+1)*100)</f>
        <v>57.142857142857139</v>
      </c>
      <c r="I220">
        <f>IFERROR(SUM(INDEX(TS!$M:$AB,43,1):INDEX(TS!$M:$AB,43,$A220))/TS!$L$33*100,0)</f>
        <v>0</v>
      </c>
      <c r="J220">
        <f t="shared" si="7"/>
        <v>100</v>
      </c>
      <c r="O220" t="str">
        <f ca="1">IF(I220&gt;=99.9,"COMPLETED",IF('BOBOT PEK'!U113&gt;$J$7,"NOT STARTED",IF('BOBOT PEK'!V113&lt;$J$7,"CRITICAL",IF(I220+1&lt;H220,"DELAYED","ON SCHEDULE"))))</f>
        <v>DELAYED</v>
      </c>
      <c r="Q220" t="str">
        <f>IFERROR(IF(AND($A220=$B$8,'BOBOT PEK'!U113&lt;=$B$8,$B$8&lt;='BOBOT PEK'!V113),COUNTIFS($A$17:$A220,$B$8),""),"")</f>
        <v/>
      </c>
    </row>
    <row r="221" spans="1:17" ht="12.75" customHeight="1" x14ac:dyDescent="0.2">
      <c r="A221">
        <f>IFERROR(IF(COUNTIF($C$17:C221,C221)&lt;=('BOBOT PEK'!V114-'BOBOT PEK'!U114+1),'BOBOT PEK'!U114+COUNTIF($C$17:C221,C221)-1,0),0)</f>
        <v>7</v>
      </c>
      <c r="B221" t="str">
        <f>IFERROR(TEXT(INDEX('KALENDER MINGGU'!$B$6:$B$21,$A221),"dd/mm")&amp;" - "&amp;TEXT(INDEX('KALENDER MINGGU'!$C$6:$C$21,$A221),"dd/mm"),"")</f>
        <v>03/09 - 09/09</v>
      </c>
      <c r="C221" t="s">
        <v>490</v>
      </c>
      <c r="D221" t="str">
        <f>'BOBOT PEK'!C114</f>
        <v>Pembuatan dinding batu kali</v>
      </c>
      <c r="E221" s="241">
        <f>'BOBOT PEK'!J114</f>
        <v>0.61400991111363812</v>
      </c>
      <c r="F221">
        <f>100/('BOBOT PEK'!V114-'BOBOT PEK'!U114+1)</f>
        <v>14.285714285714286</v>
      </c>
      <c r="G221">
        <f t="shared" si="6"/>
        <v>8.7715701587662606E-2</v>
      </c>
      <c r="H221">
        <f>MIN(100,($A221-'BOBOT PEK'!U114+1)/('BOBOT PEK'!V114-'BOBOT PEK'!U114+1)*100)</f>
        <v>57.142857142857139</v>
      </c>
      <c r="I221">
        <f>IFERROR(SUM(INDEX(TS!$M:$AB,43,1):INDEX(TS!$M:$AB,43,$A221))/TS!$L$33*100,0)</f>
        <v>0</v>
      </c>
      <c r="J221">
        <f t="shared" si="7"/>
        <v>100</v>
      </c>
      <c r="O221" t="str">
        <f ca="1">IF(I221&gt;=99.9,"COMPLETED",IF('BOBOT PEK'!U114&gt;$J$7,"NOT STARTED",IF('BOBOT PEK'!V114&lt;$J$7,"CRITICAL",IF(I221+1&lt;H221,"DELAYED","ON SCHEDULE"))))</f>
        <v>DELAYED</v>
      </c>
      <c r="Q221" t="str">
        <f>IFERROR(IF(AND($A221=$B$8,'BOBOT PEK'!U114&lt;=$B$8,$B$8&lt;='BOBOT PEK'!V114),COUNTIFS($A$17:$A221,$B$8),""),"")</f>
        <v/>
      </c>
    </row>
    <row r="222" spans="1:17" ht="12.75" customHeight="1" x14ac:dyDescent="0.2">
      <c r="A222">
        <f>IFERROR(IF(COUNTIF($C$17:C222,C222)&lt;=('BOBOT PEK'!V125-'BOBOT PEK'!U125+1),'BOBOT PEK'!U125+COUNTIF($C$17:C222,C222)-1,0),0)</f>
        <v>7</v>
      </c>
      <c r="B222" t="str">
        <f>IFERROR(TEXT(INDEX('KALENDER MINGGU'!$B$6:$B$21,$A222),"dd/mm")&amp;" - "&amp;TEXT(INDEX('KALENDER MINGGU'!$C$6:$C$21,$A222),"dd/mm"),"")</f>
        <v>03/09 - 09/09</v>
      </c>
      <c r="C222" t="s">
        <v>495</v>
      </c>
      <c r="D222" t="str">
        <f>'BOBOT PEK'!C125</f>
        <v>pembuatan sumur resapan (biopori)</v>
      </c>
      <c r="E222" s="241">
        <f>'BOBOT PEK'!J125</f>
        <v>0.36840594666818283</v>
      </c>
      <c r="F222">
        <f>100/('BOBOT PEK'!V125-'BOBOT PEK'!U125+1)</f>
        <v>33.333333333333336</v>
      </c>
      <c r="G222">
        <f t="shared" si="6"/>
        <v>0.12280198222272762</v>
      </c>
      <c r="H222">
        <f>MIN(100,($A222-'BOBOT PEK'!U125+1)/('BOBOT PEK'!V125-'BOBOT PEK'!U125+1)*100)</f>
        <v>33.333333333333329</v>
      </c>
      <c r="I222">
        <f>IFERROR(SUM(INDEX(TS!$M:$AB,47,1):INDEX(TS!$M:$AB,47,$A222))/TS!$L$37*100,0)</f>
        <v>4.9656357388316152</v>
      </c>
      <c r="J222">
        <f t="shared" si="7"/>
        <v>95.034364261168378</v>
      </c>
      <c r="O222" t="str">
        <f ca="1">IF(I222&gt;=99.9,"COMPLETED",IF('BOBOT PEK'!U125&gt;$J$7,"NOT STARTED",IF('BOBOT PEK'!V125&lt;$J$7,"CRITICAL",IF(I222+1&lt;H222,"DELAYED","ON SCHEDULE"))))</f>
        <v>CRITICAL</v>
      </c>
      <c r="Q222" t="str">
        <f>IFERROR(IF(AND($A222=$B$8,'BOBOT PEK'!U125&lt;=$B$8,$B$8&lt;='BOBOT PEK'!V125),COUNTIFS($A$17:$A222,$B$8),""),"")</f>
        <v/>
      </c>
    </row>
    <row r="223" spans="1:17" ht="12.75" customHeight="1" x14ac:dyDescent="0.2">
      <c r="A223">
        <f>IFERROR(IF(COUNTIF($C$17:C223,C223)&lt;=('BOBOT PEK'!V132-'BOBOT PEK'!U132+1),'BOBOT PEK'!U132+COUNTIF($C$17:C223,C223)-1,0),0)</f>
        <v>8</v>
      </c>
      <c r="B223" t="str">
        <f>IFERROR(TEXT(INDEX('KALENDER MINGGU'!$B$6:$B$21,$A223),"dd/mm")&amp;" - "&amp;TEXT(INDEX('KALENDER MINGGU'!$C$6:$C$21,$A223),"dd/mm"),"")</f>
        <v>10/09 - 16/09</v>
      </c>
      <c r="C223" t="s">
        <v>500</v>
      </c>
      <c r="D223" t="str">
        <f>'BOBOT PEK'!C132</f>
        <v>Sudetan pembuangan air ke arah utara dan perapian saluran belakang</v>
      </c>
      <c r="E223" s="241">
        <f>'BOBOT PEK'!J132</f>
        <v>0.28142120926041747</v>
      </c>
      <c r="F223">
        <f>100/('BOBOT PEK'!V132-'BOBOT PEK'!U132+1)</f>
        <v>50</v>
      </c>
      <c r="G223">
        <f t="shared" si="6"/>
        <v>0.14071060463020874</v>
      </c>
      <c r="H223">
        <f>MIN(100,($A223-'BOBOT PEK'!U132+1)/('BOBOT PEK'!V132-'BOBOT PEK'!U132+1)*100)</f>
        <v>50</v>
      </c>
      <c r="I223">
        <f>IFERROR(SUM(INDEX(TS!$M:$AB,49,1):INDEX(TS!$M:$AB,49,$A223))/TS!$L$39*100,0)</f>
        <v>1121.4933333333333</v>
      </c>
      <c r="J223">
        <f t="shared" si="7"/>
        <v>0</v>
      </c>
      <c r="O223" t="str">
        <f>IF(I223&gt;=99.9,"COMPLETED",IF('BOBOT PEK'!U132&gt;$J$7,"NOT STARTED",IF('BOBOT PEK'!V132&lt;$J$7,"CRITICAL",IF(I223+1&lt;H223,"DELAYED","ON SCHEDULE"))))</f>
        <v>COMPLETED</v>
      </c>
      <c r="Q223" t="str">
        <f>IFERROR(IF(AND($A223=$B$8,'BOBOT PEK'!U132&lt;=$B$8,$B$8&lt;='BOBOT PEK'!V132),COUNTIFS($A$17:$A223,$B$8),""),"")</f>
        <v/>
      </c>
    </row>
    <row r="224" spans="1:17" ht="12.75" customHeight="1" x14ac:dyDescent="0.2">
      <c r="A224">
        <f>IFERROR(IF(COUNTIF($C$17:C224,C224)&lt;=('BOBOT PEK'!V136-'BOBOT PEK'!U136+1),'BOBOT PEK'!U136+COUNTIF($C$17:C224,C224)-1,0),0)</f>
        <v>7</v>
      </c>
      <c r="B224" t="str">
        <f>IFERROR(TEXT(INDEX('KALENDER MINGGU'!$B$6:$B$21,$A224),"dd/mm")&amp;" - "&amp;TEXT(INDEX('KALENDER MINGGU'!$C$6:$C$21,$A224),"dd/mm"),"")</f>
        <v>03/09 - 09/09</v>
      </c>
      <c r="C224" t="s">
        <v>502</v>
      </c>
      <c r="D224" t="str">
        <f>'BOBOT PEK'!C136</f>
        <v>Neon Box Artaboga Facade</v>
      </c>
      <c r="E224" s="241">
        <f>'BOBOT PEK'!J136</f>
        <v>0.47329930648342938</v>
      </c>
      <c r="F224">
        <f>100/('BOBOT PEK'!V136-'BOBOT PEK'!U136+1)</f>
        <v>25</v>
      </c>
      <c r="G224">
        <f t="shared" si="6"/>
        <v>0.11832482662085735</v>
      </c>
      <c r="H224">
        <f>MIN(100,($A224-'BOBOT PEK'!U136+1)/('BOBOT PEK'!V136-'BOBOT PEK'!U136+1)*100)</f>
        <v>25</v>
      </c>
      <c r="I224">
        <f>IFERROR(SUM(INDEX(TS!$M:$AB,51,1):INDEX(TS!$M:$AB,51,$A224))/TS!$L$41*100,0)</f>
        <v>0</v>
      </c>
      <c r="J224">
        <f t="shared" si="7"/>
        <v>100</v>
      </c>
      <c r="O224" t="str">
        <f ca="1">IF(I224&gt;=99.9,"COMPLETED",IF('BOBOT PEK'!U136&gt;$J$7,"NOT STARTED",IF('BOBOT PEK'!V136&lt;$J$7,"CRITICAL",IF(I224+1&lt;H224,"DELAYED","ON SCHEDULE"))))</f>
        <v>DELAYED</v>
      </c>
      <c r="Q224" t="str">
        <f>IFERROR(IF(AND($A224=$B$8,'BOBOT PEK'!U136&lt;=$B$8,$B$8&lt;='BOBOT PEK'!V136),COUNTIFS($A$17:$A224,$B$8),""),"")</f>
        <v/>
      </c>
    </row>
    <row r="225" spans="1:17" ht="12.75" customHeight="1" x14ac:dyDescent="0.2">
      <c r="A225">
        <f>IFERROR(IF(COUNTIF($C$17:C225,C225)&lt;=('BOBOT PEK'!V137-'BOBOT PEK'!U137+1),'BOBOT PEK'!U137+COUNTIF($C$17:C225,C225)-1,0),0)</f>
        <v>7</v>
      </c>
      <c r="B225" t="str">
        <f>IFERROR(TEXT(INDEX('KALENDER MINGGU'!$B$6:$B$21,$A225),"dd/mm")&amp;" - "&amp;TEXT(INDEX('KALENDER MINGGU'!$C$6:$C$21,$A225),"dd/mm"),"")</f>
        <v>03/09 - 09/09</v>
      </c>
      <c r="C225" t="s">
        <v>503</v>
      </c>
      <c r="D225" t="str">
        <f>'BOBOT PEK'!C137</f>
        <v>Huruf timbul dan logo backdrop 55 cm dan 27 cm "artaboga", akrilik warna, timbul 2 cm, dengan lampu</v>
      </c>
      <c r="E225" s="241">
        <f>'BOBOT PEK'!J137</f>
        <v>0.12536035685236779</v>
      </c>
      <c r="F225">
        <f>100/('BOBOT PEK'!V137-'BOBOT PEK'!U137+1)</f>
        <v>25</v>
      </c>
      <c r="G225">
        <f t="shared" si="6"/>
        <v>3.1340089213091948E-2</v>
      </c>
      <c r="H225">
        <f>MIN(100,($A225-'BOBOT PEK'!U137+1)/('BOBOT PEK'!V137-'BOBOT PEK'!U137+1)*100)</f>
        <v>25</v>
      </c>
      <c r="I225">
        <f>IFERROR(SUM(INDEX(TS!$M:$AB,51,1):INDEX(TS!$M:$AB,51,$A225))/TS!$L$41*100,0)</f>
        <v>0</v>
      </c>
      <c r="J225">
        <f t="shared" si="7"/>
        <v>100</v>
      </c>
      <c r="O225" t="str">
        <f ca="1">IF(I225&gt;=99.9,"COMPLETED",IF('BOBOT PEK'!U137&gt;$J$7,"NOT STARTED",IF('BOBOT PEK'!V137&lt;$J$7,"CRITICAL",IF(I225+1&lt;H225,"DELAYED","ON SCHEDULE"))))</f>
        <v>DELAYED</v>
      </c>
      <c r="Q225" t="str">
        <f>IFERROR(IF(AND($A225=$B$8,'BOBOT PEK'!U137&lt;=$B$8,$B$8&lt;='BOBOT PEK'!V137),COUNTIFS($A$17:$A225,$B$8),""),"")</f>
        <v/>
      </c>
    </row>
    <row r="226" spans="1:17" ht="12.75" customHeight="1" x14ac:dyDescent="0.2">
      <c r="A226">
        <f>IFERROR(IF(COUNTIF($C$17:C226,C226)&lt;=('BOBOT PEK'!V138-'BOBOT PEK'!U138+1),'BOBOT PEK'!U138+COUNTIF($C$17:C226,C226)-1,0),0)</f>
        <v>7</v>
      </c>
      <c r="B226" t="str">
        <f>IFERROR(TEXT(INDEX('KALENDER MINGGU'!$B$6:$B$21,$A226),"dd/mm")&amp;" - "&amp;TEXT(INDEX('KALENDER MINGGU'!$C$6:$C$21,$A226),"dd/mm"),"")</f>
        <v>03/09 - 09/09</v>
      </c>
      <c r="C226" t="s">
        <v>504</v>
      </c>
      <c r="D226" t="str">
        <f>'BOBOT PEK'!C138</f>
        <v>Jasa Pasang lokasi tinggi</v>
      </c>
      <c r="E226" s="241">
        <f>'BOBOT PEK'!J138</f>
        <v>3.1979682870501985E-2</v>
      </c>
      <c r="F226">
        <f>100/('BOBOT PEK'!V138-'BOBOT PEK'!U138+1)</f>
        <v>25</v>
      </c>
      <c r="G226">
        <f t="shared" si="6"/>
        <v>7.9949207176254963E-3</v>
      </c>
      <c r="H226">
        <f>MIN(100,($A226-'BOBOT PEK'!U138+1)/('BOBOT PEK'!V138-'BOBOT PEK'!U138+1)*100)</f>
        <v>25</v>
      </c>
      <c r="I226">
        <f>IFERROR(SUM(INDEX(TS!$M:$AB,51,1):INDEX(TS!$M:$AB,51,$A226))/TS!$L$41*100,0)</f>
        <v>0</v>
      </c>
      <c r="J226">
        <f t="shared" si="7"/>
        <v>100</v>
      </c>
      <c r="O226" t="str">
        <f ca="1">IF(I226&gt;=99.9,"COMPLETED",IF('BOBOT PEK'!U138&gt;$J$7,"NOT STARTED",IF('BOBOT PEK'!V138&lt;$J$7,"CRITICAL",IF(I226+1&lt;H226,"DELAYED","ON SCHEDULE"))))</f>
        <v>DELAYED</v>
      </c>
      <c r="Q226" t="str">
        <f>IFERROR(IF(AND($A226=$B$8,'BOBOT PEK'!U138&lt;=$B$8,$B$8&lt;='BOBOT PEK'!V138),COUNTIFS($A$17:$A226,$B$8),""),"")</f>
        <v/>
      </c>
    </row>
    <row r="227" spans="1:17" ht="12.75" customHeight="1" x14ac:dyDescent="0.2">
      <c r="A227">
        <f>IFERROR(IF(COUNTIF($C$17:C227,C227)&lt;=('BOBOT PEK'!V139-'BOBOT PEK'!U139+1),'BOBOT PEK'!U139+COUNTIF($C$17:C227,C227)-1,0),0)</f>
        <v>7</v>
      </c>
      <c r="B227" t="str">
        <f>IFERROR(TEXT(INDEX('KALENDER MINGGU'!$B$6:$B$21,$A227),"dd/mm")&amp;" - "&amp;TEXT(INDEX('KALENDER MINGGU'!$C$6:$C$21,$A227),"dd/mm"),"")</f>
        <v>03/09 - 09/09</v>
      </c>
      <c r="C227" t="s">
        <v>505</v>
      </c>
      <c r="D227" t="str">
        <f>'BOBOT PEK'!C139</f>
        <v>Backdrop WPC, Kombinasi wallboard marble</v>
      </c>
      <c r="E227" s="241">
        <f>'BOBOT PEK'!J139</f>
        <v>0.20722834500085285</v>
      </c>
      <c r="F227">
        <f>100/('BOBOT PEK'!V139-'BOBOT PEK'!U139+1)</f>
        <v>25</v>
      </c>
      <c r="G227">
        <f t="shared" si="6"/>
        <v>5.1807086250213213E-2</v>
      </c>
      <c r="H227">
        <f>MIN(100,($A227-'BOBOT PEK'!U139+1)/('BOBOT PEK'!V139-'BOBOT PEK'!U139+1)*100)</f>
        <v>25</v>
      </c>
      <c r="I227">
        <f>IFERROR(SUM(INDEX(TS!$M:$AB,51,1):INDEX(TS!$M:$AB,51,$A227))/TS!$L$41*100,0)</f>
        <v>0</v>
      </c>
      <c r="J227">
        <f t="shared" si="7"/>
        <v>100</v>
      </c>
      <c r="O227" t="str">
        <f ca="1">IF(I227&gt;=99.9,"COMPLETED",IF('BOBOT PEK'!U139&gt;$J$7,"NOT STARTED",IF('BOBOT PEK'!V139&lt;$J$7,"CRITICAL",IF(I227+1&lt;H227,"DELAYED","ON SCHEDULE"))))</f>
        <v>DELAYED</v>
      </c>
      <c r="Q227" t="str">
        <f>IFERROR(IF(AND($A227=$B$8,'BOBOT PEK'!U139&lt;=$B$8,$B$8&lt;='BOBOT PEK'!V139),COUNTIFS($A$17:$A227,$B$8),""),"")</f>
        <v/>
      </c>
    </row>
    <row r="228" spans="1:17" ht="12.75" customHeight="1" x14ac:dyDescent="0.2">
      <c r="A228">
        <f>IFERROR(IF(COUNTIF($C$17:C228,C228)&lt;=('BOBOT PEK'!V140-'BOBOT PEK'!U140+1),'BOBOT PEK'!U140+COUNTIF($C$17:C228,C228)-1,0),0)</f>
        <v>7</v>
      </c>
      <c r="B228" t="str">
        <f>IFERROR(TEXT(INDEX('KALENDER MINGGU'!$B$6:$B$21,$A228),"dd/mm")&amp;" - "&amp;TEXT(INDEX('KALENDER MINGGU'!$C$6:$C$21,$A228),"dd/mm"),"")</f>
        <v>03/09 - 09/09</v>
      </c>
      <c r="C228" t="s">
        <v>506</v>
      </c>
      <c r="D228" t="str">
        <f>'BOBOT PEK'!C140</f>
        <v>Repair meja receptionist, lapis hpl, spek taco</v>
      </c>
      <c r="E228" s="241">
        <f>'BOBOT PEK'!J140</f>
        <v>0.1662943509266103</v>
      </c>
      <c r="F228">
        <f>100/('BOBOT PEK'!V140-'BOBOT PEK'!U140+1)</f>
        <v>25</v>
      </c>
      <c r="G228">
        <f t="shared" si="6"/>
        <v>4.1573587731652574E-2</v>
      </c>
      <c r="H228">
        <f>MIN(100,($A228-'BOBOT PEK'!U140+1)/('BOBOT PEK'!V140-'BOBOT PEK'!U140+1)*100)</f>
        <v>25</v>
      </c>
      <c r="I228">
        <f>IFERROR(SUM(INDEX(TS!$M:$AB,51,1):INDEX(TS!$M:$AB,51,$A228))/TS!$L$41*100,0)</f>
        <v>0</v>
      </c>
      <c r="J228">
        <f t="shared" si="7"/>
        <v>100</v>
      </c>
      <c r="O228" t="str">
        <f ca="1">IF(I228&gt;=99.9,"COMPLETED",IF('BOBOT PEK'!U140&gt;$J$7,"NOT STARTED",IF('BOBOT PEK'!V140&lt;$J$7,"CRITICAL",IF(I228+1&lt;H228,"DELAYED","ON SCHEDULE"))))</f>
        <v>DELAYED</v>
      </c>
      <c r="Q228" t="str">
        <f>IFERROR(IF(AND($A228=$B$8,'BOBOT PEK'!U140&lt;=$B$8,$B$8&lt;='BOBOT PEK'!V140),COUNTIFS($A$17:$A228,$B$8),""),"")</f>
        <v/>
      </c>
    </row>
    <row r="229" spans="1:17" ht="12.75" customHeight="1" x14ac:dyDescent="0.2">
      <c r="A229">
        <f>IFERROR(IF(COUNTIF($C$17:C229,C229)&lt;=('BOBOT PEK'!V141-'BOBOT PEK'!U141+1),'BOBOT PEK'!U141+COUNTIF($C$17:C229,C229)-1,0),0)</f>
        <v>7</v>
      </c>
      <c r="B229" t="str">
        <f>IFERROR(TEXT(INDEX('KALENDER MINGGU'!$B$6:$B$21,$A229),"dd/mm")&amp;" - "&amp;TEXT(INDEX('KALENDER MINGGU'!$C$6:$C$21,$A229),"dd/mm"),"")</f>
        <v>03/09 - 09/09</v>
      </c>
      <c r="C229" t="s">
        <v>507</v>
      </c>
      <c r="D229" t="str">
        <f>'BOBOT PEK'!C141</f>
        <v>Repair lemari bawah tangga, lapis hpl, spek taco</v>
      </c>
      <c r="E229" s="241">
        <f>'BOBOT PEK'!J141</f>
        <v>0.12791873148200794</v>
      </c>
      <c r="F229">
        <f>100/('BOBOT PEK'!V141-'BOBOT PEK'!U141+1)</f>
        <v>25</v>
      </c>
      <c r="G229">
        <f t="shared" si="6"/>
        <v>3.1979682870501985E-2</v>
      </c>
      <c r="H229">
        <f>MIN(100,($A229-'BOBOT PEK'!U141+1)/('BOBOT PEK'!V141-'BOBOT PEK'!U141+1)*100)</f>
        <v>25</v>
      </c>
      <c r="I229">
        <f>IFERROR(SUM(INDEX(TS!$M:$AB,51,1):INDEX(TS!$M:$AB,51,$A229))/TS!$L$41*100,0)</f>
        <v>0</v>
      </c>
      <c r="J229">
        <f t="shared" si="7"/>
        <v>100</v>
      </c>
      <c r="O229" t="str">
        <f ca="1">IF(I229&gt;=99.9,"COMPLETED",IF('BOBOT PEK'!U141&gt;$J$7,"NOT STARTED",IF('BOBOT PEK'!V141&lt;$J$7,"CRITICAL",IF(I229+1&lt;H229,"DELAYED","ON SCHEDULE"))))</f>
        <v>DELAYED</v>
      </c>
      <c r="Q229" t="str">
        <f>IFERROR(IF(AND($A229=$B$8,'BOBOT PEK'!U141&lt;=$B$8,$B$8&lt;='BOBOT PEK'!V141),COUNTIFS($A$17:$A229,$B$8),""),"")</f>
        <v/>
      </c>
    </row>
    <row r="230" spans="1:17" ht="12.75" customHeight="1" x14ac:dyDescent="0.2">
      <c r="A230">
        <f>IFERROR(IF(COUNTIF($C$17:C230,C230)&lt;=('BOBOT PEK'!V142-'BOBOT PEK'!U142+1),'BOBOT PEK'!U142+COUNTIF($C$17:C230,C230)-1,0),0)</f>
        <v>7</v>
      </c>
      <c r="B230" t="str">
        <f>IFERROR(TEXT(INDEX('KALENDER MINGGU'!$B$6:$B$21,$A230),"dd/mm")&amp;" - "&amp;TEXT(INDEX('KALENDER MINGGU'!$C$6:$C$21,$A230),"dd/mm"),"")</f>
        <v>03/09 - 09/09</v>
      </c>
      <c r="C230" t="s">
        <v>508</v>
      </c>
      <c r="D230" t="str">
        <f>'BOBOT PEK'!C142</f>
        <v>Neon Box 140 x 30 cm</v>
      </c>
      <c r="E230" s="241">
        <f>'BOBOT PEK'!J142</f>
        <v>0.21106590694531308</v>
      </c>
      <c r="F230">
        <f>100/('BOBOT PEK'!V142-'BOBOT PEK'!U142+1)</f>
        <v>25</v>
      </c>
      <c r="G230">
        <f t="shared" si="6"/>
        <v>5.2766476736328269E-2</v>
      </c>
      <c r="H230">
        <f>MIN(100,($A230-'BOBOT PEK'!U142+1)/('BOBOT PEK'!V142-'BOBOT PEK'!U142+1)*100)</f>
        <v>25</v>
      </c>
      <c r="I230">
        <f>IFERROR(SUM(INDEX(TS!$M:$AB,51,1):INDEX(TS!$M:$AB,51,$A230))/TS!$L$41*100,0)</f>
        <v>0</v>
      </c>
      <c r="J230">
        <f t="shared" si="7"/>
        <v>100</v>
      </c>
      <c r="O230" t="str">
        <f ca="1">IF(I230&gt;=99.9,"COMPLETED",IF('BOBOT PEK'!U142&gt;$J$7,"NOT STARTED",IF('BOBOT PEK'!V142&lt;$J$7,"CRITICAL",IF(I230+1&lt;H230,"DELAYED","ON SCHEDULE"))))</f>
        <v>DELAYED</v>
      </c>
      <c r="Q230" t="str">
        <f>IFERROR(IF(AND($A230=$B$8,'BOBOT PEK'!U142&lt;=$B$8,$B$8&lt;='BOBOT PEK'!V142),COUNTIFS($A$17:$A230,$B$8),""),"")</f>
        <v/>
      </c>
    </row>
    <row r="231" spans="1:17" ht="12.75" customHeight="1" x14ac:dyDescent="0.2">
      <c r="A231">
        <f>IFERROR(IF(COUNTIF($C$17:C231,C231)&lt;=('BOBOT PEK'!V143-'BOBOT PEK'!U143+1),'BOBOT PEK'!U143+COUNTIF($C$17:C231,C231)-1,0),0)</f>
        <v>7</v>
      </c>
      <c r="B231" t="str">
        <f>IFERROR(TEXT(INDEX('KALENDER MINGGU'!$B$6:$B$21,$A231),"dd/mm")&amp;" - "&amp;TEXT(INDEX('KALENDER MINGGU'!$C$6:$C$21,$A231),"dd/mm"),"")</f>
        <v>03/09 - 09/09</v>
      </c>
      <c r="C231" t="s">
        <v>509</v>
      </c>
      <c r="D231" t="str">
        <f>'BOBOT PEK'!C143</f>
        <v xml:space="preserve">Cover Meja kantor </v>
      </c>
      <c r="E231" s="241">
        <f>'BOBOT PEK'!J143</f>
        <v>0.17959789900073914</v>
      </c>
      <c r="F231">
        <f>100/('BOBOT PEK'!V143-'BOBOT PEK'!U143+1)</f>
        <v>25</v>
      </c>
      <c r="G231">
        <f t="shared" si="6"/>
        <v>4.4899474750184784E-2</v>
      </c>
      <c r="H231">
        <f>MIN(100,($A231-'BOBOT PEK'!U143+1)/('BOBOT PEK'!V143-'BOBOT PEK'!U143+1)*100)</f>
        <v>25</v>
      </c>
      <c r="I231">
        <f>IFERROR(SUM(INDEX(TS!$M:$AB,51,1):INDEX(TS!$M:$AB,51,$A231))/TS!$L$41*100,0)</f>
        <v>0</v>
      </c>
      <c r="J231">
        <f t="shared" si="7"/>
        <v>100</v>
      </c>
      <c r="O231" t="str">
        <f ca="1">IF(I231&gt;=99.9,"COMPLETED",IF('BOBOT PEK'!U143&gt;$J$7,"NOT STARTED",IF('BOBOT PEK'!V143&lt;$J$7,"CRITICAL",IF(I231+1&lt;H231,"DELAYED","ON SCHEDULE"))))</f>
        <v>DELAYED</v>
      </c>
      <c r="Q231" t="str">
        <f>IFERROR(IF(AND($A231=$B$8,'BOBOT PEK'!U143&lt;=$B$8,$B$8&lt;='BOBOT PEK'!V143),COUNTIFS($A$17:$A231,$B$8),""),"")</f>
        <v/>
      </c>
    </row>
    <row r="232" spans="1:17" ht="12.75" customHeight="1" x14ac:dyDescent="0.2">
      <c r="A232">
        <f>IFERROR(IF(COUNTIF($C$17:C232,C232)&lt;=('BOBOT PEK'!V219-'BOBOT PEK'!U219+1),'BOBOT PEK'!U219+COUNTIF($C$17:C232,C232)-1,0),0)</f>
        <v>6</v>
      </c>
      <c r="B232" t="str">
        <f>IFERROR(TEXT(INDEX('KALENDER MINGGU'!$B$6:$B$21,$A232),"dd/mm")&amp;" - "&amp;TEXT(INDEX('KALENDER MINGGU'!$C$6:$C$21,$A232),"dd/mm"),"")</f>
        <v>27/08 - 02/09</v>
      </c>
      <c r="C232" t="s">
        <v>536</v>
      </c>
      <c r="D232" t="str">
        <f>'BOBOT PEK'!C219</f>
        <v>urugan kembali dan pemadatan tanah</v>
      </c>
      <c r="E232" s="241">
        <f>'BOBOT PEK'!J219</f>
        <v>1.995532211119324E-2</v>
      </c>
      <c r="F232">
        <f>100/('BOBOT PEK'!V219-'BOBOT PEK'!U219+1)</f>
        <v>50</v>
      </c>
      <c r="G232">
        <f t="shared" si="6"/>
        <v>9.9776610555966198E-3</v>
      </c>
      <c r="H232">
        <f>MIN(100,($A232-'BOBOT PEK'!U219+1)/('BOBOT PEK'!V219-'BOBOT PEK'!U219+1)*100)</f>
        <v>100</v>
      </c>
      <c r="I232">
        <f>IFERROR(SUM(INDEX(TS!$M:$AB,63,1):INDEX(TS!$M:$AB,63,$A232))/TS!$L$53*100,0)</f>
        <v>0</v>
      </c>
      <c r="J232">
        <f t="shared" si="7"/>
        <v>100</v>
      </c>
      <c r="O232" t="str">
        <f ca="1">IF(I232&gt;=99.9,"COMPLETED",IF('BOBOT PEK'!U219&gt;$J$7,"NOT STARTED",IF('BOBOT PEK'!V219&lt;$J$7,"CRITICAL",IF(I232+1&lt;H232,"DELAYED","ON SCHEDULE"))))</f>
        <v>CRITICAL</v>
      </c>
      <c r="Q232">
        <f>IFERROR(IF(AND($A232=$B$8,'BOBOT PEK'!U219&lt;=$B$8,$B$8&lt;='BOBOT PEK'!V219),COUNTIFS($A$17:$A232,$B$8),""),"")</f>
        <v>24</v>
      </c>
    </row>
    <row r="233" spans="1:17" ht="12.75" customHeight="1" x14ac:dyDescent="0.2">
      <c r="A233">
        <f>IFERROR(IF(COUNTIF($C$17:C233,C233)&lt;=('BOBOT PEK'!V220-'BOBOT PEK'!U220+1),'BOBOT PEK'!U220+COUNTIF($C$17:C233,C233)-1,0),0)</f>
        <v>6</v>
      </c>
      <c r="B233" t="str">
        <f>IFERROR(TEXT(INDEX('KALENDER MINGGU'!$B$6:$B$21,$A233),"dd/mm")&amp;" - "&amp;TEXT(INDEX('KALENDER MINGGU'!$C$6:$C$21,$A233),"dd/mm"),"")</f>
        <v>27/08 - 02/09</v>
      </c>
      <c r="C233" t="s">
        <v>537</v>
      </c>
      <c r="D233" t="str">
        <f>'BOBOT PEK'!C220</f>
        <v>Cor lantai 8cm</v>
      </c>
      <c r="E233" s="241">
        <f>'BOBOT PEK'!J220</f>
        <v>0.49120792889091047</v>
      </c>
      <c r="F233">
        <f>100/('BOBOT PEK'!V220-'BOBOT PEK'!U220+1)</f>
        <v>33.333333333333336</v>
      </c>
      <c r="G233">
        <f t="shared" si="6"/>
        <v>0.16373597629697018</v>
      </c>
      <c r="H233">
        <f>MIN(100,($A233-'BOBOT PEK'!U220+1)/('BOBOT PEK'!V220-'BOBOT PEK'!U220+1)*100)</f>
        <v>33.333333333333329</v>
      </c>
      <c r="I233">
        <f>IFERROR(SUM(INDEX(TS!$M:$AB,63,1):INDEX(TS!$M:$AB,63,$A233))/TS!$L$53*100,0)</f>
        <v>0</v>
      </c>
      <c r="J233">
        <f t="shared" si="7"/>
        <v>100</v>
      </c>
      <c r="O233" t="str">
        <f ca="1">IF(I233&gt;=99.9,"COMPLETED",IF('BOBOT PEK'!U220&gt;$J$7,"NOT STARTED",IF('BOBOT PEK'!V220&lt;$J$7,"CRITICAL",IF(I233+1&lt;H233,"DELAYED","ON SCHEDULE"))))</f>
        <v>CRITICAL</v>
      </c>
      <c r="Q233">
        <f>IFERROR(IF(AND($A233=$B$8,'BOBOT PEK'!U220&lt;=$B$8,$B$8&lt;='BOBOT PEK'!V220),COUNTIFS($A$17:$A233,$B$8),""),"")</f>
        <v>25</v>
      </c>
    </row>
    <row r="234" spans="1:17" ht="12.75" customHeight="1" x14ac:dyDescent="0.2">
      <c r="A234">
        <f>IFERROR(IF(COUNTIF($C$17:C234,C234)&lt;=('BOBOT PEK'!V221-'BOBOT PEK'!U221+1),'BOBOT PEK'!U221+COUNTIF($C$17:C234,C234)-1,0),0)</f>
        <v>6</v>
      </c>
      <c r="B234" t="str">
        <f>IFERROR(TEXT(INDEX('KALENDER MINGGU'!$B$6:$B$21,$A234),"dd/mm")&amp;" - "&amp;TEXT(INDEX('KALENDER MINGGU'!$C$6:$C$21,$A234),"dd/mm"),"")</f>
        <v>27/08 - 02/09</v>
      </c>
      <c r="C234" t="s">
        <v>538</v>
      </c>
      <c r="D234" t="str">
        <f>'BOBOT PEK'!C221</f>
        <v>bekesting</v>
      </c>
      <c r="E234" s="241">
        <f>'BOBOT PEK'!J221</f>
        <v>3.3258870185322066E-2</v>
      </c>
      <c r="F234">
        <f>100/('BOBOT PEK'!V221-'BOBOT PEK'!U221+1)</f>
        <v>25</v>
      </c>
      <c r="G234">
        <f t="shared" si="6"/>
        <v>8.3147175463305165E-3</v>
      </c>
      <c r="H234">
        <f>MIN(100,($A234-'BOBOT PEK'!U221+1)/('BOBOT PEK'!V221-'BOBOT PEK'!U221+1)*100)</f>
        <v>50</v>
      </c>
      <c r="I234">
        <f>IFERROR(SUM(INDEX(TS!$M:$AB,63,1):INDEX(TS!$M:$AB,63,$A234))/TS!$L$53*100,0)</f>
        <v>0</v>
      </c>
      <c r="J234">
        <f t="shared" si="7"/>
        <v>100</v>
      </c>
      <c r="O234" t="str">
        <f ca="1">IF(I234&gt;=99.9,"COMPLETED",IF('BOBOT PEK'!U221&gt;$J$7,"NOT STARTED",IF('BOBOT PEK'!V221&lt;$J$7,"CRITICAL",IF(I234+1&lt;H234,"DELAYED","ON SCHEDULE"))))</f>
        <v>CRITICAL</v>
      </c>
      <c r="Q234">
        <f>IFERROR(IF(AND($A234=$B$8,'BOBOT PEK'!U221&lt;=$B$8,$B$8&lt;='BOBOT PEK'!V221),COUNTIFS($A$17:$A234,$B$8),""),"")</f>
        <v>26</v>
      </c>
    </row>
    <row r="235" spans="1:17" ht="23.25" customHeight="1" x14ac:dyDescent="0.2">
      <c r="A235">
        <f>IFERROR(IF(COUNTIF($C$17:C235,C235)&lt;=('BOBOT PEK'!V222-'BOBOT PEK'!U222+1),'BOBOT PEK'!U222+COUNTIF($C$17:C235,C235)-1,0),0)</f>
        <v>6</v>
      </c>
      <c r="B235" t="str">
        <f>IFERROR(TEXT(INDEX('KALENDER MINGGU'!$B$6:$B$21,$A235),"dd/mm")&amp;" - "&amp;TEXT(INDEX('KALENDER MINGGU'!$C$6:$C$21,$A235),"dd/mm"),"")</f>
        <v>27/08 - 02/09</v>
      </c>
      <c r="C235" t="s">
        <v>539</v>
      </c>
      <c r="D235" s="228" t="str">
        <f>'BOBOT PEK'!C222</f>
        <v>sloof
rolag bata</v>
      </c>
      <c r="E235" s="241">
        <f>'BOBOT PEK'!J222</f>
        <v>1.5299080285248149E-2</v>
      </c>
      <c r="F235">
        <f>100/('BOBOT PEK'!V222-'BOBOT PEK'!U222+1)</f>
        <v>25</v>
      </c>
      <c r="G235">
        <f t="shared" si="6"/>
        <v>3.8247700713120373E-3</v>
      </c>
      <c r="H235">
        <f>MIN(100,($A235-'BOBOT PEK'!U222+1)/('BOBOT PEK'!V222-'BOBOT PEK'!U222+1)*100)</f>
        <v>50</v>
      </c>
      <c r="I235">
        <f>IFERROR(SUM(INDEX(TS!$M:$AB,63,1):INDEX(TS!$M:$AB,63,$A235))/TS!$L$53*100,0)</f>
        <v>0</v>
      </c>
      <c r="J235">
        <f t="shared" si="7"/>
        <v>100</v>
      </c>
      <c r="O235" t="str">
        <f ca="1">IF(I235&gt;=99.9,"COMPLETED",IF('BOBOT PEK'!U222&gt;$J$7,"NOT STARTED",IF('BOBOT PEK'!V222&lt;$J$7,"CRITICAL",IF(I235+1&lt;H235,"DELAYED","ON SCHEDULE"))))</f>
        <v>CRITICAL</v>
      </c>
      <c r="Q235">
        <f>IFERROR(IF(AND($A235=$B$8,'BOBOT PEK'!U222&lt;=$B$8,$B$8&lt;='BOBOT PEK'!V222),COUNTIFS($A$17:$A235,$B$8),""),"")</f>
        <v>27</v>
      </c>
    </row>
    <row r="236" spans="1:17" ht="12.75" customHeight="1" x14ac:dyDescent="0.2">
      <c r="A236">
        <f>IFERROR(IF(COUNTIF($C$17:C236,C236)&lt;=('BOBOT PEK'!V225-'BOBOT PEK'!U225+1),'BOBOT PEK'!U225+COUNTIF($C$17:C236,C236)-1,0),0)</f>
        <v>5</v>
      </c>
      <c r="B236" t="str">
        <f>IFERROR(TEXT(INDEX('KALENDER MINGGU'!$B$6:$B$21,$A236),"dd/mm")&amp;" - "&amp;TEXT(INDEX('KALENDER MINGGU'!$C$6:$C$21,$A236),"dd/mm"),"")</f>
        <v>20/08 - 26/08</v>
      </c>
      <c r="C236" t="s">
        <v>541</v>
      </c>
      <c r="D236" t="str">
        <f>'BOBOT PEK'!C225</f>
        <v>Kolom tipe 1CNP 150 double</v>
      </c>
      <c r="E236" s="241">
        <f>'BOBOT PEK'!J225</f>
        <v>0.17192277511181867</v>
      </c>
      <c r="F236">
        <f>100/('BOBOT PEK'!V225-'BOBOT PEK'!U225+1)</f>
        <v>25</v>
      </c>
      <c r="G236">
        <f t="shared" si="6"/>
        <v>4.2980693777954666E-2</v>
      </c>
      <c r="H236">
        <f>MIN(100,($A236-'BOBOT PEK'!U225+1)/('BOBOT PEK'!V225-'BOBOT PEK'!U225+1)*100)</f>
        <v>25</v>
      </c>
      <c r="I236">
        <f>IFERROR(SUM(INDEX(TS!$M:$AB,65,1):INDEX(TS!$M:$AB,65,$A236))/TS!$L$55*100,0)</f>
        <v>0</v>
      </c>
      <c r="J236">
        <f t="shared" si="7"/>
        <v>100</v>
      </c>
      <c r="O236" t="str">
        <f ca="1">IF(I236&gt;=99.9,"COMPLETED",IF('BOBOT PEK'!U225&gt;$J$7,"NOT STARTED",IF('BOBOT PEK'!V225&lt;$J$7,"CRITICAL",IF(I236+1&lt;H236,"DELAYED","ON SCHEDULE"))))</f>
        <v>CRITICAL</v>
      </c>
      <c r="Q236" t="str">
        <f>IFERROR(IF(AND($A236=$B$8,'BOBOT PEK'!U225&lt;=$B$8,$B$8&lt;='BOBOT PEK'!V225),COUNTIFS($A$17:$A236,$B$8),""),"")</f>
        <v/>
      </c>
    </row>
    <row r="237" spans="1:17" ht="12.75" customHeight="1" x14ac:dyDescent="0.2">
      <c r="A237">
        <f>IFERROR(IF(COUNTIF($C$17:C237,C237)&lt;=('BOBOT PEK'!V16-'BOBOT PEK'!U16+1),'BOBOT PEK'!U16+COUNTIF($C$17:C237,C237)-1,0),0)</f>
        <v>9</v>
      </c>
      <c r="B237" t="str">
        <f>IFERROR(TEXT(INDEX('KALENDER MINGGU'!$B$6:$B$21,$A237),"dd/mm")&amp;" - "&amp;TEXT(INDEX('KALENDER MINGGU'!$C$6:$C$21,$A237),"dd/mm"),"")</f>
        <v>17/09 - 23/09</v>
      </c>
      <c r="C237" t="s">
        <v>423</v>
      </c>
      <c r="D237" t="str">
        <f>'BOBOT PEK'!C16</f>
        <v>Pekerjaan Bak Kontrol</v>
      </c>
      <c r="E237" s="241">
        <f>'BOBOT PEK'!J16</f>
        <v>6.6517740370644132E-2</v>
      </c>
      <c r="F237">
        <f>100/('BOBOT PEK'!V16-'BOBOT PEK'!U16+1)</f>
        <v>33.333333333333336</v>
      </c>
      <c r="G237">
        <f t="shared" si="6"/>
        <v>2.2172580123548048E-2</v>
      </c>
      <c r="H237">
        <f>MIN(100,($A237-'BOBOT PEK'!U16+1)/('BOBOT PEK'!V16-'BOBOT PEK'!U16+1)*100)</f>
        <v>100</v>
      </c>
      <c r="I237">
        <f>IFERROR(SUM(INDEX(TS!$M:$AB,25,1):INDEX(TS!$M:$AB,25,$A237))/TS!$L$15*100,0)</f>
        <v>6.3585114450039812</v>
      </c>
      <c r="J237">
        <f t="shared" si="7"/>
        <v>93.641488554996016</v>
      </c>
      <c r="O237" t="str">
        <f ca="1">IF(I237&gt;=99.9,"COMPLETED",IF('BOBOT PEK'!U16&gt;$J$7,"NOT STARTED",IF('BOBOT PEK'!V16&lt;$J$7,"CRITICAL",IF(I237+1&lt;H237,"DELAYED","ON SCHEDULE"))))</f>
        <v>CRITICAL</v>
      </c>
      <c r="Q237" t="str">
        <f>IFERROR(IF(AND($A237=$B$8,'BOBOT PEK'!U16&lt;=$B$8,$B$8&lt;='BOBOT PEK'!V16),COUNTIFS($A$17:$A237,$B$8),""),"")</f>
        <v/>
      </c>
    </row>
    <row r="238" spans="1:17" ht="12.75" customHeight="1" x14ac:dyDescent="0.2">
      <c r="A238">
        <f>IFERROR(IF(COUNTIF($C$17:C238,C238)&lt;=('BOBOT PEK'!V17-'BOBOT PEK'!U17+1),'BOBOT PEK'!U17+COUNTIF($C$17:C238,C238)-1,0),0)</f>
        <v>9</v>
      </c>
      <c r="B238" t="str">
        <f>IFERROR(TEXT(INDEX('KALENDER MINGGU'!$B$6:$B$21,$A238),"dd/mm")&amp;" - "&amp;TEXT(INDEX('KALENDER MINGGU'!$C$6:$C$21,$A238),"dd/mm"),"")</f>
        <v>17/09 - 23/09</v>
      </c>
      <c r="C238" t="s">
        <v>424</v>
      </c>
      <c r="D238" t="str">
        <f>'BOBOT PEK'!C17</f>
        <v>Pasang aluminium bubble dibawah atap+plat strip</v>
      </c>
      <c r="E238" s="241">
        <f>'BOBOT PEK'!J17</f>
        <v>8.8263924722585472</v>
      </c>
      <c r="F238">
        <f>100/('BOBOT PEK'!V17-'BOBOT PEK'!U17+1)</f>
        <v>25</v>
      </c>
      <c r="G238">
        <f t="shared" si="6"/>
        <v>2.2065981180646368</v>
      </c>
      <c r="H238">
        <f>MIN(100,($A238-'BOBOT PEK'!U17+1)/('BOBOT PEK'!V17-'BOBOT PEK'!U17+1)*100)</f>
        <v>100</v>
      </c>
      <c r="I238">
        <f>IFERROR(SUM(INDEX(TS!$M:$AB,25,1):INDEX(TS!$M:$AB,25,$A238))/TS!$L$15*100,0)</f>
        <v>6.3585114450039812</v>
      </c>
      <c r="J238">
        <f t="shared" si="7"/>
        <v>93.641488554996016</v>
      </c>
      <c r="O238" t="str">
        <f ca="1">IF(I238&gt;=99.9,"COMPLETED",IF('BOBOT PEK'!U17&gt;$J$7,"NOT STARTED",IF('BOBOT PEK'!V17&lt;$J$7,"CRITICAL",IF(I238+1&lt;H238,"DELAYED","ON SCHEDULE"))))</f>
        <v>CRITICAL</v>
      </c>
      <c r="Q238" t="str">
        <f>IFERROR(IF(AND($A238=$B$8,'BOBOT PEK'!U17&lt;=$B$8,$B$8&lt;='BOBOT PEK'!V17),COUNTIFS($A$17:$A238,$B$8),""),"")</f>
        <v/>
      </c>
    </row>
    <row r="239" spans="1:17" ht="12.75" customHeight="1" x14ac:dyDescent="0.2">
      <c r="A239">
        <f>IFERROR(IF(COUNTIF($C$17:C239,C239)&lt;=('BOBOT PEK'!V18-'BOBOT PEK'!U18+1),'BOBOT PEK'!U18+COUNTIF($C$17:C239,C239)-1,0),0)</f>
        <v>9</v>
      </c>
      <c r="B239" t="str">
        <f>IFERROR(TEXT(INDEX('KALENDER MINGGU'!$B$6:$B$21,$A239),"dd/mm")&amp;" - "&amp;TEXT(INDEX('KALENDER MINGGU'!$C$6:$C$21,$A239),"dd/mm"),"")</f>
        <v>17/09 - 23/09</v>
      </c>
      <c r="C239" t="s">
        <v>425</v>
      </c>
      <c r="D239" t="str">
        <f>'BOBOT PEK'!C18</f>
        <v>Pekerjaan finishing cat sisi luar samping dan belakang</v>
      </c>
      <c r="E239" s="241">
        <f>'BOBOT PEK'!J18</f>
        <v>1.8094104568130023</v>
      </c>
      <c r="F239">
        <f>100/('BOBOT PEK'!V18-'BOBOT PEK'!U18+1)</f>
        <v>33.333333333333336</v>
      </c>
      <c r="G239">
        <f t="shared" si="6"/>
        <v>0.60313681893766746</v>
      </c>
      <c r="H239">
        <f>MIN(100,($A239-'BOBOT PEK'!U18+1)/('BOBOT PEK'!V18-'BOBOT PEK'!U18+1)*100)</f>
        <v>100</v>
      </c>
      <c r="I239">
        <f>IFERROR(SUM(INDEX(TS!$M:$AB,25,1):INDEX(TS!$M:$AB,25,$A239))/TS!$L$15*100,0)</f>
        <v>6.3585114450039812</v>
      </c>
      <c r="J239">
        <f t="shared" si="7"/>
        <v>93.641488554996016</v>
      </c>
      <c r="O239" t="str">
        <f ca="1">IF(I239&gt;=99.9,"COMPLETED",IF('BOBOT PEK'!U18&gt;$J$7,"NOT STARTED",IF('BOBOT PEK'!V18&lt;$J$7,"CRITICAL",IF(I239+1&lt;H239,"DELAYED","ON SCHEDULE"))))</f>
        <v>CRITICAL</v>
      </c>
      <c r="Q239" t="str">
        <f>IFERROR(IF(AND($A239=$B$8,'BOBOT PEK'!U18&lt;=$B$8,$B$8&lt;='BOBOT PEK'!V18),COUNTIFS($A$17:$A239,$B$8),""),"")</f>
        <v/>
      </c>
    </row>
    <row r="240" spans="1:17" ht="12.75" customHeight="1" x14ac:dyDescent="0.2">
      <c r="A240">
        <f>IFERROR(IF(COUNTIF($C$17:C240,C240)&lt;=('BOBOT PEK'!V19-'BOBOT PEK'!U19+1),'BOBOT PEK'!U19+COUNTIF($C$17:C240,C240)-1,0),0)</f>
        <v>9</v>
      </c>
      <c r="B240" t="str">
        <f>IFERROR(TEXT(INDEX('KALENDER MINGGU'!$B$6:$B$21,$A240),"dd/mm")&amp;" - "&amp;TEXT(INDEX('KALENDER MINGGU'!$C$6:$C$21,$A240),"dd/mm"),"")</f>
        <v>17/09 - 23/09</v>
      </c>
      <c r="C240" t="s">
        <v>426</v>
      </c>
      <c r="D240" t="str">
        <f>'BOBOT PEK'!C19</f>
        <v>Pasang turbin ventilator 32"</v>
      </c>
      <c r="E240" s="241">
        <f>'BOBOT PEK'!J19</f>
        <v>1.1512685833380714</v>
      </c>
      <c r="F240">
        <f>100/('BOBOT PEK'!V19-'BOBOT PEK'!U19+1)</f>
        <v>33.333333333333336</v>
      </c>
      <c r="G240">
        <f t="shared" si="6"/>
        <v>0.38375619444602382</v>
      </c>
      <c r="H240">
        <f>MIN(100,($A240-'BOBOT PEK'!U19+1)/('BOBOT PEK'!V19-'BOBOT PEK'!U19+1)*100)</f>
        <v>100</v>
      </c>
      <c r="I240">
        <f>IFERROR(SUM(INDEX(TS!$M:$AB,25,1):INDEX(TS!$M:$AB,25,$A240))/TS!$L$15*100,0)</f>
        <v>6.3585114450039812</v>
      </c>
      <c r="J240">
        <f t="shared" si="7"/>
        <v>93.641488554996016</v>
      </c>
      <c r="O240" t="str">
        <f ca="1">IF(I240&gt;=99.9,"COMPLETED",IF('BOBOT PEK'!U19&gt;$J$7,"NOT STARTED",IF('BOBOT PEK'!V19&lt;$J$7,"CRITICAL",IF(I240+1&lt;H240,"DELAYED","ON SCHEDULE"))))</f>
        <v>CRITICAL</v>
      </c>
      <c r="Q240" t="str">
        <f>IFERROR(IF(AND($A240=$B$8,'BOBOT PEK'!U19&lt;=$B$8,$B$8&lt;='BOBOT PEK'!V19),COUNTIFS($A$17:$A240,$B$8),""),"")</f>
        <v/>
      </c>
    </row>
    <row r="241" spans="1:17" ht="12.75" customHeight="1" x14ac:dyDescent="0.2">
      <c r="A241">
        <f>IFERROR(IF(COUNTIF($C$17:C241,C241)&lt;=('BOBOT PEK'!V20-'BOBOT PEK'!U20+1),'BOBOT PEK'!U20+COUNTIF($C$17:C241,C241)-1,0),0)</f>
        <v>9</v>
      </c>
      <c r="B241" t="str">
        <f>IFERROR(TEXT(INDEX('KALENDER MINGGU'!$B$6:$B$21,$A241),"dd/mm")&amp;" - "&amp;TEXT(INDEX('KALENDER MINGGU'!$C$6:$C$21,$A241),"dd/mm"),"")</f>
        <v>17/09 - 23/09</v>
      </c>
      <c r="C241" t="s">
        <v>427</v>
      </c>
      <c r="D241" t="str">
        <f>'BOBOT PEK'!C20</f>
        <v>Bongkar atap existing</v>
      </c>
      <c r="E241" s="241">
        <f>'BOBOT PEK'!J20</f>
        <v>0.12536035685236779</v>
      </c>
      <c r="F241">
        <f>100/('BOBOT PEK'!V20-'BOBOT PEK'!U20+1)</f>
        <v>33.333333333333336</v>
      </c>
      <c r="G241">
        <f t="shared" si="6"/>
        <v>4.1786785617455934E-2</v>
      </c>
      <c r="H241">
        <f>MIN(100,($A241-'BOBOT PEK'!U20+1)/('BOBOT PEK'!V20-'BOBOT PEK'!U20+1)*100)</f>
        <v>100</v>
      </c>
      <c r="I241">
        <f>IFERROR(SUM(INDEX(TS!$M:$AB,25,1):INDEX(TS!$M:$AB,25,$A241))/TS!$L$15*100,0)</f>
        <v>6.3585114450039812</v>
      </c>
      <c r="J241">
        <f t="shared" si="7"/>
        <v>93.641488554996016</v>
      </c>
      <c r="O241" t="str">
        <f ca="1">IF(I241&gt;=99.9,"COMPLETED",IF('BOBOT PEK'!U20&gt;$J$7,"NOT STARTED",IF('BOBOT PEK'!V20&lt;$J$7,"CRITICAL",IF(I241+1&lt;H241,"DELAYED","ON SCHEDULE"))))</f>
        <v>CRITICAL</v>
      </c>
      <c r="Q241" t="str">
        <f>IFERROR(IF(AND($A241=$B$8,'BOBOT PEK'!U20&lt;=$B$8,$B$8&lt;='BOBOT PEK'!V20),COUNTIFS($A$17:$A241,$B$8),""),"")</f>
        <v/>
      </c>
    </row>
    <row r="242" spans="1:17" ht="12.75" customHeight="1" x14ac:dyDescent="0.2">
      <c r="A242">
        <f>IFERROR(IF(COUNTIF($C$17:C242,C242)&lt;=('BOBOT PEK'!V21-'BOBOT PEK'!U21+1),'BOBOT PEK'!U21+COUNTIF($C$17:C242,C242)-1,0),0)</f>
        <v>9</v>
      </c>
      <c r="B242" t="str">
        <f>IFERROR(TEXT(INDEX('KALENDER MINGGU'!$B$6:$B$21,$A242),"dd/mm")&amp;" - "&amp;TEXT(INDEX('KALENDER MINGGU'!$C$6:$C$21,$A242),"dd/mm"),"")</f>
        <v>17/09 - 23/09</v>
      </c>
      <c r="C242" t="s">
        <v>428</v>
      </c>
      <c r="D242" t="str">
        <f>'BOBOT PEK'!C21</f>
        <v>Pasang atap fiber bening</v>
      </c>
      <c r="E242" s="241">
        <f>'BOBOT PEK'!J21</f>
        <v>0.71706124119554371</v>
      </c>
      <c r="F242">
        <f>100/('BOBOT PEK'!V21-'BOBOT PEK'!U21+1)</f>
        <v>33.333333333333336</v>
      </c>
      <c r="G242">
        <f t="shared" si="6"/>
        <v>0.23902041373184793</v>
      </c>
      <c r="H242">
        <f>MIN(100,($A242-'BOBOT PEK'!U21+1)/('BOBOT PEK'!V21-'BOBOT PEK'!U21+1)*100)</f>
        <v>100</v>
      </c>
      <c r="I242">
        <f>IFERROR(SUM(INDEX(TS!$M:$AB,25,1):INDEX(TS!$M:$AB,25,$A242))/TS!$L$15*100,0)</f>
        <v>6.3585114450039812</v>
      </c>
      <c r="J242">
        <f t="shared" si="7"/>
        <v>93.641488554996016</v>
      </c>
      <c r="O242" t="str">
        <f ca="1">IF(I242&gt;=99.9,"COMPLETED",IF('BOBOT PEK'!U21&gt;$J$7,"NOT STARTED",IF('BOBOT PEK'!V21&lt;$J$7,"CRITICAL",IF(I242+1&lt;H242,"DELAYED","ON SCHEDULE"))))</f>
        <v>CRITICAL</v>
      </c>
      <c r="Q242" t="str">
        <f>IFERROR(IF(AND($A242=$B$8,'BOBOT PEK'!U21&lt;=$B$8,$B$8&lt;='BOBOT PEK'!V21),COUNTIFS($A$17:$A242,$B$8),""),"")</f>
        <v/>
      </c>
    </row>
    <row r="243" spans="1:17" ht="12.75" customHeight="1" x14ac:dyDescent="0.2">
      <c r="A243">
        <f>IFERROR(IF(COUNTIF($C$17:C243,C243)&lt;=('BOBOT PEK'!V22-'BOBOT PEK'!U22+1),'BOBOT PEK'!U22+COUNTIF($C$17:C243,C243)-1,0),0)</f>
        <v>9</v>
      </c>
      <c r="B243" t="str">
        <f>IFERROR(TEXT(INDEX('KALENDER MINGGU'!$B$6:$B$21,$A243),"dd/mm")&amp;" - "&amp;TEXT(INDEX('KALENDER MINGGU'!$C$6:$C$21,$A243),"dd/mm"),"")</f>
        <v>17/09 - 23/09</v>
      </c>
      <c r="C243" t="s">
        <v>429</v>
      </c>
      <c r="D243" t="str">
        <f>'BOBOT PEK'!C22</f>
        <v>pekerjaan refinishing kanopi loading dock</v>
      </c>
      <c r="E243" s="241">
        <f>'BOBOT PEK'!J22</f>
        <v>0.63063934620629902</v>
      </c>
      <c r="F243">
        <f>100/('BOBOT PEK'!V22-'BOBOT PEK'!U22+1)</f>
        <v>33.333333333333336</v>
      </c>
      <c r="G243">
        <f t="shared" si="6"/>
        <v>0.21021311540209969</v>
      </c>
      <c r="H243">
        <f>MIN(100,($A243-'BOBOT PEK'!U22+1)/('BOBOT PEK'!V22-'BOBOT PEK'!U22+1)*100)</f>
        <v>100</v>
      </c>
      <c r="I243">
        <f>IFERROR(SUM(INDEX(TS!$M:$AB,25,1):INDEX(TS!$M:$AB,25,$A243))/TS!$L$15*100,0)</f>
        <v>6.3585114450039812</v>
      </c>
      <c r="J243">
        <f t="shared" si="7"/>
        <v>93.641488554996016</v>
      </c>
      <c r="O243" t="str">
        <f ca="1">IF(I243&gt;=99.9,"COMPLETED",IF('BOBOT PEK'!U22&gt;$J$7,"NOT STARTED",IF('BOBOT PEK'!V22&lt;$J$7,"CRITICAL",IF(I243+1&lt;H243,"DELAYED","ON SCHEDULE"))))</f>
        <v>CRITICAL</v>
      </c>
      <c r="Q243" t="str">
        <f>IFERROR(IF(AND($A243=$B$8,'BOBOT PEK'!U22&lt;=$B$8,$B$8&lt;='BOBOT PEK'!V22),COUNTIFS($A$17:$A243,$B$8),""),"")</f>
        <v/>
      </c>
    </row>
    <row r="244" spans="1:17" ht="12.75" customHeight="1" x14ac:dyDescent="0.2">
      <c r="A244">
        <f>IFERROR(IF(COUNTIF($C$17:C244,C244)&lt;=('BOBOT PEK'!V23-'BOBOT PEK'!U23+1),'BOBOT PEK'!U23+COUNTIF($C$17:C244,C244)-1,0),0)</f>
        <v>0</v>
      </c>
      <c r="B244" t="str">
        <f>IFERROR(TEXT(INDEX('KALENDER MINGGU'!$B$6:$B$21,$A244),"dd/mm")&amp;" - "&amp;TEXT(INDEX('KALENDER MINGGU'!$C$6:$C$21,$A244),"dd/mm"),"")</f>
        <v/>
      </c>
      <c r="C244" t="s">
        <v>430</v>
      </c>
      <c r="D244" t="str">
        <f>'BOBOT PEK'!C23</f>
        <v>Perbaikan loading dock</v>
      </c>
      <c r="E244" s="241">
        <f>'BOBOT PEK'!J23</f>
        <v>0.39661202695996561</v>
      </c>
      <c r="F244">
        <f>100/('BOBOT PEK'!V23-'BOBOT PEK'!U23+1)</f>
        <v>50</v>
      </c>
      <c r="G244">
        <f t="shared" si="6"/>
        <v>0.19830601347998281</v>
      </c>
      <c r="H244">
        <f>MIN(100,($A244-'BOBOT PEK'!U23+1)/('BOBOT PEK'!V23-'BOBOT PEK'!U23+1)*100)</f>
        <v>-350</v>
      </c>
      <c r="I244">
        <f>IFERROR(SUM(INDEX(TS!$M:$AB,25,1):INDEX(TS!$M:$AB,25,$A244))/TS!$L$15*100,0)</f>
        <v>6.3585114450039812</v>
      </c>
      <c r="J244">
        <f t="shared" si="7"/>
        <v>93.641488554996016</v>
      </c>
      <c r="O244" t="str">
        <f ca="1">IF(I244&gt;=99.9,"COMPLETED",IF('BOBOT PEK'!U23&gt;$J$7,"NOT STARTED",IF('BOBOT PEK'!V23&lt;$J$7,"CRITICAL",IF(I244+1&lt;H244,"DELAYED","ON SCHEDULE"))))</f>
        <v>CRITICAL</v>
      </c>
      <c r="Q244" t="str">
        <f>IFERROR(IF(AND($A244=$B$8,'BOBOT PEK'!U23&lt;=$B$8,$B$8&lt;='BOBOT PEK'!V23),COUNTIFS($A$17:$A244,$B$8),""),"")</f>
        <v/>
      </c>
    </row>
    <row r="245" spans="1:17" ht="12.75" customHeight="1" x14ac:dyDescent="0.2">
      <c r="A245">
        <f>IFERROR(IF(COUNTIF($C$17:C245,C245)&lt;=('BOBOT PEK'!V24-'BOBOT PEK'!U24+1),'BOBOT PEK'!U24+COUNTIF($C$17:C245,C245)-1,0),0)</f>
        <v>0</v>
      </c>
      <c r="B245" t="str">
        <f>IFERROR(TEXT(INDEX('KALENDER MINGGU'!$B$6:$B$21,$A245),"dd/mm")&amp;" - "&amp;TEXT(INDEX('KALENDER MINGGU'!$C$6:$C$21,$A245),"dd/mm"),"")</f>
        <v/>
      </c>
      <c r="C245" t="s">
        <v>431</v>
      </c>
      <c r="D245" t="str">
        <f>'BOBOT PEK'!C24</f>
        <v>Perbaikan dinding dan cat dinding loading dock</v>
      </c>
      <c r="E245" s="241">
        <f>'BOBOT PEK'!J24</f>
        <v>5.4429420245594377E-2</v>
      </c>
      <c r="F245">
        <f>100/('BOBOT PEK'!V24-'BOBOT PEK'!U24+1)</f>
        <v>50</v>
      </c>
      <c r="G245">
        <f t="shared" si="6"/>
        <v>2.7214710122797189E-2</v>
      </c>
      <c r="H245">
        <f>MIN(100,($A245-'BOBOT PEK'!U24+1)/('BOBOT PEK'!V24-'BOBOT PEK'!U24+1)*100)</f>
        <v>-350</v>
      </c>
      <c r="I245">
        <f>IFERROR(SUM(INDEX(TS!$M:$AB,25,1):INDEX(TS!$M:$AB,25,$A245))/TS!$L$15*100,0)</f>
        <v>6.3585114450039812</v>
      </c>
      <c r="J245">
        <f t="shared" si="7"/>
        <v>93.641488554996016</v>
      </c>
      <c r="O245" t="str">
        <f ca="1">IF(I245&gt;=99.9,"COMPLETED",IF('BOBOT PEK'!U24&gt;$J$7,"NOT STARTED",IF('BOBOT PEK'!V24&lt;$J$7,"CRITICAL",IF(I245+1&lt;H245,"DELAYED","ON SCHEDULE"))))</f>
        <v>CRITICAL</v>
      </c>
      <c r="Q245" t="str">
        <f>IFERROR(IF(AND($A245=$B$8,'BOBOT PEK'!U24&lt;=$B$8,$B$8&lt;='BOBOT PEK'!V24),COUNTIFS($A$17:$A245,$B$8),""),"")</f>
        <v/>
      </c>
    </row>
    <row r="246" spans="1:17" ht="12.75" customHeight="1" x14ac:dyDescent="0.2">
      <c r="A246">
        <f>IFERROR(IF(COUNTIF($C$17:C246,C246)&lt;=('BOBOT PEK'!V25-'BOBOT PEK'!U25+1),'BOBOT PEK'!U25+COUNTIF($C$17:C246,C246)-1,0),0)</f>
        <v>9</v>
      </c>
      <c r="B246" t="str">
        <f>IFERROR(TEXT(INDEX('KALENDER MINGGU'!$B$6:$B$21,$A246),"dd/mm")&amp;" - "&amp;TEXT(INDEX('KALENDER MINGGU'!$C$6:$C$21,$A246),"dd/mm"),"")</f>
        <v>17/09 - 23/09</v>
      </c>
      <c r="C246" t="s">
        <v>432</v>
      </c>
      <c r="D246" t="str">
        <f>'BOBOT PEK'!C25</f>
        <v>Servis kebocoran pipa talang</v>
      </c>
      <c r="E246" s="241">
        <f>'BOBOT PEK'!J25</f>
        <v>0.13303548074128826</v>
      </c>
      <c r="F246">
        <f>100/('BOBOT PEK'!V25-'BOBOT PEK'!U25+1)</f>
        <v>33.333333333333336</v>
      </c>
      <c r="G246">
        <f t="shared" si="6"/>
        <v>4.4345160247096095E-2</v>
      </c>
      <c r="H246">
        <f>MIN(100,($A246-'BOBOT PEK'!U25+1)/('BOBOT PEK'!V25-'BOBOT PEK'!U25+1)*100)</f>
        <v>100</v>
      </c>
      <c r="I246">
        <f>IFERROR(SUM(INDEX(TS!$M:$AB,25,1):INDEX(TS!$M:$AB,25,$A246))/TS!$L$15*100,0)</f>
        <v>6.3585114450039812</v>
      </c>
      <c r="J246">
        <f t="shared" si="7"/>
        <v>93.641488554996016</v>
      </c>
      <c r="O246" t="str">
        <f ca="1">IF(I246&gt;=99.9,"COMPLETED",IF('BOBOT PEK'!U25&gt;$J$7,"NOT STARTED",IF('BOBOT PEK'!V25&lt;$J$7,"CRITICAL",IF(I246+1&lt;H246,"DELAYED","ON SCHEDULE"))))</f>
        <v>CRITICAL</v>
      </c>
      <c r="Q246" t="str">
        <f>IFERROR(IF(AND($A246=$B$8,'BOBOT PEK'!U25&lt;=$B$8,$B$8&lt;='BOBOT PEK'!V25),COUNTIFS($A$17:$A246,$B$8),""),"")</f>
        <v/>
      </c>
    </row>
    <row r="247" spans="1:17" ht="12.75" customHeight="1" x14ac:dyDescent="0.2">
      <c r="A247">
        <f>IFERROR(IF(COUNTIF($C$17:C247,C247)&lt;=('BOBOT PEK'!V27-'BOBOT PEK'!U27+1),'BOBOT PEK'!U27+COUNTIF($C$17:C247,C247)-1,0),0)</f>
        <v>0</v>
      </c>
      <c r="B247" t="str">
        <f>IFERROR(TEXT(INDEX('KALENDER MINGGU'!$B$6:$B$21,$A247),"dd/mm")&amp;" - "&amp;TEXT(INDEX('KALENDER MINGGU'!$C$6:$C$21,$A247),"dd/mm"),"")</f>
        <v/>
      </c>
      <c r="C247" t="s">
        <v>434</v>
      </c>
      <c r="D247" t="str">
        <f>'BOBOT PEK'!C27</f>
        <v>Pembongkaran pintu rolling door</v>
      </c>
      <c r="E247" s="241">
        <f>'BOBOT PEK'!J27</f>
        <v>6.3959365741003971E-2</v>
      </c>
      <c r="F247">
        <f>100/('BOBOT PEK'!V27-'BOBOT PEK'!U27+1)</f>
        <v>50</v>
      </c>
      <c r="G247">
        <f t="shared" si="6"/>
        <v>3.1979682870501985E-2</v>
      </c>
      <c r="H247">
        <f>MIN(100,($A247-'BOBOT PEK'!U27+1)/('BOBOT PEK'!V27-'BOBOT PEK'!U27+1)*100)</f>
        <v>-350</v>
      </c>
      <c r="I247">
        <f>IFERROR(SUM(INDEX(TS!$M:$AB,25,1):INDEX(TS!$M:$AB,25,$A247))/TS!$L$15*100,0)</f>
        <v>6.3585114450039812</v>
      </c>
      <c r="J247">
        <f t="shared" si="7"/>
        <v>93.641488554996016</v>
      </c>
      <c r="O247" t="str">
        <f ca="1">IF(I247&gt;=99.9,"COMPLETED",IF('BOBOT PEK'!U27&gt;$J$7,"NOT STARTED",IF('BOBOT PEK'!V27&lt;$J$7,"CRITICAL",IF(I247+1&lt;H247,"DELAYED","ON SCHEDULE"))))</f>
        <v>CRITICAL</v>
      </c>
      <c r="Q247" t="str">
        <f>IFERROR(IF(AND($A247=$B$8,'BOBOT PEK'!U27&lt;=$B$8,$B$8&lt;='BOBOT PEK'!V27),COUNTIFS($A$17:$A247,$B$8),""),"")</f>
        <v/>
      </c>
    </row>
    <row r="248" spans="1:17" ht="12.75" customHeight="1" x14ac:dyDescent="0.2">
      <c r="A248">
        <f>IFERROR(IF(COUNTIF($C$17:C248,C248)&lt;=('BOBOT PEK'!V28-'BOBOT PEK'!U28+1),'BOBOT PEK'!U28+COUNTIF($C$17:C248,C248)-1,0),0)</f>
        <v>10</v>
      </c>
      <c r="B248" t="str">
        <f>IFERROR(TEXT(INDEX('KALENDER MINGGU'!$B$6:$B$21,$A248),"dd/mm")&amp;" - "&amp;TEXT(INDEX('KALENDER MINGGU'!$C$6:$C$21,$A248),"dd/mm"),"")</f>
        <v>24/09 - 30/09</v>
      </c>
      <c r="C248" t="s">
        <v>435</v>
      </c>
      <c r="D248" t="str">
        <f>'BOBOT PEK'!C28</f>
        <v>Perapian kabel  dalam gudang</v>
      </c>
      <c r="E248" s="241">
        <f>'BOBOT PEK'!J28</f>
        <v>0.49734802800204686</v>
      </c>
      <c r="F248">
        <f>100/('BOBOT PEK'!V28-'BOBOT PEK'!U28+1)</f>
        <v>33.333333333333336</v>
      </c>
      <c r="G248">
        <f t="shared" si="6"/>
        <v>0.16578267600068231</v>
      </c>
      <c r="H248">
        <f>MIN(100,($A248-'BOBOT PEK'!U28+1)/('BOBOT PEK'!V28-'BOBOT PEK'!U28+1)*100)</f>
        <v>100</v>
      </c>
      <c r="I248">
        <f>IFERROR(SUM(INDEX(TS!$M:$AB,25,1):INDEX(TS!$M:$AB,25,$A248))/TS!$L$15*100,0)</f>
        <v>6.3585114450039812</v>
      </c>
      <c r="J248">
        <f t="shared" si="7"/>
        <v>93.641488554996016</v>
      </c>
      <c r="O248" t="str">
        <f ca="1">IF(I248&gt;=99.9,"COMPLETED",IF('BOBOT PEK'!U28&gt;$J$7,"NOT STARTED",IF('BOBOT PEK'!V28&lt;$J$7,"CRITICAL",IF(I248+1&lt;H248,"DELAYED","ON SCHEDULE"))))</f>
        <v>DELAYED</v>
      </c>
      <c r="Q248" t="str">
        <f>IFERROR(IF(AND($A248=$B$8,'BOBOT PEK'!U28&lt;=$B$8,$B$8&lt;='BOBOT PEK'!V28),COUNTIFS($A$17:$A248,$B$8),""),"")</f>
        <v/>
      </c>
    </row>
    <row r="249" spans="1:17" ht="12.75" customHeight="1" x14ac:dyDescent="0.2">
      <c r="A249">
        <f>IFERROR(IF(COUNTIF($C$17:C249,C249)&lt;=('BOBOT PEK'!V32-'BOBOT PEK'!U32+1),'BOBOT PEK'!U32+COUNTIF($C$17:C249,C249)-1,0),0)</f>
        <v>0</v>
      </c>
      <c r="B249" t="str">
        <f>IFERROR(TEXT(INDEX('KALENDER MINGGU'!$B$6:$B$21,$A249),"dd/mm")&amp;" - "&amp;TEXT(INDEX('KALENDER MINGGU'!$C$6:$C$21,$A249),"dd/mm"),"")</f>
        <v/>
      </c>
      <c r="C249" t="s">
        <v>436</v>
      </c>
      <c r="D249" t="str">
        <f>'BOBOT PEK'!C32</f>
        <v>Perbaikan atap existing</v>
      </c>
      <c r="E249" s="241">
        <f>'BOBOT PEK'!J32</f>
        <v>3.0700495555681905E-2</v>
      </c>
      <c r="F249">
        <f>100/('BOBOT PEK'!V32-'BOBOT PEK'!U32+1)</f>
        <v>50</v>
      </c>
      <c r="G249">
        <f t="shared" si="6"/>
        <v>1.5350247777840952E-2</v>
      </c>
      <c r="H249">
        <f>MIN(100,($A249-'BOBOT PEK'!U32+1)/('BOBOT PEK'!V32-'BOBOT PEK'!U32+1)*100)</f>
        <v>-400</v>
      </c>
      <c r="I249">
        <f>IFERROR(SUM(INDEX(TS!$M:$AB,27,1):INDEX(TS!$M:$AB,27,$A249))/TS!$L$17*100,0)</f>
        <v>2206.0647598528499</v>
      </c>
      <c r="J249">
        <f t="shared" si="7"/>
        <v>0</v>
      </c>
      <c r="O249" t="str">
        <f>IF(I249&gt;=99.9,"COMPLETED",IF('BOBOT PEK'!U32&gt;$J$7,"NOT STARTED",IF('BOBOT PEK'!V32&lt;$J$7,"CRITICAL",IF(I249+1&lt;H249,"DELAYED","ON SCHEDULE"))))</f>
        <v>COMPLETED</v>
      </c>
      <c r="Q249" t="str">
        <f>IFERROR(IF(AND($A249=$B$8,'BOBOT PEK'!U32&lt;=$B$8,$B$8&lt;='BOBOT PEK'!V32),COUNTIFS($A$17:$A249,$B$8),""),"")</f>
        <v/>
      </c>
    </row>
    <row r="250" spans="1:17" ht="12.75" customHeight="1" x14ac:dyDescent="0.2">
      <c r="A250">
        <f>IFERROR(IF(COUNTIF($C$17:C250,C250)&lt;=('BOBOT PEK'!V34-'BOBOT PEK'!U34+1),'BOBOT PEK'!U34+COUNTIF($C$17:C250,C250)-1,0),0)</f>
        <v>9</v>
      </c>
      <c r="B250" t="str">
        <f>IFERROR(TEXT(INDEX('KALENDER MINGGU'!$B$6:$B$21,$A250),"dd/mm")&amp;" - "&amp;TEXT(INDEX('KALENDER MINGGU'!$C$6:$C$21,$A250),"dd/mm"),"")</f>
        <v>17/09 - 23/09</v>
      </c>
      <c r="C250" t="s">
        <v>438</v>
      </c>
      <c r="D250" t="str">
        <f>'BOBOT PEK'!C34</f>
        <v>Pekerjaan pasang rangka kolom dan atap area parkir + penutup + talang</v>
      </c>
      <c r="E250" s="241">
        <f>'BOBOT PEK'!J34</f>
        <v>0.28142120926041747</v>
      </c>
      <c r="F250">
        <f>100/('BOBOT PEK'!V34-'BOBOT PEK'!U34+1)</f>
        <v>33.333333333333336</v>
      </c>
      <c r="G250">
        <f t="shared" si="6"/>
        <v>9.38070697534725E-2</v>
      </c>
      <c r="H250">
        <f>MIN(100,($A250-'BOBOT PEK'!U34+1)/('BOBOT PEK'!V34-'BOBOT PEK'!U34+1)*100)</f>
        <v>100</v>
      </c>
      <c r="I250">
        <f>IFERROR(SUM(INDEX(TS!$M:$AB,27,1):INDEX(TS!$M:$AB,27,$A250))/TS!$L$17*100,0)</f>
        <v>1240.9114274172277</v>
      </c>
      <c r="J250">
        <f t="shared" si="7"/>
        <v>0</v>
      </c>
      <c r="O250" t="str">
        <f>IF(I250&gt;=99.9,"COMPLETED",IF('BOBOT PEK'!U34&gt;$J$7,"NOT STARTED",IF('BOBOT PEK'!V34&lt;$J$7,"CRITICAL",IF(I250+1&lt;H250,"DELAYED","ON SCHEDULE"))))</f>
        <v>COMPLETED</v>
      </c>
      <c r="Q250" t="str">
        <f>IFERROR(IF(AND($A250=$B$8,'BOBOT PEK'!U34&lt;=$B$8,$B$8&lt;='BOBOT PEK'!V34),COUNTIFS($A$17:$A250,$B$8),""),"")</f>
        <v/>
      </c>
    </row>
    <row r="251" spans="1:17" ht="12.75" customHeight="1" x14ac:dyDescent="0.2">
      <c r="A251">
        <f>IFERROR(IF(COUNTIF($C$17:C251,C251)&lt;=('BOBOT PEK'!V35-'BOBOT PEK'!U35+1),'BOBOT PEK'!U35+COUNTIF($C$17:C251,C251)-1,0),0)</f>
        <v>8</v>
      </c>
      <c r="B251" t="str">
        <f>IFERROR(TEXT(INDEX('KALENDER MINGGU'!$B$6:$B$21,$A251),"dd/mm")&amp;" - "&amp;TEXT(INDEX('KALENDER MINGGU'!$C$6:$C$21,$A251),"dd/mm"),"")</f>
        <v>10/09 - 16/09</v>
      </c>
      <c r="C251" t="s">
        <v>439</v>
      </c>
      <c r="D251" t="str">
        <f>'BOBOT PEK'!C35</f>
        <v>Pemasangan atap transparan di area tambahan</v>
      </c>
      <c r="E251" s="241">
        <f>'BOBOT PEK'!J35</f>
        <v>5.730759170393955E-2</v>
      </c>
      <c r="F251">
        <f>100/('BOBOT PEK'!V35-'BOBOT PEK'!U35+1)</f>
        <v>33.333333333333336</v>
      </c>
      <c r="G251">
        <f t="shared" si="6"/>
        <v>1.9102530567979854E-2</v>
      </c>
      <c r="H251">
        <f>MIN(100,($A251-'BOBOT PEK'!U35+1)/('BOBOT PEK'!V35-'BOBOT PEK'!U35+1)*100)</f>
        <v>66.666666666666657</v>
      </c>
      <c r="I251">
        <f>IFERROR(SUM(INDEX(TS!$M:$AB,27,1):INDEX(TS!$M:$AB,27,$A251))/TS!$L$17*100,0)</f>
        <v>1103.0323799264245</v>
      </c>
      <c r="J251">
        <f t="shared" si="7"/>
        <v>0</v>
      </c>
      <c r="O251" t="str">
        <f>IF(I251&gt;=99.9,"COMPLETED",IF('BOBOT PEK'!U35&gt;$J$7,"NOT STARTED",IF('BOBOT PEK'!V35&lt;$J$7,"CRITICAL",IF(I251+1&lt;H251,"DELAYED","ON SCHEDULE"))))</f>
        <v>COMPLETED</v>
      </c>
      <c r="Q251" t="str">
        <f>IFERROR(IF(AND($A251=$B$8,'BOBOT PEK'!U35&lt;=$B$8,$B$8&lt;='BOBOT PEK'!V35),COUNTIFS($A$17:$A251,$B$8),""),"")</f>
        <v/>
      </c>
    </row>
    <row r="252" spans="1:17" ht="12.75" customHeight="1" x14ac:dyDescent="0.2">
      <c r="A252">
        <f>IFERROR(IF(COUNTIF($C$17:C252,C252)&lt;=('BOBOT PEK'!V36-'BOBOT PEK'!U36+1),'BOBOT PEK'!U36+COUNTIF($C$17:C252,C252)-1,0),0)</f>
        <v>9</v>
      </c>
      <c r="B252" t="str">
        <f>IFERROR(TEXT(INDEX('KALENDER MINGGU'!$B$6:$B$21,$A252),"dd/mm")&amp;" - "&amp;TEXT(INDEX('KALENDER MINGGU'!$C$6:$C$21,$A252),"dd/mm"),"")</f>
        <v>17/09 - 23/09</v>
      </c>
      <c r="C252" t="s">
        <v>440</v>
      </c>
      <c r="D252" t="str">
        <f>'BOBOT PEK'!C36</f>
        <v>Pemadatan dan peninggian lantai parkir</v>
      </c>
      <c r="E252" s="241">
        <f>'BOBOT PEK'!J36</f>
        <v>0.70994895972514405</v>
      </c>
      <c r="F252">
        <f>100/('BOBOT PEK'!V36-'BOBOT PEK'!U36+1)</f>
        <v>25</v>
      </c>
      <c r="G252">
        <f t="shared" si="6"/>
        <v>0.17748723993128601</v>
      </c>
      <c r="H252">
        <f>MIN(100,($A252-'BOBOT PEK'!U36+1)/('BOBOT PEK'!V36-'BOBOT PEK'!U36+1)*100)</f>
        <v>75</v>
      </c>
      <c r="I252">
        <f>IFERROR(SUM(INDEX(TS!$M:$AB,27,1):INDEX(TS!$M:$AB,27,$A252))/TS!$L$17*100,0)</f>
        <v>1240.9114274172277</v>
      </c>
      <c r="J252">
        <f t="shared" si="7"/>
        <v>0</v>
      </c>
      <c r="O252" t="str">
        <f>IF(I252&gt;=99.9,"COMPLETED",IF('BOBOT PEK'!U36&gt;$J$7,"NOT STARTED",IF('BOBOT PEK'!V36&lt;$J$7,"CRITICAL",IF(I252+1&lt;H252,"DELAYED","ON SCHEDULE"))))</f>
        <v>COMPLETED</v>
      </c>
      <c r="Q252" t="str">
        <f>IFERROR(IF(AND($A252=$B$8,'BOBOT PEK'!U36&lt;=$B$8,$B$8&lt;='BOBOT PEK'!V36),COUNTIFS($A$17:$A252,$B$8),""),"")</f>
        <v/>
      </c>
    </row>
    <row r="253" spans="1:17" ht="12.75" customHeight="1" x14ac:dyDescent="0.2">
      <c r="A253">
        <f>IFERROR(IF(COUNTIF($C$17:C253,C253)&lt;=('BOBOT PEK'!V37-'BOBOT PEK'!U37+1),'BOBOT PEK'!U37+COUNTIF($C$17:C253,C253)-1,0),0)</f>
        <v>10</v>
      </c>
      <c r="B253" t="str">
        <f>IFERROR(TEXT(INDEX('KALENDER MINGGU'!$B$6:$B$21,$A253),"dd/mm")&amp;" - "&amp;TEXT(INDEX('KALENDER MINGGU'!$C$6:$C$21,$A253),"dd/mm"),"")</f>
        <v>24/09 - 30/09</v>
      </c>
      <c r="C253" t="s">
        <v>441</v>
      </c>
      <c r="D253" t="str">
        <f>'BOBOT PEK'!C37</f>
        <v>Pasang paving block lantai parkir</v>
      </c>
      <c r="E253" s="241">
        <f>'BOBOT PEK'!J37</f>
        <v>0.44016835502958929</v>
      </c>
      <c r="F253">
        <f>100/('BOBOT PEK'!V37-'BOBOT PEK'!U37+1)</f>
        <v>33.333333333333336</v>
      </c>
      <c r="G253">
        <f t="shared" si="6"/>
        <v>0.1467227850098631</v>
      </c>
      <c r="H253">
        <f>MIN(100,($A253-'BOBOT PEK'!U37+1)/('BOBOT PEK'!V37-'BOBOT PEK'!U37+1)*100)</f>
        <v>100</v>
      </c>
      <c r="I253">
        <f>IFERROR(SUM(INDEX(TS!$M:$AB,27,1):INDEX(TS!$M:$AB,27,$A253))/TS!$L$17*100,0)</f>
        <v>1378.7904749080305</v>
      </c>
      <c r="J253">
        <f t="shared" si="7"/>
        <v>0</v>
      </c>
      <c r="O253" t="str">
        <f>IF(I253&gt;=99.9,"COMPLETED",IF('BOBOT PEK'!U37&gt;$J$7,"NOT STARTED",IF('BOBOT PEK'!V37&lt;$J$7,"CRITICAL",IF(I253+1&lt;H253,"DELAYED","ON SCHEDULE"))))</f>
        <v>COMPLETED</v>
      </c>
      <c r="Q253" t="str">
        <f>IFERROR(IF(AND($A253=$B$8,'BOBOT PEK'!U37&lt;=$B$8,$B$8&lt;='BOBOT PEK'!V37),COUNTIFS($A$17:$A253,$B$8),""),"")</f>
        <v/>
      </c>
    </row>
    <row r="254" spans="1:17" ht="12.75" customHeight="1" x14ac:dyDescent="0.2">
      <c r="A254">
        <f>IFERROR(IF(COUNTIF($C$17:C254,C254)&lt;=('BOBOT PEK'!V38-'BOBOT PEK'!U38+1),'BOBOT PEK'!U38+COUNTIF($C$17:C254,C254)-1,0),0)</f>
        <v>0</v>
      </c>
      <c r="B254" t="str">
        <f>IFERROR(TEXT(INDEX('KALENDER MINGGU'!$B$6:$B$21,$A254),"dd/mm")&amp;" - "&amp;TEXT(INDEX('KALENDER MINGGU'!$C$6:$C$21,$A254),"dd/mm"),"")</f>
        <v/>
      </c>
      <c r="C254" t="s">
        <v>442</v>
      </c>
      <c r="D254" t="str">
        <f>'BOBOT PEK'!C38</f>
        <v>Instalasi penerangan + downlight exposed + bohlam 12 w</v>
      </c>
      <c r="E254" s="241">
        <f>'BOBOT PEK'!J38</f>
        <v>9.3124836518901771E-2</v>
      </c>
      <c r="F254">
        <f>100/('BOBOT PEK'!V38-'BOBOT PEK'!U38+1)</f>
        <v>50</v>
      </c>
      <c r="G254">
        <f t="shared" si="6"/>
        <v>4.6562418259450886E-2</v>
      </c>
      <c r="H254">
        <f>MIN(100,($A254-'BOBOT PEK'!U38+1)/('BOBOT PEK'!V38-'BOBOT PEK'!U38+1)*100)</f>
        <v>-400</v>
      </c>
      <c r="I254">
        <f>IFERROR(SUM(INDEX(TS!$M:$AB,27,1):INDEX(TS!$M:$AB,27,$A254))/TS!$L$17*100,0)</f>
        <v>2206.0647598528499</v>
      </c>
      <c r="J254">
        <f t="shared" si="7"/>
        <v>0</v>
      </c>
      <c r="O254" t="str">
        <f>IF(I254&gt;=99.9,"COMPLETED",IF('BOBOT PEK'!U38&gt;$J$7,"NOT STARTED",IF('BOBOT PEK'!V38&lt;$J$7,"CRITICAL",IF(I254+1&lt;H254,"DELAYED","ON SCHEDULE"))))</f>
        <v>COMPLETED</v>
      </c>
      <c r="Q254" t="str">
        <f>IFERROR(IF(AND($A254=$B$8,'BOBOT PEK'!U38&lt;=$B$8,$B$8&lt;='BOBOT PEK'!V38),COUNTIFS($A$17:$A254,$B$8),""),"")</f>
        <v/>
      </c>
    </row>
    <row r="255" spans="1:17" ht="12.75" customHeight="1" x14ac:dyDescent="0.2">
      <c r="A255">
        <f>IFERROR(IF(COUNTIF($C$17:C255,C255)&lt;=('BOBOT PEK'!V39-'BOBOT PEK'!U39+1),'BOBOT PEK'!U39+COUNTIF($C$17:C255,C255)-1,0),0)</f>
        <v>0</v>
      </c>
      <c r="B255" t="str">
        <f>IFERROR(TEXT(INDEX('KALENDER MINGGU'!$B$6:$B$21,$A255),"dd/mm")&amp;" - "&amp;TEXT(INDEX('KALENDER MINGGU'!$C$6:$C$21,$A255),"dd/mm"),"")</f>
        <v/>
      </c>
      <c r="C255" t="s">
        <v>443</v>
      </c>
      <c r="D255" t="str">
        <f>'BOBOT PEK'!C39</f>
        <v>Perapian kabel existing dan dinding existing</v>
      </c>
      <c r="E255" s="241">
        <f>'BOBOT PEK'!J39</f>
        <v>0.11512685833380715</v>
      </c>
      <c r="F255">
        <f>100/('BOBOT PEK'!V39-'BOBOT PEK'!U39+1)</f>
        <v>50</v>
      </c>
      <c r="G255">
        <f t="shared" si="6"/>
        <v>5.7563429166903574E-2</v>
      </c>
      <c r="H255">
        <f>MIN(100,($A255-'BOBOT PEK'!U39+1)/('BOBOT PEK'!V39-'BOBOT PEK'!U39+1)*100)</f>
        <v>-400</v>
      </c>
      <c r="I255">
        <f>IFERROR(SUM(INDEX(TS!$M:$AB,27,1):INDEX(TS!$M:$AB,27,$A255))/TS!$L$17*100,0)</f>
        <v>2206.0647598528499</v>
      </c>
      <c r="J255">
        <f t="shared" si="7"/>
        <v>0</v>
      </c>
      <c r="O255" t="str">
        <f>IF(I255&gt;=99.9,"COMPLETED",IF('BOBOT PEK'!U39&gt;$J$7,"NOT STARTED",IF('BOBOT PEK'!V39&lt;$J$7,"CRITICAL",IF(I255+1&lt;H255,"DELAYED","ON SCHEDULE"))))</f>
        <v>COMPLETED</v>
      </c>
      <c r="Q255" t="str">
        <f>IFERROR(IF(AND($A255=$B$8,'BOBOT PEK'!U39&lt;=$B$8,$B$8&lt;='BOBOT PEK'!V39),COUNTIFS($A$17:$A255,$B$8),""),"")</f>
        <v/>
      </c>
    </row>
    <row r="256" spans="1:17" ht="12.75" customHeight="1" x14ac:dyDescent="0.2">
      <c r="A256">
        <f>IFERROR(IF(COUNTIF($C$17:C256,C256)&lt;=('BOBOT PEK'!V40-'BOBOT PEK'!U40+1),'BOBOT PEK'!U40+COUNTIF($C$17:C256,C256)-1,0),0)</f>
        <v>9</v>
      </c>
      <c r="B256" t="str">
        <f>IFERROR(TEXT(INDEX('KALENDER MINGGU'!$B$6:$B$21,$A256),"dd/mm")&amp;" - "&amp;TEXT(INDEX('KALENDER MINGGU'!$C$6:$C$21,$A256),"dd/mm"),"")</f>
        <v>17/09 - 23/09</v>
      </c>
      <c r="C256" t="s">
        <v>444</v>
      </c>
      <c r="D256" t="str">
        <f>'BOBOT PEK'!C40</f>
        <v>Pembuatan saluran bawah paving</v>
      </c>
      <c r="E256" s="241">
        <f>'BOBOT PEK'!J40</f>
        <v>9.2101486667045707E-2</v>
      </c>
      <c r="F256">
        <f>100/('BOBOT PEK'!V40-'BOBOT PEK'!U40+1)</f>
        <v>33.333333333333336</v>
      </c>
      <c r="G256">
        <f t="shared" si="6"/>
        <v>3.0700495555681905E-2</v>
      </c>
      <c r="H256">
        <f>MIN(100,($A256-'BOBOT PEK'!U40+1)/('BOBOT PEK'!V40-'BOBOT PEK'!U40+1)*100)</f>
        <v>100</v>
      </c>
      <c r="I256">
        <f>IFERROR(SUM(INDEX(TS!$M:$AB,27,1):INDEX(TS!$M:$AB,27,$A256))/TS!$L$17*100,0)</f>
        <v>1240.9114274172277</v>
      </c>
      <c r="J256">
        <f t="shared" si="7"/>
        <v>0</v>
      </c>
      <c r="O256" t="str">
        <f>IF(I256&gt;=99.9,"COMPLETED",IF('BOBOT PEK'!U40&gt;$J$7,"NOT STARTED",IF('BOBOT PEK'!V40&lt;$J$7,"CRITICAL",IF(I256+1&lt;H256,"DELAYED","ON SCHEDULE"))))</f>
        <v>COMPLETED</v>
      </c>
      <c r="Q256" t="str">
        <f>IFERROR(IF(AND($A256=$B$8,'BOBOT PEK'!U40&lt;=$B$8,$B$8&lt;='BOBOT PEK'!V40),COUNTIFS($A$17:$A256,$B$8),""),"")</f>
        <v/>
      </c>
    </row>
    <row r="257" spans="1:17" ht="12.75" customHeight="1" x14ac:dyDescent="0.2">
      <c r="A257">
        <f>IFERROR(IF(COUNTIF($C$17:C257,C257)&lt;=('BOBOT PEK'!V41-'BOBOT PEK'!U41+1),'BOBOT PEK'!U41+COUNTIF($C$17:C257,C257)-1,0),0)</f>
        <v>0</v>
      </c>
      <c r="B257" t="str">
        <f>IFERROR(TEXT(INDEX('KALENDER MINGGU'!$B$6:$B$21,$A257),"dd/mm")&amp;" - "&amp;TEXT(INDEX('KALENDER MINGGU'!$C$6:$C$21,$A257),"dd/mm"),"")</f>
        <v/>
      </c>
      <c r="C257" t="s">
        <v>445</v>
      </c>
      <c r="D257" t="str">
        <f>'BOBOT PEK'!C41</f>
        <v>Pembongkaran besi kerangkeng motor</v>
      </c>
      <c r="E257" s="241">
        <f>'BOBOT PEK'!J41</f>
        <v>2.5583746296401588E-2</v>
      </c>
      <c r="F257">
        <f>100/('BOBOT PEK'!V41-'BOBOT PEK'!U41+1)</f>
        <v>50</v>
      </c>
      <c r="G257">
        <f t="shared" si="6"/>
        <v>1.2791873148200794E-2</v>
      </c>
      <c r="H257">
        <f>MIN(100,($A257-'BOBOT PEK'!U41+1)/('BOBOT PEK'!V41-'BOBOT PEK'!U41+1)*100)</f>
        <v>-400</v>
      </c>
      <c r="I257">
        <f>IFERROR(SUM(INDEX(TS!$M:$AB,27,1):INDEX(TS!$M:$AB,27,$A257))/TS!$L$17*100,0)</f>
        <v>2206.0647598528499</v>
      </c>
      <c r="J257">
        <f t="shared" si="7"/>
        <v>0</v>
      </c>
      <c r="O257" t="str">
        <f>IF(I257&gt;=99.9,"COMPLETED",IF('BOBOT PEK'!U41&gt;$J$7,"NOT STARTED",IF('BOBOT PEK'!V41&lt;$J$7,"CRITICAL",IF(I257+1&lt;H257,"DELAYED","ON SCHEDULE"))))</f>
        <v>COMPLETED</v>
      </c>
      <c r="Q257" t="str">
        <f>IFERROR(IF(AND($A257=$B$8,'BOBOT PEK'!U41&lt;=$B$8,$B$8&lt;='BOBOT PEK'!V41),COUNTIFS($A$17:$A257,$B$8),""),"")</f>
        <v/>
      </c>
    </row>
    <row r="258" spans="1:17" ht="12.75" customHeight="1" x14ac:dyDescent="0.2">
      <c r="A258">
        <f>IFERROR(IF(COUNTIF($C$17:C258,C258)&lt;=('BOBOT PEK'!V46-'BOBOT PEK'!U46+1),'BOBOT PEK'!U46+COUNTIF($C$17:C258,C258)-1,0),0)</f>
        <v>8</v>
      </c>
      <c r="B258" t="str">
        <f>IFERROR(TEXT(INDEX('KALENDER MINGGU'!$B$6:$B$21,$A258),"dd/mm")&amp;" - "&amp;TEXT(INDEX('KALENDER MINGGU'!$C$6:$C$21,$A258),"dd/mm"),"")</f>
        <v>10/09 - 16/09</v>
      </c>
      <c r="C258" t="s">
        <v>447</v>
      </c>
      <c r="D258" t="str">
        <f>'BOBOT PEK'!C46</f>
        <v>Pekerjaan pasangan pagar precast sisi barat</v>
      </c>
      <c r="E258" s="241">
        <f>'BOBOT PEK'!J46</f>
        <v>0.90950218083707646</v>
      </c>
      <c r="F258">
        <f>100/('BOBOT PEK'!V46-'BOBOT PEK'!U46+1)</f>
        <v>20</v>
      </c>
      <c r="G258">
        <f t="shared" si="6"/>
        <v>0.1819004361674153</v>
      </c>
      <c r="H258">
        <f>MIN(100,($A258-'BOBOT PEK'!U46+1)/('BOBOT PEK'!V46-'BOBOT PEK'!U46+1)*100)</f>
        <v>60</v>
      </c>
      <c r="I258">
        <f>IFERROR(SUM(INDEX(TS!$M:$AB,29,1):INDEX(TS!$M:$AB,29,$A258))/TS!$L$19*100,0)</f>
        <v>0</v>
      </c>
      <c r="J258">
        <f t="shared" si="7"/>
        <v>100</v>
      </c>
      <c r="O258" t="str">
        <f ca="1">IF(I258&gt;=99.9,"COMPLETED",IF('BOBOT PEK'!U46&gt;$J$7,"NOT STARTED",IF('BOBOT PEK'!V46&lt;$J$7,"CRITICAL",IF(I258+1&lt;H258,"DELAYED","ON SCHEDULE"))))</f>
        <v>DELAYED</v>
      </c>
      <c r="Q258" t="str">
        <f>IFERROR(IF(AND($A258=$B$8,'BOBOT PEK'!U46&lt;=$B$8,$B$8&lt;='BOBOT PEK'!V46),COUNTIFS($A$17:$A258,$B$8),""),"")</f>
        <v/>
      </c>
    </row>
    <row r="259" spans="1:17" ht="12.75" customHeight="1" x14ac:dyDescent="0.2">
      <c r="A259">
        <f>IFERROR(IF(COUNTIF($C$17:C259,C259)&lt;=('BOBOT PEK'!V47-'BOBOT PEK'!U47+1),'BOBOT PEK'!U47+COUNTIF($C$17:C259,C259)-1,0),0)</f>
        <v>8</v>
      </c>
      <c r="B259" t="str">
        <f>IFERROR(TEXT(INDEX('KALENDER MINGGU'!$B$6:$B$21,$A259),"dd/mm")&amp;" - "&amp;TEXT(INDEX('KALENDER MINGGU'!$C$6:$C$21,$A259),"dd/mm"),"")</f>
        <v>10/09 - 16/09</v>
      </c>
      <c r="C259" t="s">
        <v>448</v>
      </c>
      <c r="D259" t="str">
        <f>'BOBOT PEK'!C47</f>
        <v>Pasang rangka kawat razor</v>
      </c>
      <c r="E259" s="241">
        <f>'BOBOT PEK'!J47</f>
        <v>0</v>
      </c>
      <c r="F259">
        <f>100/('BOBOT PEK'!V47-'BOBOT PEK'!U47+1)</f>
        <v>14.285714285714286</v>
      </c>
      <c r="G259">
        <f t="shared" si="6"/>
        <v>0</v>
      </c>
      <c r="H259">
        <f>MIN(100,($A259-'BOBOT PEK'!U47+1)/('BOBOT PEK'!V47-'BOBOT PEK'!U47+1)*100)</f>
        <v>28.571428571428569</v>
      </c>
      <c r="I259">
        <f>IFERROR(SUM(INDEX(TS!$M:$AB,29,1):INDEX(TS!$M:$AB,29,$A259))/TS!$L$19*100,0)</f>
        <v>0</v>
      </c>
      <c r="J259">
        <f t="shared" si="7"/>
        <v>100</v>
      </c>
      <c r="O259" t="str">
        <f ca="1">IF(I259&gt;=99.9,"COMPLETED",IF('BOBOT PEK'!U47&gt;$J$7,"NOT STARTED",IF('BOBOT PEK'!V47&lt;$J$7,"CRITICAL",IF(I259+1&lt;H259,"DELAYED","ON SCHEDULE"))))</f>
        <v>DELAYED</v>
      </c>
      <c r="Q259" t="str">
        <f>IFERROR(IF(AND($A259=$B$8,'BOBOT PEK'!U47&lt;=$B$8,$B$8&lt;='BOBOT PEK'!V47),COUNTIFS($A$17:$A259,$B$8),""),"")</f>
        <v/>
      </c>
    </row>
    <row r="260" spans="1:17" ht="12.75" customHeight="1" x14ac:dyDescent="0.2">
      <c r="A260">
        <f>IFERROR(IF(COUNTIF($C$17:C260,C260)&lt;=('BOBOT PEK'!V48-'BOBOT PEK'!U48+1),'BOBOT PEK'!U48+COUNTIF($C$17:C260,C260)-1,0),0)</f>
        <v>8</v>
      </c>
      <c r="B260" t="str">
        <f>IFERROR(TEXT(INDEX('KALENDER MINGGU'!$B$6:$B$21,$A260),"dd/mm")&amp;" - "&amp;TEXT(INDEX('KALENDER MINGGU'!$C$6:$C$21,$A260),"dd/mm"),"")</f>
        <v>10/09 - 16/09</v>
      </c>
      <c r="C260" t="s">
        <v>449</v>
      </c>
      <c r="D260" t="str">
        <f>'BOBOT PEK'!C48</f>
        <v>ex. Besi siku Uk. 40x40x4 mm</v>
      </c>
      <c r="E260" s="241">
        <f>'BOBOT PEK'!J48</f>
        <v>1.1256848370416699</v>
      </c>
      <c r="F260">
        <f>100/('BOBOT PEK'!V48-'BOBOT PEK'!U48+1)</f>
        <v>14.285714285714286</v>
      </c>
      <c r="G260">
        <f t="shared" si="6"/>
        <v>0.16081211957738142</v>
      </c>
      <c r="H260">
        <f>MIN(100,($A260-'BOBOT PEK'!U48+1)/('BOBOT PEK'!V48-'BOBOT PEK'!U48+1)*100)</f>
        <v>28.571428571428569</v>
      </c>
      <c r="I260">
        <f>IFERROR(SUM(INDEX(TS!$M:$AB,29,1):INDEX(TS!$M:$AB,29,$A260))/TS!$L$19*100,0)</f>
        <v>0</v>
      </c>
      <c r="J260">
        <f t="shared" si="7"/>
        <v>100</v>
      </c>
      <c r="O260" t="str">
        <f ca="1">IF(I260&gt;=99.9,"COMPLETED",IF('BOBOT PEK'!U48&gt;$J$7,"NOT STARTED",IF('BOBOT PEK'!V48&lt;$J$7,"CRITICAL",IF(I260+1&lt;H260,"DELAYED","ON SCHEDULE"))))</f>
        <v>DELAYED</v>
      </c>
      <c r="Q260" t="str">
        <f>IFERROR(IF(AND($A260=$B$8,'BOBOT PEK'!U48&lt;=$B$8,$B$8&lt;='BOBOT PEK'!V48),COUNTIFS($A$17:$A260,$B$8),""),"")</f>
        <v/>
      </c>
    </row>
    <row r="261" spans="1:17" ht="12.75" customHeight="1" x14ac:dyDescent="0.2">
      <c r="A261">
        <f>IFERROR(IF(COUNTIF($C$17:C261,C261)&lt;=('BOBOT PEK'!V49-'BOBOT PEK'!U49+1),'BOBOT PEK'!U49+COUNTIF($C$17:C261,C261)-1,0),0)</f>
        <v>8</v>
      </c>
      <c r="B261" t="str">
        <f>IFERROR(TEXT(INDEX('KALENDER MINGGU'!$B$6:$B$21,$A261),"dd/mm")&amp;" - "&amp;TEXT(INDEX('KALENDER MINGGU'!$C$6:$C$21,$A261),"dd/mm"),"")</f>
        <v>10/09 - 16/09</v>
      </c>
      <c r="C261" t="s">
        <v>450</v>
      </c>
      <c r="D261" t="str">
        <f>'BOBOT PEK'!C49</f>
        <v>Pasang kawat razor (diameter gulungan 45-50 cm)</v>
      </c>
      <c r="E261" s="241">
        <f>'BOBOT PEK'!J49</f>
        <v>1.1481985337825031</v>
      </c>
      <c r="F261">
        <f>100/('BOBOT PEK'!V49-'BOBOT PEK'!U49+1)</f>
        <v>14.285714285714286</v>
      </c>
      <c r="G261">
        <f t="shared" si="6"/>
        <v>0.16402836196892903</v>
      </c>
      <c r="H261">
        <f>MIN(100,($A261-'BOBOT PEK'!U49+1)/('BOBOT PEK'!V49-'BOBOT PEK'!U49+1)*100)</f>
        <v>28.571428571428569</v>
      </c>
      <c r="I261">
        <f>IFERROR(SUM(INDEX(TS!$M:$AB,29,1):INDEX(TS!$M:$AB,29,$A261))/TS!$L$19*100,0)</f>
        <v>0</v>
      </c>
      <c r="J261">
        <f t="shared" si="7"/>
        <v>100</v>
      </c>
      <c r="O261" t="str">
        <f ca="1">IF(I261&gt;=99.9,"COMPLETED",IF('BOBOT PEK'!U49&gt;$J$7,"NOT STARTED",IF('BOBOT PEK'!V49&lt;$J$7,"CRITICAL",IF(I261+1&lt;H261,"DELAYED","ON SCHEDULE"))))</f>
        <v>DELAYED</v>
      </c>
      <c r="Q261" t="str">
        <f>IFERROR(IF(AND($A261=$B$8,'BOBOT PEK'!U49&lt;=$B$8,$B$8&lt;='BOBOT PEK'!V49),COUNTIFS($A$17:$A261,$B$8),""),"")</f>
        <v/>
      </c>
    </row>
    <row r="262" spans="1:17" ht="12.75" customHeight="1" x14ac:dyDescent="0.2">
      <c r="A262">
        <f>IFERROR(IF(COUNTIF($C$17:C262,C262)&lt;=('BOBOT PEK'!V67-'BOBOT PEK'!U67+1),'BOBOT PEK'!U67+COUNTIF($C$17:C262,C262)-1,0),0)</f>
        <v>8</v>
      </c>
      <c r="B262" t="str">
        <f>IFERROR(TEXT(INDEX('KALENDER MINGGU'!$B$6:$B$21,$A262),"dd/mm")&amp;" - "&amp;TEXT(INDEX('KALENDER MINGGU'!$C$6:$C$21,$A262),"dd/mm"),"")</f>
        <v>10/09 - 16/09</v>
      </c>
      <c r="C262" t="s">
        <v>459</v>
      </c>
      <c r="D262" t="str">
        <f>'BOBOT PEK'!C67</f>
        <v>Kansteen dan ban-banan area dalam taman</v>
      </c>
      <c r="E262" s="241">
        <f>'BOBOT PEK'!J67</f>
        <v>0.81867988148485082</v>
      </c>
      <c r="F262">
        <f>100/('BOBOT PEK'!V67-'BOBOT PEK'!U67+1)</f>
        <v>14.285714285714286</v>
      </c>
      <c r="G262">
        <f t="shared" si="6"/>
        <v>0.11695426878355013</v>
      </c>
      <c r="H262">
        <f>MIN(100,($A262-'BOBOT PEK'!U67+1)/('BOBOT PEK'!V67-'BOBOT PEK'!U67+1)*100)</f>
        <v>71.428571428571431</v>
      </c>
      <c r="I262">
        <f>IFERROR(SUM(INDEX(TS!$M:$AB,35,1):INDEX(TS!$M:$AB,35,$A262))/TS!$L$25*100,0)</f>
        <v>0</v>
      </c>
      <c r="J262">
        <f t="shared" si="7"/>
        <v>100</v>
      </c>
      <c r="O262" t="str">
        <f ca="1">IF(I262&gt;=99.9,"COMPLETED",IF('BOBOT PEK'!U67&gt;$J$7,"NOT STARTED",IF('BOBOT PEK'!V67&lt;$J$7,"CRITICAL",IF(I262+1&lt;H262,"DELAYED","ON SCHEDULE"))))</f>
        <v>DELAYED</v>
      </c>
      <c r="Q262" t="str">
        <f>IFERROR(IF(AND($A262=$B$8,'BOBOT PEK'!U67&lt;=$B$8,$B$8&lt;='BOBOT PEK'!V67),COUNTIFS($A$17:$A262,$B$8),""),"")</f>
        <v/>
      </c>
    </row>
    <row r="263" spans="1:17" ht="12.75" customHeight="1" x14ac:dyDescent="0.2">
      <c r="A263">
        <f>IFERROR(IF(COUNTIF($C$17:C263,C263)&lt;=('BOBOT PEK'!V68-'BOBOT PEK'!U68+1),'BOBOT PEK'!U68+COUNTIF($C$17:C263,C263)-1,0),0)</f>
        <v>8</v>
      </c>
      <c r="B263" t="str">
        <f>IFERROR(TEXT(INDEX('KALENDER MINGGU'!$B$6:$B$21,$A263),"dd/mm")&amp;" - "&amp;TEXT(INDEX('KALENDER MINGGU'!$C$6:$C$21,$A263),"dd/mm"),"")</f>
        <v>10/09 - 16/09</v>
      </c>
      <c r="C263" t="s">
        <v>460</v>
      </c>
      <c r="D263" t="str">
        <f>'BOBOT PEK'!C68</f>
        <v>Instalasi penerangan lampu taman</v>
      </c>
      <c r="E263" s="241">
        <f>'BOBOT PEK'!J68</f>
        <v>0.13469842425055434</v>
      </c>
      <c r="F263">
        <f>100/('BOBOT PEK'!V68-'BOBOT PEK'!U68+1)</f>
        <v>33.333333333333336</v>
      </c>
      <c r="G263">
        <f t="shared" si="6"/>
        <v>4.4899474750184784E-2</v>
      </c>
      <c r="H263">
        <f>MIN(100,($A263-'BOBOT PEK'!U68+1)/('BOBOT PEK'!V68-'BOBOT PEK'!U68+1)*100)</f>
        <v>100</v>
      </c>
      <c r="I263">
        <f>IFERROR(SUM(INDEX(TS!$M:$AB,35,1):INDEX(TS!$M:$AB,35,$A263))/TS!$L$25*100,0)</f>
        <v>0</v>
      </c>
      <c r="J263">
        <f t="shared" si="7"/>
        <v>100</v>
      </c>
      <c r="O263" t="str">
        <f ca="1">IF(I263&gt;=99.9,"COMPLETED",IF('BOBOT PEK'!U68&gt;$J$7,"NOT STARTED",IF('BOBOT PEK'!V68&lt;$J$7,"CRITICAL",IF(I263+1&lt;H263,"DELAYED","ON SCHEDULE"))))</f>
        <v>CRITICAL</v>
      </c>
      <c r="Q263" t="str">
        <f>IFERROR(IF(AND($A263=$B$8,'BOBOT PEK'!U68&lt;=$B$8,$B$8&lt;='BOBOT PEK'!V68),COUNTIFS($A$17:$A263,$B$8),""),"")</f>
        <v/>
      </c>
    </row>
    <row r="264" spans="1:17" ht="12.75" customHeight="1" x14ac:dyDescent="0.2">
      <c r="A264">
        <f>IFERROR(IF(COUNTIF($C$17:C264,C264)&lt;=('BOBOT PEK'!V70-'BOBOT PEK'!U70+1),'BOBOT PEK'!U70+COUNTIF($C$17:C264,C264)-1,0),0)</f>
        <v>8</v>
      </c>
      <c r="B264" t="str">
        <f>IFERROR(TEXT(INDEX('KALENDER MINGGU'!$B$6:$B$21,$A264),"dd/mm")&amp;" - "&amp;TEXT(INDEX('KALENDER MINGGU'!$C$6:$C$21,$A264),"dd/mm"),"")</f>
        <v>10/09 - 16/09</v>
      </c>
      <c r="C264" t="s">
        <v>462</v>
      </c>
      <c r="D264" t="str">
        <f>'BOBOT PEK'!C70</f>
        <v>Cat ulang area luar tempat sampah (dinding)</v>
      </c>
      <c r="E264" s="241">
        <f>'BOBOT PEK'!J70</f>
        <v>2.9421308240861827E-2</v>
      </c>
      <c r="F264">
        <f>100/('BOBOT PEK'!V70-'BOBOT PEK'!U70+1)</f>
        <v>50</v>
      </c>
      <c r="G264">
        <f t="shared" si="6"/>
        <v>1.4710654120430914E-2</v>
      </c>
      <c r="H264">
        <f>MIN(100,($A264-'BOBOT PEK'!U70+1)/('BOBOT PEK'!V70-'BOBOT PEK'!U70+1)*100)</f>
        <v>50</v>
      </c>
      <c r="I264">
        <f>IFERROR(SUM(INDEX(TS!$M:$AB,35,1):INDEX(TS!$M:$AB,35,$A264))/TS!$L$25*100,0)</f>
        <v>0</v>
      </c>
      <c r="J264">
        <f t="shared" si="7"/>
        <v>100</v>
      </c>
      <c r="O264" t="str">
        <f ca="1">IF(I264&gt;=99.9,"COMPLETED",IF('BOBOT PEK'!U70&gt;$J$7,"NOT STARTED",IF('BOBOT PEK'!V70&lt;$J$7,"CRITICAL",IF(I264+1&lt;H264,"DELAYED","ON SCHEDULE"))))</f>
        <v>CRITICAL</v>
      </c>
      <c r="Q264" t="str">
        <f>IFERROR(IF(AND($A264=$B$8,'BOBOT PEK'!U70&lt;=$B$8,$B$8&lt;='BOBOT PEK'!V70),COUNTIFS($A$17:$A264,$B$8),""),"")</f>
        <v/>
      </c>
    </row>
    <row r="265" spans="1:17" ht="12.75" customHeight="1" x14ac:dyDescent="0.2">
      <c r="A265">
        <f>IFERROR(IF(COUNTIF($C$17:C265,C265)&lt;=('BOBOT PEK'!V77-'BOBOT PEK'!U77+1),'BOBOT PEK'!U77+COUNTIF($C$17:C265,C265)-1,0),0)</f>
        <v>8</v>
      </c>
      <c r="B265" t="str">
        <f>IFERROR(TEXT(INDEX('KALENDER MINGGU'!$B$6:$B$21,$A265),"dd/mm")&amp;" - "&amp;TEXT(INDEX('KALENDER MINGGU'!$C$6:$C$21,$A265),"dd/mm"),"")</f>
        <v>10/09 - 16/09</v>
      </c>
      <c r="C265" t="s">
        <v>464</v>
      </c>
      <c r="D265" t="str">
        <f>'BOBOT PEK'!C77</f>
        <v xml:space="preserve">Pengupasan aspal existing </v>
      </c>
      <c r="E265" s="241">
        <f>'BOBOT PEK'!J77</f>
        <v>3.3576108639397444</v>
      </c>
      <c r="F265">
        <f>100/('BOBOT PEK'!V77-'BOBOT PEK'!U77+1)</f>
        <v>6.25</v>
      </c>
      <c r="G265">
        <f t="shared" si="6"/>
        <v>0.20985067899623402</v>
      </c>
      <c r="H265">
        <f>MIN(100,($A265-'BOBOT PEK'!U77+1)/('BOBOT PEK'!V77-'BOBOT PEK'!U77+1)*100)</f>
        <v>50</v>
      </c>
      <c r="I265">
        <f>IFERROR(SUM(INDEX(TS!$M:$AB,37,1):INDEX(TS!$M:$AB,37,$A265))/TS!$L$27*100,0)</f>
        <v>0</v>
      </c>
      <c r="J265">
        <f t="shared" si="7"/>
        <v>100</v>
      </c>
      <c r="O265" t="str">
        <f ca="1">IF(I265&gt;=99.9,"COMPLETED",IF('BOBOT PEK'!U77&gt;$J$7,"NOT STARTED",IF('BOBOT PEK'!V77&lt;$J$7,"CRITICAL",IF(I265+1&lt;H265,"DELAYED","ON SCHEDULE"))))</f>
        <v>DELAYED</v>
      </c>
      <c r="Q265" t="str">
        <f>IFERROR(IF(AND($A265=$B$8,'BOBOT PEK'!U77&lt;=$B$8,$B$8&lt;='BOBOT PEK'!V77),COUNTIFS($A$17:$A265,$B$8),""),"")</f>
        <v/>
      </c>
    </row>
    <row r="266" spans="1:17" ht="12.75" customHeight="1" x14ac:dyDescent="0.2">
      <c r="A266">
        <f>IFERROR(IF(COUNTIF($C$17:C266,C266)&lt;=('BOBOT PEK'!V78-'BOBOT PEK'!U78+1),'BOBOT PEK'!U78+COUNTIF($C$17:C266,C266)-1,0),0)</f>
        <v>8</v>
      </c>
      <c r="B266" t="str">
        <f>IFERROR(TEXT(INDEX('KALENDER MINGGU'!$B$6:$B$21,$A266),"dd/mm")&amp;" - "&amp;TEXT(INDEX('KALENDER MINGGU'!$C$6:$C$21,$A266),"dd/mm"),"")</f>
        <v>10/09 - 16/09</v>
      </c>
      <c r="C266" t="s">
        <v>465</v>
      </c>
      <c r="D266" t="str">
        <f>'BOBOT PEK'!C78</f>
        <v xml:space="preserve">Pengupasan beton existing </v>
      </c>
      <c r="E266" s="241">
        <f>'BOBOT PEK'!J78</f>
        <v>1.9430855312117006</v>
      </c>
      <c r="F266">
        <f>100/('BOBOT PEK'!V78-'BOBOT PEK'!U78+1)</f>
        <v>6.25</v>
      </c>
      <c r="G266">
        <f t="shared" si="6"/>
        <v>0.12144284570073129</v>
      </c>
      <c r="H266">
        <f>MIN(100,($A266-'BOBOT PEK'!U78+1)/('BOBOT PEK'!V78-'BOBOT PEK'!U78+1)*100)</f>
        <v>50</v>
      </c>
      <c r="I266">
        <f>IFERROR(SUM(INDEX(TS!$M:$AB,37,1):INDEX(TS!$M:$AB,37,$A266))/TS!$L$27*100,0)</f>
        <v>0</v>
      </c>
      <c r="J266">
        <f t="shared" si="7"/>
        <v>100</v>
      </c>
      <c r="O266" t="str">
        <f ca="1">IF(I266&gt;=99.9,"COMPLETED",IF('BOBOT PEK'!U78&gt;$J$7,"NOT STARTED",IF('BOBOT PEK'!V78&lt;$J$7,"CRITICAL",IF(I266+1&lt;H266,"DELAYED","ON SCHEDULE"))))</f>
        <v>DELAYED</v>
      </c>
      <c r="Q266" t="str">
        <f>IFERROR(IF(AND($A266=$B$8,'BOBOT PEK'!U78&lt;=$B$8,$B$8&lt;='BOBOT PEK'!V78),COUNTIFS($A$17:$A266,$B$8),""),"")</f>
        <v/>
      </c>
    </row>
    <row r="267" spans="1:17" ht="12.75" customHeight="1" x14ac:dyDescent="0.2">
      <c r="A267">
        <f>IFERROR(IF(COUNTIF($C$17:C267,C267)&lt;=('BOBOT PEK'!V79-'BOBOT PEK'!U79+1),'BOBOT PEK'!U79+COUNTIF($C$17:C267,C267)-1,0),0)</f>
        <v>8</v>
      </c>
      <c r="B267" t="str">
        <f>IFERROR(TEXT(INDEX('KALENDER MINGGU'!$B$6:$B$21,$A267),"dd/mm")&amp;" - "&amp;TEXT(INDEX('KALENDER MINGGU'!$C$6:$C$21,$A267),"dd/mm"),"")</f>
        <v>10/09 - 16/09</v>
      </c>
      <c r="C267" t="s">
        <v>466</v>
      </c>
      <c r="D267" t="str">
        <f>'BOBOT PEK'!C79</f>
        <v>Pembuangan puing sewa truk</v>
      </c>
      <c r="E267" s="241">
        <f>'BOBOT PEK'!J79</f>
        <v>3.3766707549305637</v>
      </c>
      <c r="F267">
        <f>100/('BOBOT PEK'!V79-'BOBOT PEK'!U79+1)</f>
        <v>6.25</v>
      </c>
      <c r="G267">
        <f t="shared" si="6"/>
        <v>0.21104192218316023</v>
      </c>
      <c r="H267">
        <f>MIN(100,($A267-'BOBOT PEK'!U79+1)/('BOBOT PEK'!V79-'BOBOT PEK'!U79+1)*100)</f>
        <v>50</v>
      </c>
      <c r="I267">
        <f>IFERROR(SUM(INDEX(TS!$M:$AB,37,1):INDEX(TS!$M:$AB,37,$A267))/TS!$L$27*100,0)</f>
        <v>0</v>
      </c>
      <c r="J267">
        <f t="shared" si="7"/>
        <v>100</v>
      </c>
      <c r="O267" t="str">
        <f ca="1">IF(I267&gt;=99.9,"COMPLETED",IF('BOBOT PEK'!U79&gt;$J$7,"NOT STARTED",IF('BOBOT PEK'!V79&lt;$J$7,"CRITICAL",IF(I267+1&lt;H267,"DELAYED","ON SCHEDULE"))))</f>
        <v>DELAYED</v>
      </c>
      <c r="Q267" t="str">
        <f>IFERROR(IF(AND($A267=$B$8,'BOBOT PEK'!U79&lt;=$B$8,$B$8&lt;='BOBOT PEK'!V79),COUNTIFS($A$17:$A267,$B$8),""),"")</f>
        <v/>
      </c>
    </row>
    <row r="268" spans="1:17" ht="12.75" customHeight="1" x14ac:dyDescent="0.2">
      <c r="A268">
        <f>IFERROR(IF(COUNTIF($C$17:C268,C268)&lt;=('BOBOT PEK'!V80-'BOBOT PEK'!U80+1),'BOBOT PEK'!U80+COUNTIF($C$17:C268,C268)-1,0),0)</f>
        <v>8</v>
      </c>
      <c r="B268" t="str">
        <f>IFERROR(TEXT(INDEX('KALENDER MINGGU'!$B$6:$B$21,$A268),"dd/mm")&amp;" - "&amp;TEXT(INDEX('KALENDER MINGGU'!$C$6:$C$21,$A268),"dd/mm"),"")</f>
        <v>10/09 - 16/09</v>
      </c>
      <c r="C268" t="s">
        <v>467</v>
      </c>
      <c r="D268" t="str">
        <f>'BOBOT PEK'!C80</f>
        <v>Besi 13 ulir , kotak 30x30cm</v>
      </c>
      <c r="E268" s="241">
        <f>'BOBOT PEK'!J80</f>
        <v>15.224105695407308</v>
      </c>
      <c r="F268">
        <f>100/('BOBOT PEK'!V80-'BOBOT PEK'!U80+1)</f>
        <v>6.25</v>
      </c>
      <c r="G268">
        <f t="shared" si="6"/>
        <v>0.95150660596295678</v>
      </c>
      <c r="H268">
        <f>MIN(100,($A268-'BOBOT PEK'!U80+1)/('BOBOT PEK'!V80-'BOBOT PEK'!U80+1)*100)</f>
        <v>50</v>
      </c>
      <c r="I268">
        <f>IFERROR(SUM(INDEX(TS!$M:$AB,37,1):INDEX(TS!$M:$AB,37,$A268))/TS!$L$27*100,0)</f>
        <v>0</v>
      </c>
      <c r="J268">
        <f t="shared" si="7"/>
        <v>100</v>
      </c>
      <c r="O268" t="str">
        <f ca="1">IF(I268&gt;=99.9,"COMPLETED",IF('BOBOT PEK'!U80&gt;$J$7,"NOT STARTED",IF('BOBOT PEK'!V80&lt;$J$7,"CRITICAL",IF(I268+1&lt;H268,"DELAYED","ON SCHEDULE"))))</f>
        <v>DELAYED</v>
      </c>
      <c r="Q268" t="str">
        <f>IFERROR(IF(AND($A268=$B$8,'BOBOT PEK'!U80&lt;=$B$8,$B$8&lt;='BOBOT PEK'!V80),COUNTIFS($A$17:$A268,$B$8),""),"")</f>
        <v/>
      </c>
    </row>
    <row r="269" spans="1:17" ht="12.75" customHeight="1" x14ac:dyDescent="0.2">
      <c r="A269">
        <f>IFERROR(IF(COUNTIF($C$17:C269,C269)&lt;=('BOBOT PEK'!V81-'BOBOT PEK'!U81+1),'BOBOT PEK'!U81+COUNTIF($C$17:C269,C269)-1,0),0)</f>
        <v>8</v>
      </c>
      <c r="B269" t="str">
        <f>IFERROR(TEXT(INDEX('KALENDER MINGGU'!$B$6:$B$21,$A269),"dd/mm")&amp;" - "&amp;TEXT(INDEX('KALENDER MINGGU'!$C$6:$C$21,$A269),"dd/mm"),"")</f>
        <v>10/09 - 16/09</v>
      </c>
      <c r="C269" t="s">
        <v>468</v>
      </c>
      <c r="D269" t="str">
        <f>'BOBOT PEK'!C81</f>
        <v>Cor ready mix K-350 (tanpa trowel dan line cutting)</v>
      </c>
      <c r="E269" s="241">
        <f>'BOBOT PEK'!J81</f>
        <v>18.885237150790225</v>
      </c>
      <c r="F269">
        <f>100/('BOBOT PEK'!V81-'BOBOT PEK'!U81+1)</f>
        <v>6.25</v>
      </c>
      <c r="G269">
        <f t="shared" si="6"/>
        <v>1.1803273219243891</v>
      </c>
      <c r="H269">
        <f>MIN(100,($A269-'BOBOT PEK'!U81+1)/('BOBOT PEK'!V81-'BOBOT PEK'!U81+1)*100)</f>
        <v>50</v>
      </c>
      <c r="I269">
        <f>IFERROR(SUM(INDEX(TS!$M:$AB,37,1):INDEX(TS!$M:$AB,37,$A269))/TS!$L$27*100,0)</f>
        <v>0</v>
      </c>
      <c r="J269">
        <f t="shared" si="7"/>
        <v>100</v>
      </c>
      <c r="O269" t="str">
        <f ca="1">IF(I269&gt;=99.9,"COMPLETED",IF('BOBOT PEK'!U81&gt;$J$7,"NOT STARTED",IF('BOBOT PEK'!V81&lt;$J$7,"CRITICAL",IF(I269+1&lt;H269,"DELAYED","ON SCHEDULE"))))</f>
        <v>DELAYED</v>
      </c>
      <c r="Q269" t="str">
        <f>IFERROR(IF(AND($A269=$B$8,'BOBOT PEK'!U81&lt;=$B$8,$B$8&lt;='BOBOT PEK'!V81),COUNTIFS($A$17:$A269,$B$8),""),"")</f>
        <v/>
      </c>
    </row>
    <row r="270" spans="1:17" ht="12.75" customHeight="1" x14ac:dyDescent="0.2">
      <c r="A270">
        <f>IFERROR(IF(COUNTIF($C$17:C270,C270)&lt;=('BOBOT PEK'!V85-'BOBOT PEK'!U85+1),'BOBOT PEK'!U85+COUNTIF($C$17:C270,C270)-1,0),0)</f>
        <v>8</v>
      </c>
      <c r="B270" t="str">
        <f>IFERROR(TEXT(INDEX('KALENDER MINGGU'!$B$6:$B$21,$A270),"dd/mm")&amp;" - "&amp;TEXT(INDEX('KALENDER MINGGU'!$C$6:$C$21,$A270),"dd/mm"),"")</f>
        <v>10/09 - 16/09</v>
      </c>
      <c r="C270" t="s">
        <v>469</v>
      </c>
      <c r="D270" t="str">
        <f>'BOBOT PEK'!C85</f>
        <v>Pekerjaan refinishing dinding pagar timur &amp; utara</v>
      </c>
      <c r="E270" s="241">
        <f>'BOBOT PEK'!J85</f>
        <v>1.0803504386044462</v>
      </c>
      <c r="F270">
        <f>100/('BOBOT PEK'!V85-'BOBOT PEK'!U85+1)</f>
        <v>10</v>
      </c>
      <c r="G270">
        <f t="shared" si="6"/>
        <v>0.10803504386044463</v>
      </c>
      <c r="H270">
        <f>MIN(100,($A270-'BOBOT PEK'!U85+1)/('BOBOT PEK'!V85-'BOBOT PEK'!U85+1)*100)</f>
        <v>40</v>
      </c>
      <c r="I270">
        <f>IFERROR(SUM(INDEX(TS!$M:$AB,39,1):INDEX(TS!$M:$AB,39,$A270))/TS!$L$29*100,0)</f>
        <v>26.078611366101978</v>
      </c>
      <c r="J270">
        <f t="shared" si="7"/>
        <v>73.921388633898019</v>
      </c>
      <c r="O270" t="str">
        <f ca="1">IF(I270&gt;=99.9,"COMPLETED",IF('BOBOT PEK'!U85&gt;$J$7,"NOT STARTED",IF('BOBOT PEK'!V85&lt;$J$7,"CRITICAL",IF(I270+1&lt;H270,"DELAYED","ON SCHEDULE"))))</f>
        <v>DELAYED</v>
      </c>
      <c r="Q270" t="str">
        <f>IFERROR(IF(AND($A270=$B$8,'BOBOT PEK'!U85&lt;=$B$8,$B$8&lt;='BOBOT PEK'!V85),COUNTIFS($A$17:$A270,$B$8),""),"")</f>
        <v/>
      </c>
    </row>
    <row r="271" spans="1:17" ht="12.75" customHeight="1" x14ac:dyDescent="0.2">
      <c r="A271">
        <f>IFERROR(IF(COUNTIF($C$17:C271,C271)&lt;=('BOBOT PEK'!V86-'BOBOT PEK'!U86+1),'BOBOT PEK'!U86+COUNTIF($C$17:C271,C271)-1,0),0)</f>
        <v>8</v>
      </c>
      <c r="B271" t="str">
        <f>IFERROR(TEXT(INDEX('KALENDER MINGGU'!$B$6:$B$21,$A271),"dd/mm")&amp;" - "&amp;TEXT(INDEX('KALENDER MINGGU'!$C$6:$C$21,$A271),"dd/mm"),"")</f>
        <v>10/09 - 16/09</v>
      </c>
      <c r="C271" t="s">
        <v>470</v>
      </c>
      <c r="D271" t="str">
        <f>'BOBOT PEK'!C86</f>
        <v>Pekerjaan refinishing dinding barat</v>
      </c>
      <c r="E271" s="241">
        <f>'BOBOT PEK'!J86</f>
        <v>0.75906975261423504</v>
      </c>
      <c r="F271">
        <f>100/('BOBOT PEK'!V86-'BOBOT PEK'!U86+1)</f>
        <v>10</v>
      </c>
      <c r="G271">
        <f t="shared" si="6"/>
        <v>7.5906975261423509E-2</v>
      </c>
      <c r="H271">
        <f>MIN(100,($A271-'BOBOT PEK'!U86+1)/('BOBOT PEK'!V86-'BOBOT PEK'!U86+1)*100)</f>
        <v>40</v>
      </c>
      <c r="I271">
        <f>IFERROR(SUM(INDEX(TS!$M:$AB,39,1):INDEX(TS!$M:$AB,39,$A271))/TS!$L$29*100,0)</f>
        <v>26.078611366101978</v>
      </c>
      <c r="J271">
        <f t="shared" si="7"/>
        <v>73.921388633898019</v>
      </c>
      <c r="O271" t="str">
        <f ca="1">IF(I271&gt;=99.9,"COMPLETED",IF('BOBOT PEK'!U86&gt;$J$7,"NOT STARTED",IF('BOBOT PEK'!V86&lt;$J$7,"CRITICAL",IF(I271+1&lt;H271,"DELAYED","ON SCHEDULE"))))</f>
        <v>DELAYED</v>
      </c>
      <c r="Q271" t="str">
        <f>IFERROR(IF(AND($A271=$B$8,'BOBOT PEK'!U86&lt;=$B$8,$B$8&lt;='BOBOT PEK'!V86),COUNTIFS($A$17:$A271,$B$8),""),"")</f>
        <v/>
      </c>
    </row>
    <row r="272" spans="1:17" ht="12.75" customHeight="1" x14ac:dyDescent="0.2">
      <c r="A272">
        <f>IFERROR(IF(COUNTIF($C$17:C272,C272)&lt;=('BOBOT PEK'!V91-'BOBOT PEK'!U91+1),'BOBOT PEK'!U91+COUNTIF($C$17:C272,C272)-1,0),0)</f>
        <v>0</v>
      </c>
      <c r="B272" t="str">
        <f>IFERROR(TEXT(INDEX('KALENDER MINGGU'!$B$6:$B$21,$A272),"dd/mm")&amp;" - "&amp;TEXT(INDEX('KALENDER MINGGU'!$C$6:$C$21,$A272),"dd/mm"),"")</f>
        <v/>
      </c>
      <c r="C272" t="s">
        <v>471</v>
      </c>
      <c r="D272" t="str">
        <f>'BOBOT PEK'!C91</f>
        <v>Ganti rangka atap toilet ( rangka lama sudah lapuk )</v>
      </c>
      <c r="E272" s="241">
        <f>'BOBOT PEK'!J91</f>
        <v>0.92235801335101819</v>
      </c>
      <c r="F272">
        <f>100/('BOBOT PEK'!V91-'BOBOT PEK'!U91+1)</f>
        <v>50</v>
      </c>
      <c r="G272">
        <f t="shared" si="6"/>
        <v>0.4611790066755091</v>
      </c>
      <c r="H272">
        <f>MIN(100,($A272-'BOBOT PEK'!U91+1)/('BOBOT PEK'!V91-'BOBOT PEK'!U91+1)*100)</f>
        <v>-250</v>
      </c>
      <c r="I272">
        <f>IFERROR(SUM(INDEX(TS!$M:$AB,41,1):INDEX(TS!$M:$AB,41,$A272))/TS!$L$31*100,0)</f>
        <v>21.294065245273501</v>
      </c>
      <c r="J272">
        <f t="shared" si="7"/>
        <v>78.705934754726499</v>
      </c>
      <c r="O272" t="str">
        <f ca="1">IF(I272&gt;=99.9,"COMPLETED",IF('BOBOT PEK'!U91&gt;$J$7,"NOT STARTED",IF('BOBOT PEK'!V91&lt;$J$7,"CRITICAL",IF(I272+1&lt;H272,"DELAYED","ON SCHEDULE"))))</f>
        <v>CRITICAL</v>
      </c>
      <c r="Q272" t="str">
        <f>IFERROR(IF(AND($A272=$B$8,'BOBOT PEK'!U91&lt;=$B$8,$B$8&lt;='BOBOT PEK'!V91),COUNTIFS($A$17:$A272,$B$8),""),"")</f>
        <v/>
      </c>
    </row>
    <row r="273" spans="1:17" ht="12.75" customHeight="1" x14ac:dyDescent="0.2">
      <c r="A273">
        <f>IFERROR(IF(COUNTIF($C$17:C273,C273)&lt;=('BOBOT PEK'!V92-'BOBOT PEK'!U92+1),'BOBOT PEK'!U92+COUNTIF($C$17:C273,C273)-1,0),0)</f>
        <v>0</v>
      </c>
      <c r="B273" t="str">
        <f>IFERROR(TEXT(INDEX('KALENDER MINGGU'!$B$6:$B$21,$A273),"dd/mm")&amp;" - "&amp;TEXT(INDEX('KALENDER MINGGU'!$C$6:$C$21,$A273),"dd/mm"),"")</f>
        <v/>
      </c>
      <c r="C273" t="s">
        <v>472</v>
      </c>
      <c r="D273" t="str">
        <f>'BOBOT PEK'!C92</f>
        <v>Perbaikan plafond + refinishing cat</v>
      </c>
      <c r="E273" s="241">
        <f>'BOBOT PEK'!J92</f>
        <v>0.49755269797241802</v>
      </c>
      <c r="F273">
        <f>100/('BOBOT PEK'!V92-'BOBOT PEK'!U92+1)</f>
        <v>50</v>
      </c>
      <c r="G273">
        <f t="shared" ref="G273:G336" si="8">F273/100*E273</f>
        <v>0.24877634898620901</v>
      </c>
      <c r="H273">
        <f>MIN(100,($A273-'BOBOT PEK'!U92+1)/('BOBOT PEK'!V92-'BOBOT PEK'!U92+1)*100)</f>
        <v>-300</v>
      </c>
      <c r="I273">
        <f>IFERROR(SUM(INDEX(TS!$M:$AB,41,1):INDEX(TS!$M:$AB,41,$A273))/TS!$L$31*100,0)</f>
        <v>21.294065245273501</v>
      </c>
      <c r="J273">
        <f t="shared" ref="J273:J336" si="9">MAX(0,100-I273)</f>
        <v>78.705934754726499</v>
      </c>
      <c r="O273" t="str">
        <f ca="1">IF(I273&gt;=99.9,"COMPLETED",IF('BOBOT PEK'!U92&gt;$J$7,"NOT STARTED",IF('BOBOT PEK'!V92&lt;$J$7,"CRITICAL",IF(I273+1&lt;H273,"DELAYED","ON SCHEDULE"))))</f>
        <v>CRITICAL</v>
      </c>
      <c r="Q273" t="str">
        <f>IFERROR(IF(AND($A273=$B$8,'BOBOT PEK'!U92&lt;=$B$8,$B$8&lt;='BOBOT PEK'!V92),COUNTIFS($A$17:$A273,$B$8),""),"")</f>
        <v/>
      </c>
    </row>
    <row r="274" spans="1:17" ht="12.75" customHeight="1" x14ac:dyDescent="0.2">
      <c r="A274">
        <f>IFERROR(IF(COUNTIF($C$17:C274,C274)&lt;=('BOBOT PEK'!V93-'BOBOT PEK'!U93+1),'BOBOT PEK'!U93+COUNTIF($C$17:C274,C274)-1,0),0)</f>
        <v>0</v>
      </c>
      <c r="B274" t="str">
        <f>IFERROR(TEXT(INDEX('KALENDER MINGGU'!$B$6:$B$21,$A274),"dd/mm")&amp;" - "&amp;TEXT(INDEX('KALENDER MINGGU'!$C$6:$C$21,$A274),"dd/mm"),"")</f>
        <v/>
      </c>
      <c r="C274" t="s">
        <v>473</v>
      </c>
      <c r="D274" t="str">
        <f>'BOBOT PEK'!C93</f>
        <v>Cat ulang exterior musholla</v>
      </c>
      <c r="E274" s="241">
        <f>'BOBOT PEK'!J93</f>
        <v>0.17417414478590201</v>
      </c>
      <c r="F274">
        <f>100/('BOBOT PEK'!V93-'BOBOT PEK'!U93+1)</f>
        <v>50</v>
      </c>
      <c r="G274">
        <f t="shared" si="8"/>
        <v>8.7087072392951007E-2</v>
      </c>
      <c r="H274">
        <f>MIN(100,($A274-'BOBOT PEK'!U93+1)/('BOBOT PEK'!V93-'BOBOT PEK'!U93+1)*100)</f>
        <v>-350</v>
      </c>
      <c r="I274">
        <f>IFERROR(SUM(INDEX(TS!$M:$AB,41,1):INDEX(TS!$M:$AB,41,$A274))/TS!$L$31*100,0)</f>
        <v>21.294065245273501</v>
      </c>
      <c r="J274">
        <f t="shared" si="9"/>
        <v>78.705934754726499</v>
      </c>
      <c r="O274" t="str">
        <f ca="1">IF(I274&gt;=99.9,"COMPLETED",IF('BOBOT PEK'!U93&gt;$J$7,"NOT STARTED",IF('BOBOT PEK'!V93&lt;$J$7,"CRITICAL",IF(I274+1&lt;H274,"DELAYED","ON SCHEDULE"))))</f>
        <v>CRITICAL</v>
      </c>
      <c r="Q274" t="str">
        <f>IFERROR(IF(AND($A274=$B$8,'BOBOT PEK'!U93&lt;=$B$8,$B$8&lt;='BOBOT PEK'!V93),COUNTIFS($A$17:$A274,$B$8),""),"")</f>
        <v/>
      </c>
    </row>
    <row r="275" spans="1:17" ht="12.75" customHeight="1" x14ac:dyDescent="0.2">
      <c r="A275">
        <f>IFERROR(IF(COUNTIF($C$17:C275,C275)&lt;=('BOBOT PEK'!V94-'BOBOT PEK'!U94+1),'BOBOT PEK'!U94+COUNTIF($C$17:C275,C275)-1,0),0)</f>
        <v>0</v>
      </c>
      <c r="B275" t="str">
        <f>IFERROR(TEXT(INDEX('KALENDER MINGGU'!$B$6:$B$21,$A275),"dd/mm")&amp;" - "&amp;TEXT(INDEX('KALENDER MINGGU'!$C$6:$C$21,$A275),"dd/mm"),"")</f>
        <v/>
      </c>
      <c r="C275" t="s">
        <v>474</v>
      </c>
      <c r="D275" t="str">
        <f>'BOBOT PEK'!C94</f>
        <v>Penggantian pintu  musholla</v>
      </c>
      <c r="E275" s="241">
        <f>'BOBOT PEK'!J94</f>
        <v>9.9776610555966191E-2</v>
      </c>
      <c r="F275">
        <f>100/('BOBOT PEK'!V94-'BOBOT PEK'!U94+1)</f>
        <v>50</v>
      </c>
      <c r="G275">
        <f t="shared" si="8"/>
        <v>4.9888305277983096E-2</v>
      </c>
      <c r="H275">
        <f>MIN(100,($A275-'BOBOT PEK'!U94+1)/('BOBOT PEK'!V94-'BOBOT PEK'!U94+1)*100)</f>
        <v>-350</v>
      </c>
      <c r="I275">
        <f>IFERROR(SUM(INDEX(TS!$M:$AB,41,1):INDEX(TS!$M:$AB,41,$A275))/TS!$L$31*100,0)</f>
        <v>21.294065245273501</v>
      </c>
      <c r="J275">
        <f t="shared" si="9"/>
        <v>78.705934754726499</v>
      </c>
      <c r="O275" t="str">
        <f ca="1">IF(I275&gt;=99.9,"COMPLETED",IF('BOBOT PEK'!U94&gt;$J$7,"NOT STARTED",IF('BOBOT PEK'!V94&lt;$J$7,"CRITICAL",IF(I275+1&lt;H275,"DELAYED","ON SCHEDULE"))))</f>
        <v>CRITICAL</v>
      </c>
      <c r="Q275" t="str">
        <f>IFERROR(IF(AND($A275=$B$8,'BOBOT PEK'!U94&lt;=$B$8,$B$8&lt;='BOBOT PEK'!V94),COUNTIFS($A$17:$A275,$B$8),""),"")</f>
        <v/>
      </c>
    </row>
    <row r="276" spans="1:17" ht="12.75" customHeight="1" x14ac:dyDescent="0.2">
      <c r="A276">
        <f>IFERROR(IF(COUNTIF($C$17:C276,C276)&lt;=('BOBOT PEK'!V95-'BOBOT PEK'!U95+1),'BOBOT PEK'!U95+COUNTIF($C$17:C276,C276)-1,0),0)</f>
        <v>0</v>
      </c>
      <c r="B276" t="str">
        <f>IFERROR(TEXT(INDEX('KALENDER MINGGU'!$B$6:$B$21,$A276),"dd/mm")&amp;" - "&amp;TEXT(INDEX('KALENDER MINGGU'!$C$6:$C$21,$A276),"dd/mm"),"")</f>
        <v/>
      </c>
      <c r="C276" t="s">
        <v>475</v>
      </c>
      <c r="D276" t="str">
        <f>'BOBOT PEK'!C95</f>
        <v>Penggantian keramik teras</v>
      </c>
      <c r="E276" s="241">
        <f>'BOBOT PEK'!J95</f>
        <v>6.1400991111363809E-2</v>
      </c>
      <c r="F276">
        <f>100/('BOBOT PEK'!V95-'BOBOT PEK'!U95+1)</f>
        <v>50</v>
      </c>
      <c r="G276">
        <f t="shared" si="8"/>
        <v>3.0700495555681905E-2</v>
      </c>
      <c r="H276">
        <f>MIN(100,($A276-'BOBOT PEK'!U95+1)/('BOBOT PEK'!V95-'BOBOT PEK'!U95+1)*100)</f>
        <v>-300</v>
      </c>
      <c r="I276">
        <f>IFERROR(SUM(INDEX(TS!$M:$AB,41,1):INDEX(TS!$M:$AB,41,$A276))/TS!$L$31*100,0)</f>
        <v>21.294065245273501</v>
      </c>
      <c r="J276">
        <f t="shared" si="9"/>
        <v>78.705934754726499</v>
      </c>
      <c r="O276" t="str">
        <f ca="1">IF(I276&gt;=99.9,"COMPLETED",IF('BOBOT PEK'!U95&gt;$J$7,"NOT STARTED",IF('BOBOT PEK'!V95&lt;$J$7,"CRITICAL",IF(I276+1&lt;H276,"DELAYED","ON SCHEDULE"))))</f>
        <v>CRITICAL</v>
      </c>
      <c r="Q276" t="str">
        <f>IFERROR(IF(AND($A276=$B$8,'BOBOT PEK'!U95&lt;=$B$8,$B$8&lt;='BOBOT PEK'!V95),COUNTIFS($A$17:$A276,$B$8),""),"")</f>
        <v/>
      </c>
    </row>
    <row r="277" spans="1:17" ht="12.75" customHeight="1" x14ac:dyDescent="0.2">
      <c r="A277">
        <f>IFERROR(IF(COUNTIF($C$17:C277,C277)&lt;=('BOBOT PEK'!V96-'BOBOT PEK'!U96+1),'BOBOT PEK'!U96+COUNTIF($C$17:C277,C277)-1,0),0)</f>
        <v>0</v>
      </c>
      <c r="B277" t="str">
        <f>IFERROR(TEXT(INDEX('KALENDER MINGGU'!$B$6:$B$21,$A277),"dd/mm")&amp;" - "&amp;TEXT(INDEX('KALENDER MINGGU'!$C$6:$C$21,$A277),"dd/mm"),"")</f>
        <v/>
      </c>
      <c r="C277" t="s">
        <v>476</v>
      </c>
      <c r="D277" t="str">
        <f>'BOBOT PEK'!C96</f>
        <v>Pembuatan tempat wudhu</v>
      </c>
      <c r="E277" s="241">
        <f>'BOBOT PEK'!J96</f>
        <v>6.907611500028428E-2</v>
      </c>
      <c r="F277">
        <f>100/('BOBOT PEK'!V96-'BOBOT PEK'!U96+1)</f>
        <v>50</v>
      </c>
      <c r="G277">
        <f t="shared" si="8"/>
        <v>3.453805750014214E-2</v>
      </c>
      <c r="H277">
        <f>MIN(100,($A277-'BOBOT PEK'!U96+1)/('BOBOT PEK'!V96-'BOBOT PEK'!U96+1)*100)</f>
        <v>-350</v>
      </c>
      <c r="I277">
        <f>IFERROR(SUM(INDEX(TS!$M:$AB,41,1):INDEX(TS!$M:$AB,41,$A277))/TS!$L$31*100,0)</f>
        <v>21.294065245273501</v>
      </c>
      <c r="J277">
        <f t="shared" si="9"/>
        <v>78.705934754726499</v>
      </c>
      <c r="O277" t="str">
        <f ca="1">IF(I277&gt;=99.9,"COMPLETED",IF('BOBOT PEK'!U96&gt;$J$7,"NOT STARTED",IF('BOBOT PEK'!V96&lt;$J$7,"CRITICAL",IF(I277+1&lt;H277,"DELAYED","ON SCHEDULE"))))</f>
        <v>CRITICAL</v>
      </c>
      <c r="Q277" t="str">
        <f>IFERROR(IF(AND($A277=$B$8,'BOBOT PEK'!U96&lt;=$B$8,$B$8&lt;='BOBOT PEK'!V96),COUNTIFS($A$17:$A277,$B$8),""),"")</f>
        <v/>
      </c>
    </row>
    <row r="278" spans="1:17" ht="12.75" customHeight="1" x14ac:dyDescent="0.2">
      <c r="A278">
        <f>IFERROR(IF(COUNTIF($C$17:C278,C278)&lt;=('BOBOT PEK'!V97-'BOBOT PEK'!U97+1),'BOBOT PEK'!U97+COUNTIF($C$17:C278,C278)-1,0),0)</f>
        <v>0</v>
      </c>
      <c r="B278" t="str">
        <f>IFERROR(TEXT(INDEX('KALENDER MINGGU'!$B$6:$B$21,$A278),"dd/mm")&amp;" - "&amp;TEXT(INDEX('KALENDER MINGGU'!$C$6:$C$21,$A278),"dd/mm"),"")</f>
        <v/>
      </c>
      <c r="C278" t="s">
        <v>477</v>
      </c>
      <c r="D278" t="str">
        <f>'BOBOT PEK'!C97</f>
        <v>Pembuatan instalasi wastafel</v>
      </c>
      <c r="E278" s="241">
        <f>'BOBOT PEK'!J97</f>
        <v>5.116749259280318E-3</v>
      </c>
      <c r="F278">
        <f>100/('BOBOT PEK'!V97-'BOBOT PEK'!U97+1)</f>
        <v>50</v>
      </c>
      <c r="G278">
        <f t="shared" si="8"/>
        <v>2.558374629640159E-3</v>
      </c>
      <c r="H278">
        <f>MIN(100,($A278-'BOBOT PEK'!U97+1)/('BOBOT PEK'!V97-'BOBOT PEK'!U97+1)*100)</f>
        <v>-350</v>
      </c>
      <c r="I278">
        <f>IFERROR(SUM(INDEX(TS!$M:$AB,41,1):INDEX(TS!$M:$AB,41,$A278))/TS!$L$31*100,0)</f>
        <v>21.294065245273501</v>
      </c>
      <c r="J278">
        <f t="shared" si="9"/>
        <v>78.705934754726499</v>
      </c>
      <c r="O278" t="str">
        <f ca="1">IF(I278&gt;=99.9,"COMPLETED",IF('BOBOT PEK'!U97&gt;$J$7,"NOT STARTED",IF('BOBOT PEK'!V97&lt;$J$7,"CRITICAL",IF(I278+1&lt;H278,"DELAYED","ON SCHEDULE"))))</f>
        <v>CRITICAL</v>
      </c>
      <c r="Q278" t="str">
        <f>IFERROR(IF(AND($A278=$B$8,'BOBOT PEK'!U97&lt;=$B$8,$B$8&lt;='BOBOT PEK'!V97),COUNTIFS($A$17:$A278,$B$8),""),"")</f>
        <v/>
      </c>
    </row>
    <row r="279" spans="1:17" ht="12.75" customHeight="1" x14ac:dyDescent="0.2">
      <c r="A279">
        <f>IFERROR(IF(COUNTIF($C$17:C279,C279)&lt;=('BOBOT PEK'!V98-'BOBOT PEK'!U98+1),'BOBOT PEK'!U98+COUNTIF($C$17:C279,C279)-1,0),0)</f>
        <v>0</v>
      </c>
      <c r="B279" t="str">
        <f>IFERROR(TEXT(INDEX('KALENDER MINGGU'!$B$6:$B$21,$A279),"dd/mm")&amp;" - "&amp;TEXT(INDEX('KALENDER MINGGU'!$C$6:$C$21,$A279),"dd/mm"),"")</f>
        <v/>
      </c>
      <c r="C279" t="s">
        <v>478</v>
      </c>
      <c r="D279" t="str">
        <f>'BOBOT PEK'!C98</f>
        <v>Pekerjaan lantai bengkel</v>
      </c>
      <c r="E279" s="241">
        <f>'BOBOT PEK'!J98</f>
        <v>0</v>
      </c>
      <c r="F279">
        <f>100/('BOBOT PEK'!V98-'BOBOT PEK'!U98+1)</f>
        <v>33.333333333333336</v>
      </c>
      <c r="G279">
        <f t="shared" si="8"/>
        <v>0</v>
      </c>
      <c r="H279">
        <f>MIN(100,($A279-'BOBOT PEK'!U98+1)/('BOBOT PEK'!V98-'BOBOT PEK'!U98+1)*100)</f>
        <v>-200</v>
      </c>
      <c r="I279">
        <f>IFERROR(SUM(INDEX(TS!$M:$AB,41,1):INDEX(TS!$M:$AB,41,$A279))/TS!$L$31*100,0)</f>
        <v>21.294065245273501</v>
      </c>
      <c r="J279">
        <f t="shared" si="9"/>
        <v>78.705934754726499</v>
      </c>
      <c r="O279" t="str">
        <f ca="1">IF(I279&gt;=99.9,"COMPLETED",IF('BOBOT PEK'!U98&gt;$J$7,"NOT STARTED",IF('BOBOT PEK'!V98&lt;$J$7,"CRITICAL",IF(I279+1&lt;H279,"DELAYED","ON SCHEDULE"))))</f>
        <v>CRITICAL</v>
      </c>
      <c r="Q279" t="str">
        <f>IFERROR(IF(AND($A279=$B$8,'BOBOT PEK'!U98&lt;=$B$8,$B$8&lt;='BOBOT PEK'!V98),COUNTIFS($A$17:$A279,$B$8),""),"")</f>
        <v/>
      </c>
    </row>
    <row r="280" spans="1:17" ht="12.75" customHeight="1" x14ac:dyDescent="0.2">
      <c r="A280">
        <f>IFERROR(IF(COUNTIF($C$17:C280,C280)&lt;=('BOBOT PEK'!V101-'BOBOT PEK'!U101+1),'BOBOT PEK'!U101+COUNTIF($C$17:C280,C280)-1,0),0)</f>
        <v>0</v>
      </c>
      <c r="B280" t="str">
        <f>IFERROR(TEXT(INDEX('KALENDER MINGGU'!$B$6:$B$21,$A280),"dd/mm")&amp;" - "&amp;TEXT(INDEX('KALENDER MINGGU'!$C$6:$C$21,$A280),"dd/mm"),"")</f>
        <v/>
      </c>
      <c r="C280" t="s">
        <v>481</v>
      </c>
      <c r="D280" t="str">
        <f>'BOBOT PEK'!C101</f>
        <v xml:space="preserve">Finishing paving </v>
      </c>
      <c r="E280" s="241">
        <f>'BOBOT PEK'!J101</f>
        <v>2.7016436089000075</v>
      </c>
      <c r="F280">
        <f>100/('BOBOT PEK'!V101-'BOBOT PEK'!U101+1)</f>
        <v>25</v>
      </c>
      <c r="G280">
        <f t="shared" si="8"/>
        <v>0.67541090222500189</v>
      </c>
      <c r="H280">
        <f>MIN(100,($A280-'BOBOT PEK'!U101+1)/('BOBOT PEK'!V101-'BOBOT PEK'!U101+1)*100)</f>
        <v>-125</v>
      </c>
      <c r="I280">
        <f>IFERROR(SUM(INDEX(TS!$M:$AB,41,1):INDEX(TS!$M:$AB,41,$A280))/TS!$L$31*100,0)</f>
        <v>21.294065245273501</v>
      </c>
      <c r="J280">
        <f t="shared" si="9"/>
        <v>78.705934754726499</v>
      </c>
      <c r="O280" t="str">
        <f ca="1">IF(I280&gt;=99.9,"COMPLETED",IF('BOBOT PEK'!U101&gt;$J$7,"NOT STARTED",IF('BOBOT PEK'!V101&lt;$J$7,"CRITICAL",IF(I280+1&lt;H280,"DELAYED","ON SCHEDULE"))))</f>
        <v>CRITICAL</v>
      </c>
      <c r="Q280" t="str">
        <f>IFERROR(IF(AND($A280=$B$8,'BOBOT PEK'!U101&lt;=$B$8,$B$8&lt;='BOBOT PEK'!V101),COUNTIFS($A$17:$A280,$B$8),""),"")</f>
        <v/>
      </c>
    </row>
    <row r="281" spans="1:17" ht="12.75" customHeight="1" x14ac:dyDescent="0.2">
      <c r="A281">
        <f>IFERROR(IF(COUNTIF($C$17:C281,C281)&lt;=('BOBOT PEK'!V102-'BOBOT PEK'!U102+1),'BOBOT PEK'!U102+COUNTIF($C$17:C281,C281)-1,0),0)</f>
        <v>0</v>
      </c>
      <c r="B281" t="str">
        <f>IFERROR(TEXT(INDEX('KALENDER MINGGU'!$B$6:$B$21,$A281),"dd/mm")&amp;" - "&amp;TEXT(INDEX('KALENDER MINGGU'!$C$6:$C$21,$A281),"dd/mm"),"")</f>
        <v/>
      </c>
      <c r="C281" t="s">
        <v>482</v>
      </c>
      <c r="D281" t="str">
        <f>'BOBOT PEK'!C102</f>
        <v>Terminasi cor keliling</v>
      </c>
      <c r="E281" s="241">
        <f>'BOBOT PEK'!J102</f>
        <v>0.33770545111250094</v>
      </c>
      <c r="F281">
        <f>100/('BOBOT PEK'!V102-'BOBOT PEK'!U102+1)</f>
        <v>33.333333333333336</v>
      </c>
      <c r="G281">
        <f t="shared" si="8"/>
        <v>0.112568483704167</v>
      </c>
      <c r="H281">
        <f>MIN(100,($A281-'BOBOT PEK'!U102+1)/('BOBOT PEK'!V102-'BOBOT PEK'!U102+1)*100)</f>
        <v>-200</v>
      </c>
      <c r="I281">
        <f>IFERROR(SUM(INDEX(TS!$M:$AB,41,1):INDEX(TS!$M:$AB,41,$A281))/TS!$L$31*100,0)</f>
        <v>21.294065245273501</v>
      </c>
      <c r="J281">
        <f t="shared" si="9"/>
        <v>78.705934754726499</v>
      </c>
      <c r="O281" t="str">
        <f ca="1">IF(I281&gt;=99.9,"COMPLETED",IF('BOBOT PEK'!U102&gt;$J$7,"NOT STARTED",IF('BOBOT PEK'!V102&lt;$J$7,"CRITICAL",IF(I281+1&lt;H281,"DELAYED","ON SCHEDULE"))))</f>
        <v>CRITICAL</v>
      </c>
      <c r="Q281" t="str">
        <f>IFERROR(IF(AND($A281=$B$8,'BOBOT PEK'!U102&lt;=$B$8,$B$8&lt;='BOBOT PEK'!V102),COUNTIFS($A$17:$A281,$B$8),""),"")</f>
        <v/>
      </c>
    </row>
    <row r="282" spans="1:17" ht="12.75" customHeight="1" x14ac:dyDescent="0.2">
      <c r="A282">
        <f>IFERROR(IF(COUNTIF($C$17:C282,C282)&lt;=('BOBOT PEK'!V103-'BOBOT PEK'!U103+1),'BOBOT PEK'!U103+COUNTIF($C$17:C282,C282)-1,0),0)</f>
        <v>8</v>
      </c>
      <c r="B282" t="str">
        <f>IFERROR(TEXT(INDEX('KALENDER MINGGU'!$B$6:$B$21,$A282),"dd/mm")&amp;" - "&amp;TEXT(INDEX('KALENDER MINGGU'!$C$6:$C$21,$A282),"dd/mm"),"")</f>
        <v>10/09 - 16/09</v>
      </c>
      <c r="C282" t="s">
        <v>483</v>
      </c>
      <c r="D282" t="str">
        <f>'BOBOT PEK'!C103</f>
        <v>Pondasi Struktur bengkel</v>
      </c>
      <c r="E282" s="241">
        <f>'BOBOT PEK'!J103</f>
        <v>0.19955322111193238</v>
      </c>
      <c r="F282">
        <f>100/('BOBOT PEK'!V103-'BOBOT PEK'!U103+1)</f>
        <v>14.285714285714286</v>
      </c>
      <c r="G282">
        <f t="shared" si="8"/>
        <v>2.8507603015990344E-2</v>
      </c>
      <c r="H282">
        <f>MIN(100,($A282-'BOBOT PEK'!U103+1)/('BOBOT PEK'!V103-'BOBOT PEK'!U103+1)*100)</f>
        <v>71.428571428571431</v>
      </c>
      <c r="I282">
        <f>IFERROR(SUM(INDEX(TS!$M:$AB,41,1):INDEX(TS!$M:$AB,41,$A282))/TS!$L$31*100,0)</f>
        <v>10.64703262263675</v>
      </c>
      <c r="J282">
        <f t="shared" si="9"/>
        <v>89.352967377363257</v>
      </c>
      <c r="O282" t="str">
        <f ca="1">IF(I282&gt;=99.9,"COMPLETED",IF('BOBOT PEK'!U103&gt;$J$7,"NOT STARTED",IF('BOBOT PEK'!V103&lt;$J$7,"CRITICAL",IF(I282+1&lt;H282,"DELAYED","ON SCHEDULE"))))</f>
        <v>DELAYED</v>
      </c>
      <c r="Q282" t="str">
        <f>IFERROR(IF(AND($A282=$B$8,'BOBOT PEK'!U103&lt;=$B$8,$B$8&lt;='BOBOT PEK'!V103),COUNTIFS($A$17:$A282,$B$8),""),"")</f>
        <v/>
      </c>
    </row>
    <row r="283" spans="1:17" ht="12.75" customHeight="1" x14ac:dyDescent="0.2">
      <c r="A283">
        <f>IFERROR(IF(COUNTIF($C$17:C283,C283)&lt;=('BOBOT PEK'!V104-'BOBOT PEK'!U104+1),'BOBOT PEK'!U104+COUNTIF($C$17:C283,C283)-1,0),0)</f>
        <v>8</v>
      </c>
      <c r="B283" t="str">
        <f>IFERROR(TEXT(INDEX('KALENDER MINGGU'!$B$6:$B$21,$A283),"dd/mm")&amp;" - "&amp;TEXT(INDEX('KALENDER MINGGU'!$C$6:$C$21,$A283),"dd/mm"),"")</f>
        <v>10/09 - 16/09</v>
      </c>
      <c r="C283" t="s">
        <v>484</v>
      </c>
      <c r="D283" t="str">
        <f>'BOBOT PEK'!C104</f>
        <v>Atap bengkel dan cucian mobil</v>
      </c>
      <c r="E283" s="241">
        <f>'BOBOT PEK'!J104</f>
        <v>1.4215864467058505</v>
      </c>
      <c r="F283">
        <f>100/('BOBOT PEK'!V104-'BOBOT PEK'!U104+1)</f>
        <v>14.285714285714286</v>
      </c>
      <c r="G283">
        <f t="shared" si="8"/>
        <v>0.20308377810083583</v>
      </c>
      <c r="H283">
        <f>MIN(100,($A283-'BOBOT PEK'!U104+1)/('BOBOT PEK'!V104-'BOBOT PEK'!U104+1)*100)</f>
        <v>71.428571428571431</v>
      </c>
      <c r="I283">
        <f>IFERROR(SUM(INDEX(TS!$M:$AB,41,1):INDEX(TS!$M:$AB,41,$A283))/TS!$L$31*100,0)</f>
        <v>10.64703262263675</v>
      </c>
      <c r="J283">
        <f t="shared" si="9"/>
        <v>89.352967377363257</v>
      </c>
      <c r="O283" t="str">
        <f ca="1">IF(I283&gt;=99.9,"COMPLETED",IF('BOBOT PEK'!U104&gt;$J$7,"NOT STARTED",IF('BOBOT PEK'!V104&lt;$J$7,"CRITICAL",IF(I283+1&lt;H283,"DELAYED","ON SCHEDULE"))))</f>
        <v>DELAYED</v>
      </c>
      <c r="Q283" t="str">
        <f>IFERROR(IF(AND($A283=$B$8,'BOBOT PEK'!U104&lt;=$B$8,$B$8&lt;='BOBOT PEK'!V104),COUNTIFS($A$17:$A283,$B$8),""),"")</f>
        <v/>
      </c>
    </row>
    <row r="284" spans="1:17" ht="12.75" customHeight="1" x14ac:dyDescent="0.2">
      <c r="A284">
        <f>IFERROR(IF(COUNTIF($C$17:C284,C284)&lt;=('BOBOT PEK'!V105-'BOBOT PEK'!U105+1),'BOBOT PEK'!U105+COUNTIF($C$17:C284,C284)-1,0),0)</f>
        <v>8</v>
      </c>
      <c r="B284" t="str">
        <f>IFERROR(TEXT(INDEX('KALENDER MINGGU'!$B$6:$B$21,$A284),"dd/mm")&amp;" - "&amp;TEXT(INDEX('KALENDER MINGGU'!$C$6:$C$21,$A284),"dd/mm"),"")</f>
        <v>10/09 - 16/09</v>
      </c>
      <c r="C284" t="s">
        <v>485</v>
      </c>
      <c r="D284" t="str">
        <f>'BOBOT PEK'!C105</f>
        <v>Instalasi air bersih ke arah bengkel</v>
      </c>
      <c r="E284" s="241">
        <f>'BOBOT PEK'!J105</f>
        <v>0.14531567896356101</v>
      </c>
      <c r="F284">
        <f>100/('BOBOT PEK'!V105-'BOBOT PEK'!U105+1)</f>
        <v>14.285714285714286</v>
      </c>
      <c r="G284">
        <f t="shared" si="8"/>
        <v>2.0759382709080149E-2</v>
      </c>
      <c r="H284">
        <f>MIN(100,($A284-'BOBOT PEK'!U105+1)/('BOBOT PEK'!V105-'BOBOT PEK'!U105+1)*100)</f>
        <v>71.428571428571431</v>
      </c>
      <c r="I284">
        <f>IFERROR(SUM(INDEX(TS!$M:$AB,41,1):INDEX(TS!$M:$AB,41,$A284))/TS!$L$31*100,0)</f>
        <v>10.64703262263675</v>
      </c>
      <c r="J284">
        <f t="shared" si="9"/>
        <v>89.352967377363257</v>
      </c>
      <c r="O284" t="str">
        <f ca="1">IF(I284&gt;=99.9,"COMPLETED",IF('BOBOT PEK'!U105&gt;$J$7,"NOT STARTED",IF('BOBOT PEK'!V105&lt;$J$7,"CRITICAL",IF(I284+1&lt;H284,"DELAYED","ON SCHEDULE"))))</f>
        <v>DELAYED</v>
      </c>
      <c r="Q284" t="str">
        <f>IFERROR(IF(AND($A284=$B$8,'BOBOT PEK'!U105&lt;=$B$8,$B$8&lt;='BOBOT PEK'!V105),COUNTIFS($A$17:$A284,$B$8),""),"")</f>
        <v/>
      </c>
    </row>
    <row r="285" spans="1:17" ht="12.75" customHeight="1" x14ac:dyDescent="0.2">
      <c r="A285">
        <f>IFERROR(IF(COUNTIF($C$17:C285,C285)&lt;=('BOBOT PEK'!V110-'BOBOT PEK'!U110+1),'BOBOT PEK'!U110+COUNTIF($C$17:C285,C285)-1,0),0)</f>
        <v>8</v>
      </c>
      <c r="B285" t="str">
        <f>IFERROR(TEXT(INDEX('KALENDER MINGGU'!$B$6:$B$21,$A285),"dd/mm")&amp;" - "&amp;TEXT(INDEX('KALENDER MINGGU'!$C$6:$C$21,$A285),"dd/mm"),"")</f>
        <v>10/09 - 16/09</v>
      </c>
      <c r="C285" t="s">
        <v>486</v>
      </c>
      <c r="D285" t="str">
        <f>'BOBOT PEK'!C110</f>
        <v>Pemadatan dan peninggian lantai ex. Taman samping</v>
      </c>
      <c r="E285" s="241">
        <f>'BOBOT PEK'!J110</f>
        <v>0.51167492592803177</v>
      </c>
      <c r="F285">
        <f>100/('BOBOT PEK'!V110-'BOBOT PEK'!U110+1)</f>
        <v>16.666666666666668</v>
      </c>
      <c r="G285">
        <f t="shared" si="8"/>
        <v>8.5279154321338632E-2</v>
      </c>
      <c r="H285">
        <f>MIN(100,($A285-'BOBOT PEK'!U110+1)/('BOBOT PEK'!V110-'BOBOT PEK'!U110+1)*100)</f>
        <v>83.333333333333343</v>
      </c>
      <c r="I285">
        <f>IFERROR(SUM(INDEX(TS!$M:$AB,43,1):INDEX(TS!$M:$AB,43,$A285))/TS!$L$33*100,0)</f>
        <v>0</v>
      </c>
      <c r="J285">
        <f t="shared" si="9"/>
        <v>100</v>
      </c>
      <c r="O285" t="str">
        <f ca="1">IF(I285&gt;=99.9,"COMPLETED",IF('BOBOT PEK'!U110&gt;$J$7,"NOT STARTED",IF('BOBOT PEK'!V110&lt;$J$7,"CRITICAL",IF(I285+1&lt;H285,"DELAYED","ON SCHEDULE"))))</f>
        <v>CRITICAL</v>
      </c>
      <c r="Q285" t="str">
        <f>IFERROR(IF(AND($A285=$B$8,'BOBOT PEK'!U110&lt;=$B$8,$B$8&lt;='BOBOT PEK'!V110),COUNTIFS($A$17:$A285,$B$8),""),"")</f>
        <v/>
      </c>
    </row>
    <row r="286" spans="1:17" ht="12.75" customHeight="1" x14ac:dyDescent="0.2">
      <c r="A286">
        <f>IFERROR(IF(COUNTIF($C$17:C286,C286)&lt;=('BOBOT PEK'!V111-'BOBOT PEK'!U111+1),'BOBOT PEK'!U111+COUNTIF($C$17:C286,C286)-1,0),0)</f>
        <v>0</v>
      </c>
      <c r="B286" t="str">
        <f>IFERROR(TEXT(INDEX('KALENDER MINGGU'!$B$6:$B$21,$A286),"dd/mm")&amp;" - "&amp;TEXT(INDEX('KALENDER MINGGU'!$C$6:$C$21,$A286),"dd/mm"),"")</f>
        <v/>
      </c>
      <c r="C286" t="s">
        <v>487</v>
      </c>
      <c r="D286" t="str">
        <f>'BOBOT PEK'!C111</f>
        <v>Pembuatan garis kuning lebar 10cm</v>
      </c>
      <c r="E286" s="241">
        <f>'BOBOT PEK'!J111</f>
        <v>0.15222329046358946</v>
      </c>
      <c r="F286">
        <f>100/('BOBOT PEK'!V111-'BOBOT PEK'!U111+1)</f>
        <v>50</v>
      </c>
      <c r="G286">
        <f t="shared" si="8"/>
        <v>7.6111645231794728E-2</v>
      </c>
      <c r="H286">
        <f>MIN(100,($A286-'BOBOT PEK'!U111+1)/('BOBOT PEK'!V111-'BOBOT PEK'!U111+1)*100)</f>
        <v>-350</v>
      </c>
      <c r="I286">
        <f>IFERROR(SUM(INDEX(TS!$M:$AB,43,1):INDEX(TS!$M:$AB,43,$A286))/TS!$L$33*100,0)</f>
        <v>0</v>
      </c>
      <c r="J286">
        <f t="shared" si="9"/>
        <v>100</v>
      </c>
      <c r="O286" t="str">
        <f ca="1">IF(I286&gt;=99.9,"COMPLETED",IF('BOBOT PEK'!U111&gt;$J$7,"NOT STARTED",IF('BOBOT PEK'!V111&lt;$J$7,"CRITICAL",IF(I286+1&lt;H286,"DELAYED","ON SCHEDULE"))))</f>
        <v>CRITICAL</v>
      </c>
      <c r="Q286" t="str">
        <f>IFERROR(IF(AND($A286=$B$8,'BOBOT PEK'!U111&lt;=$B$8,$B$8&lt;='BOBOT PEK'!V111),COUNTIFS($A$17:$A286,$B$8),""),"")</f>
        <v/>
      </c>
    </row>
    <row r="287" spans="1:17" ht="12.75" customHeight="1" x14ac:dyDescent="0.2">
      <c r="A287">
        <f>IFERROR(IF(COUNTIF($C$17:C287,C287)&lt;=('BOBOT PEK'!V112-'BOBOT PEK'!U112+1),'BOBOT PEK'!U112+COUNTIF($C$17:C287,C287)-1,0),0)</f>
        <v>8</v>
      </c>
      <c r="B287" t="str">
        <f>IFERROR(TEXT(INDEX('KALENDER MINGGU'!$B$6:$B$21,$A287),"dd/mm")&amp;" - "&amp;TEXT(INDEX('KALENDER MINGGU'!$C$6:$C$21,$A287),"dd/mm"),"")</f>
        <v>10/09 - 16/09</v>
      </c>
      <c r="C287" t="s">
        <v>488</v>
      </c>
      <c r="D287" t="str">
        <f>'BOBOT PEK'!C112</f>
        <v>Pekerjaan got samping</v>
      </c>
      <c r="E287" s="241">
        <f>'BOBOT PEK'!J112</f>
        <v>0</v>
      </c>
      <c r="F287">
        <f>100/('BOBOT PEK'!V112-'BOBOT PEK'!U112+1)</f>
        <v>16.666666666666668</v>
      </c>
      <c r="G287">
        <f t="shared" si="8"/>
        <v>0</v>
      </c>
      <c r="H287">
        <f>MIN(100,($A287-'BOBOT PEK'!U112+1)/('BOBOT PEK'!V112-'BOBOT PEK'!U112+1)*100)</f>
        <v>83.333333333333343</v>
      </c>
      <c r="I287">
        <f>IFERROR(SUM(INDEX(TS!$M:$AB,43,1):INDEX(TS!$M:$AB,43,$A287))/TS!$L$33*100,0)</f>
        <v>0</v>
      </c>
      <c r="J287">
        <f t="shared" si="9"/>
        <v>100</v>
      </c>
      <c r="O287" t="str">
        <f ca="1">IF(I287&gt;=99.9,"COMPLETED",IF('BOBOT PEK'!U112&gt;$J$7,"NOT STARTED",IF('BOBOT PEK'!V112&lt;$J$7,"CRITICAL",IF(I287+1&lt;H287,"DELAYED","ON SCHEDULE"))))</f>
        <v>CRITICAL</v>
      </c>
      <c r="Q287" t="str">
        <f>IFERROR(IF(AND($A287=$B$8,'BOBOT PEK'!U112&lt;=$B$8,$B$8&lt;='BOBOT PEK'!V112),COUNTIFS($A$17:$A287,$B$8),""),"")</f>
        <v/>
      </c>
    </row>
    <row r="288" spans="1:17" ht="12.75" customHeight="1" x14ac:dyDescent="0.2">
      <c r="A288">
        <f>IFERROR(IF(COUNTIF($C$17:C288,C288)&lt;=('BOBOT PEK'!V113-'BOBOT PEK'!U113+1),'BOBOT PEK'!U113+COUNTIF($C$17:C288,C288)-1,0),0)</f>
        <v>8</v>
      </c>
      <c r="B288" t="str">
        <f>IFERROR(TEXT(INDEX('KALENDER MINGGU'!$B$6:$B$21,$A288),"dd/mm")&amp;" - "&amp;TEXT(INDEX('KALENDER MINGGU'!$C$6:$C$21,$A288),"dd/mm"),"")</f>
        <v>10/09 - 16/09</v>
      </c>
      <c r="C288" t="s">
        <v>489</v>
      </c>
      <c r="D288" t="str">
        <f>'BOBOT PEK'!C113</f>
        <v>Refinishing saluran</v>
      </c>
      <c r="E288" s="241">
        <f>'BOBOT PEK'!J113</f>
        <v>0.85193875167017286</v>
      </c>
      <c r="F288">
        <f>100/('BOBOT PEK'!V113-'BOBOT PEK'!U113+1)</f>
        <v>14.285714285714286</v>
      </c>
      <c r="G288">
        <f t="shared" si="8"/>
        <v>0.12170553595288186</v>
      </c>
      <c r="H288">
        <f>MIN(100,($A288-'BOBOT PEK'!U113+1)/('BOBOT PEK'!V113-'BOBOT PEK'!U113+1)*100)</f>
        <v>71.428571428571431</v>
      </c>
      <c r="I288">
        <f>IFERROR(SUM(INDEX(TS!$M:$AB,43,1):INDEX(TS!$M:$AB,43,$A288))/TS!$L$33*100,0)</f>
        <v>0</v>
      </c>
      <c r="J288">
        <f t="shared" si="9"/>
        <v>100</v>
      </c>
      <c r="O288" t="str">
        <f ca="1">IF(I288&gt;=99.9,"COMPLETED",IF('BOBOT PEK'!U113&gt;$J$7,"NOT STARTED",IF('BOBOT PEK'!V113&lt;$J$7,"CRITICAL",IF(I288+1&lt;H288,"DELAYED","ON SCHEDULE"))))</f>
        <v>DELAYED</v>
      </c>
      <c r="Q288" t="str">
        <f>IFERROR(IF(AND($A288=$B$8,'BOBOT PEK'!U113&lt;=$B$8,$B$8&lt;='BOBOT PEK'!V113),COUNTIFS($A$17:$A288,$B$8),""),"")</f>
        <v/>
      </c>
    </row>
    <row r="289" spans="1:17" ht="12.75" customHeight="1" x14ac:dyDescent="0.2">
      <c r="A289">
        <f>IFERROR(IF(COUNTIF($C$17:C289,C289)&lt;=('BOBOT PEK'!V114-'BOBOT PEK'!U114+1),'BOBOT PEK'!U114+COUNTIF($C$17:C289,C289)-1,0),0)</f>
        <v>8</v>
      </c>
      <c r="B289" t="str">
        <f>IFERROR(TEXT(INDEX('KALENDER MINGGU'!$B$6:$B$21,$A289),"dd/mm")&amp;" - "&amp;TEXT(INDEX('KALENDER MINGGU'!$C$6:$C$21,$A289),"dd/mm"),"")</f>
        <v>10/09 - 16/09</v>
      </c>
      <c r="C289" t="s">
        <v>490</v>
      </c>
      <c r="D289" t="str">
        <f>'BOBOT PEK'!C114</f>
        <v>Pembuatan dinding batu kali</v>
      </c>
      <c r="E289" s="241">
        <f>'BOBOT PEK'!J114</f>
        <v>0.61400991111363812</v>
      </c>
      <c r="F289">
        <f>100/('BOBOT PEK'!V114-'BOBOT PEK'!U114+1)</f>
        <v>14.285714285714286</v>
      </c>
      <c r="G289">
        <f t="shared" si="8"/>
        <v>8.7715701587662606E-2</v>
      </c>
      <c r="H289">
        <f>MIN(100,($A289-'BOBOT PEK'!U114+1)/('BOBOT PEK'!V114-'BOBOT PEK'!U114+1)*100)</f>
        <v>71.428571428571431</v>
      </c>
      <c r="I289">
        <f>IFERROR(SUM(INDEX(TS!$M:$AB,43,1):INDEX(TS!$M:$AB,43,$A289))/TS!$L$33*100,0)</f>
        <v>0</v>
      </c>
      <c r="J289">
        <f t="shared" si="9"/>
        <v>100</v>
      </c>
      <c r="O289" t="str">
        <f ca="1">IF(I289&gt;=99.9,"COMPLETED",IF('BOBOT PEK'!U114&gt;$J$7,"NOT STARTED",IF('BOBOT PEK'!V114&lt;$J$7,"CRITICAL",IF(I289+1&lt;H289,"DELAYED","ON SCHEDULE"))))</f>
        <v>DELAYED</v>
      </c>
      <c r="Q289" t="str">
        <f>IFERROR(IF(AND($A289=$B$8,'BOBOT PEK'!U114&lt;=$B$8,$B$8&lt;='BOBOT PEK'!V114),COUNTIFS($A$17:$A289,$B$8),""),"")</f>
        <v/>
      </c>
    </row>
    <row r="290" spans="1:17" ht="12.75" customHeight="1" x14ac:dyDescent="0.2">
      <c r="A290">
        <f>IFERROR(IF(COUNTIF($C$17:C290,C290)&lt;=('BOBOT PEK'!V125-'BOBOT PEK'!U125+1),'BOBOT PEK'!U125+COUNTIF($C$17:C290,C290)-1,0),0)</f>
        <v>8</v>
      </c>
      <c r="B290" t="str">
        <f>IFERROR(TEXT(INDEX('KALENDER MINGGU'!$B$6:$B$21,$A290),"dd/mm")&amp;" - "&amp;TEXT(INDEX('KALENDER MINGGU'!$C$6:$C$21,$A290),"dd/mm"),"")</f>
        <v>10/09 - 16/09</v>
      </c>
      <c r="C290" t="s">
        <v>495</v>
      </c>
      <c r="D290" t="str">
        <f>'BOBOT PEK'!C125</f>
        <v>pembuatan sumur resapan (biopori)</v>
      </c>
      <c r="E290" s="241">
        <f>'BOBOT PEK'!J125</f>
        <v>0.36840594666818283</v>
      </c>
      <c r="F290">
        <f>100/('BOBOT PEK'!V125-'BOBOT PEK'!U125+1)</f>
        <v>33.333333333333336</v>
      </c>
      <c r="G290">
        <f t="shared" si="8"/>
        <v>0.12280198222272762</v>
      </c>
      <c r="H290">
        <f>MIN(100,($A290-'BOBOT PEK'!U125+1)/('BOBOT PEK'!V125-'BOBOT PEK'!U125+1)*100)</f>
        <v>66.666666666666657</v>
      </c>
      <c r="I290">
        <f>IFERROR(SUM(INDEX(TS!$M:$AB,47,1):INDEX(TS!$M:$AB,47,$A290))/TS!$L$37*100,0)</f>
        <v>4.9656357388316152</v>
      </c>
      <c r="J290">
        <f t="shared" si="9"/>
        <v>95.034364261168378</v>
      </c>
      <c r="O290" t="str">
        <f ca="1">IF(I290&gt;=99.9,"COMPLETED",IF('BOBOT PEK'!U125&gt;$J$7,"NOT STARTED",IF('BOBOT PEK'!V125&lt;$J$7,"CRITICAL",IF(I290+1&lt;H290,"DELAYED","ON SCHEDULE"))))</f>
        <v>CRITICAL</v>
      </c>
      <c r="Q290" t="str">
        <f>IFERROR(IF(AND($A290=$B$8,'BOBOT PEK'!U125&lt;=$B$8,$B$8&lt;='BOBOT PEK'!V125),COUNTIFS($A$17:$A290,$B$8),""),"")</f>
        <v/>
      </c>
    </row>
    <row r="291" spans="1:17" ht="12.75" customHeight="1" x14ac:dyDescent="0.2">
      <c r="A291">
        <f>IFERROR(IF(COUNTIF($C$17:C291,C291)&lt;=('BOBOT PEK'!V132-'BOBOT PEK'!U132+1),'BOBOT PEK'!U132+COUNTIF($C$17:C291,C291)-1,0),0)</f>
        <v>9</v>
      </c>
      <c r="B291" t="str">
        <f>IFERROR(TEXT(INDEX('KALENDER MINGGU'!$B$6:$B$21,$A291),"dd/mm")&amp;" - "&amp;TEXT(INDEX('KALENDER MINGGU'!$C$6:$C$21,$A291),"dd/mm"),"")</f>
        <v>17/09 - 23/09</v>
      </c>
      <c r="C291" t="s">
        <v>500</v>
      </c>
      <c r="D291" t="str">
        <f>'BOBOT PEK'!C132</f>
        <v>Sudetan pembuangan air ke arah utara dan perapian saluran belakang</v>
      </c>
      <c r="E291" s="241">
        <f>'BOBOT PEK'!J132</f>
        <v>0.28142120926041747</v>
      </c>
      <c r="F291">
        <f>100/('BOBOT PEK'!V132-'BOBOT PEK'!U132+1)</f>
        <v>50</v>
      </c>
      <c r="G291">
        <f t="shared" si="8"/>
        <v>0.14071060463020874</v>
      </c>
      <c r="H291">
        <f>MIN(100,($A291-'BOBOT PEK'!U132+1)/('BOBOT PEK'!V132-'BOBOT PEK'!U132+1)*100)</f>
        <v>100</v>
      </c>
      <c r="I291">
        <f>IFERROR(SUM(INDEX(TS!$M:$AB,49,1):INDEX(TS!$M:$AB,49,$A291))/TS!$L$39*100,0)</f>
        <v>1121.4933333333333</v>
      </c>
      <c r="J291">
        <f t="shared" si="9"/>
        <v>0</v>
      </c>
      <c r="O291" t="str">
        <f>IF(I291&gt;=99.9,"COMPLETED",IF('BOBOT PEK'!U132&gt;$J$7,"NOT STARTED",IF('BOBOT PEK'!V132&lt;$J$7,"CRITICAL",IF(I291+1&lt;H291,"DELAYED","ON SCHEDULE"))))</f>
        <v>COMPLETED</v>
      </c>
      <c r="Q291" t="str">
        <f>IFERROR(IF(AND($A291=$B$8,'BOBOT PEK'!U132&lt;=$B$8,$B$8&lt;='BOBOT PEK'!V132),COUNTIFS($A$17:$A291,$B$8),""),"")</f>
        <v/>
      </c>
    </row>
    <row r="292" spans="1:17" ht="12.75" customHeight="1" x14ac:dyDescent="0.2">
      <c r="A292">
        <f>IFERROR(IF(COUNTIF($C$17:C292,C292)&lt;=('BOBOT PEK'!V136-'BOBOT PEK'!U136+1),'BOBOT PEK'!U136+COUNTIF($C$17:C292,C292)-1,0),0)</f>
        <v>8</v>
      </c>
      <c r="B292" t="str">
        <f>IFERROR(TEXT(INDEX('KALENDER MINGGU'!$B$6:$B$21,$A292),"dd/mm")&amp;" - "&amp;TEXT(INDEX('KALENDER MINGGU'!$C$6:$C$21,$A292),"dd/mm"),"")</f>
        <v>10/09 - 16/09</v>
      </c>
      <c r="C292" t="s">
        <v>502</v>
      </c>
      <c r="D292" t="str">
        <f>'BOBOT PEK'!C136</f>
        <v>Neon Box Artaboga Facade</v>
      </c>
      <c r="E292" s="241">
        <f>'BOBOT PEK'!J136</f>
        <v>0.47329930648342938</v>
      </c>
      <c r="F292">
        <f>100/('BOBOT PEK'!V136-'BOBOT PEK'!U136+1)</f>
        <v>25</v>
      </c>
      <c r="G292">
        <f t="shared" si="8"/>
        <v>0.11832482662085735</v>
      </c>
      <c r="H292">
        <f>MIN(100,($A292-'BOBOT PEK'!U136+1)/('BOBOT PEK'!V136-'BOBOT PEK'!U136+1)*100)</f>
        <v>50</v>
      </c>
      <c r="I292">
        <f>IFERROR(SUM(INDEX(TS!$M:$AB,51,1):INDEX(TS!$M:$AB,51,$A292))/TS!$L$41*100,0)</f>
        <v>0</v>
      </c>
      <c r="J292">
        <f t="shared" si="9"/>
        <v>100</v>
      </c>
      <c r="O292" t="str">
        <f ca="1">IF(I292&gt;=99.9,"COMPLETED",IF('BOBOT PEK'!U136&gt;$J$7,"NOT STARTED",IF('BOBOT PEK'!V136&lt;$J$7,"CRITICAL",IF(I292+1&lt;H292,"DELAYED","ON SCHEDULE"))))</f>
        <v>DELAYED</v>
      </c>
      <c r="Q292" t="str">
        <f>IFERROR(IF(AND($A292=$B$8,'BOBOT PEK'!U136&lt;=$B$8,$B$8&lt;='BOBOT PEK'!V136),COUNTIFS($A$17:$A292,$B$8),""),"")</f>
        <v/>
      </c>
    </row>
    <row r="293" spans="1:17" ht="12.75" customHeight="1" x14ac:dyDescent="0.2">
      <c r="A293">
        <f>IFERROR(IF(COUNTIF($C$17:C293,C293)&lt;=('BOBOT PEK'!V137-'BOBOT PEK'!U137+1),'BOBOT PEK'!U137+COUNTIF($C$17:C293,C293)-1,0),0)</f>
        <v>8</v>
      </c>
      <c r="B293" t="str">
        <f>IFERROR(TEXT(INDEX('KALENDER MINGGU'!$B$6:$B$21,$A293),"dd/mm")&amp;" - "&amp;TEXT(INDEX('KALENDER MINGGU'!$C$6:$C$21,$A293),"dd/mm"),"")</f>
        <v>10/09 - 16/09</v>
      </c>
      <c r="C293" t="s">
        <v>503</v>
      </c>
      <c r="D293" t="str">
        <f>'BOBOT PEK'!C137</f>
        <v>Huruf timbul dan logo backdrop 55 cm dan 27 cm "artaboga", akrilik warna, timbul 2 cm, dengan lampu</v>
      </c>
      <c r="E293" s="241">
        <f>'BOBOT PEK'!J137</f>
        <v>0.12536035685236779</v>
      </c>
      <c r="F293">
        <f>100/('BOBOT PEK'!V137-'BOBOT PEK'!U137+1)</f>
        <v>25</v>
      </c>
      <c r="G293">
        <f t="shared" si="8"/>
        <v>3.1340089213091948E-2</v>
      </c>
      <c r="H293">
        <f>MIN(100,($A293-'BOBOT PEK'!U137+1)/('BOBOT PEK'!V137-'BOBOT PEK'!U137+1)*100)</f>
        <v>50</v>
      </c>
      <c r="I293">
        <f>IFERROR(SUM(INDEX(TS!$M:$AB,51,1):INDEX(TS!$M:$AB,51,$A293))/TS!$L$41*100,0)</f>
        <v>0</v>
      </c>
      <c r="J293">
        <f t="shared" si="9"/>
        <v>100</v>
      </c>
      <c r="O293" t="str">
        <f ca="1">IF(I293&gt;=99.9,"COMPLETED",IF('BOBOT PEK'!U137&gt;$J$7,"NOT STARTED",IF('BOBOT PEK'!V137&lt;$J$7,"CRITICAL",IF(I293+1&lt;H293,"DELAYED","ON SCHEDULE"))))</f>
        <v>DELAYED</v>
      </c>
      <c r="Q293" t="str">
        <f>IFERROR(IF(AND($A293=$B$8,'BOBOT PEK'!U137&lt;=$B$8,$B$8&lt;='BOBOT PEK'!V137),COUNTIFS($A$17:$A293,$B$8),""),"")</f>
        <v/>
      </c>
    </row>
    <row r="294" spans="1:17" ht="12.75" customHeight="1" x14ac:dyDescent="0.2">
      <c r="A294">
        <f>IFERROR(IF(COUNTIF($C$17:C294,C294)&lt;=('BOBOT PEK'!V138-'BOBOT PEK'!U138+1),'BOBOT PEK'!U138+COUNTIF($C$17:C294,C294)-1,0),0)</f>
        <v>8</v>
      </c>
      <c r="B294" t="str">
        <f>IFERROR(TEXT(INDEX('KALENDER MINGGU'!$B$6:$B$21,$A294),"dd/mm")&amp;" - "&amp;TEXT(INDEX('KALENDER MINGGU'!$C$6:$C$21,$A294),"dd/mm"),"")</f>
        <v>10/09 - 16/09</v>
      </c>
      <c r="C294" t="s">
        <v>504</v>
      </c>
      <c r="D294" t="str">
        <f>'BOBOT PEK'!C138</f>
        <v>Jasa Pasang lokasi tinggi</v>
      </c>
      <c r="E294" s="241">
        <f>'BOBOT PEK'!J138</f>
        <v>3.1979682870501985E-2</v>
      </c>
      <c r="F294">
        <f>100/('BOBOT PEK'!V138-'BOBOT PEK'!U138+1)</f>
        <v>25</v>
      </c>
      <c r="G294">
        <f t="shared" si="8"/>
        <v>7.9949207176254963E-3</v>
      </c>
      <c r="H294">
        <f>MIN(100,($A294-'BOBOT PEK'!U138+1)/('BOBOT PEK'!V138-'BOBOT PEK'!U138+1)*100)</f>
        <v>50</v>
      </c>
      <c r="I294">
        <f>IFERROR(SUM(INDEX(TS!$M:$AB,51,1):INDEX(TS!$M:$AB,51,$A294))/TS!$L$41*100,0)</f>
        <v>0</v>
      </c>
      <c r="J294">
        <f t="shared" si="9"/>
        <v>100</v>
      </c>
      <c r="O294" t="str">
        <f ca="1">IF(I294&gt;=99.9,"COMPLETED",IF('BOBOT PEK'!U138&gt;$J$7,"NOT STARTED",IF('BOBOT PEK'!V138&lt;$J$7,"CRITICAL",IF(I294+1&lt;H294,"DELAYED","ON SCHEDULE"))))</f>
        <v>DELAYED</v>
      </c>
      <c r="Q294" t="str">
        <f>IFERROR(IF(AND($A294=$B$8,'BOBOT PEK'!U138&lt;=$B$8,$B$8&lt;='BOBOT PEK'!V138),COUNTIFS($A$17:$A294,$B$8),""),"")</f>
        <v/>
      </c>
    </row>
    <row r="295" spans="1:17" ht="12.75" customHeight="1" x14ac:dyDescent="0.2">
      <c r="A295">
        <f>IFERROR(IF(COUNTIF($C$17:C295,C295)&lt;=('BOBOT PEK'!V139-'BOBOT PEK'!U139+1),'BOBOT PEK'!U139+COUNTIF($C$17:C295,C295)-1,0),0)</f>
        <v>8</v>
      </c>
      <c r="B295" t="str">
        <f>IFERROR(TEXT(INDEX('KALENDER MINGGU'!$B$6:$B$21,$A295),"dd/mm")&amp;" - "&amp;TEXT(INDEX('KALENDER MINGGU'!$C$6:$C$21,$A295),"dd/mm"),"")</f>
        <v>10/09 - 16/09</v>
      </c>
      <c r="C295" t="s">
        <v>505</v>
      </c>
      <c r="D295" t="str">
        <f>'BOBOT PEK'!C139</f>
        <v>Backdrop WPC, Kombinasi wallboard marble</v>
      </c>
      <c r="E295" s="241">
        <f>'BOBOT PEK'!J139</f>
        <v>0.20722834500085285</v>
      </c>
      <c r="F295">
        <f>100/('BOBOT PEK'!V139-'BOBOT PEK'!U139+1)</f>
        <v>25</v>
      </c>
      <c r="G295">
        <f t="shared" si="8"/>
        <v>5.1807086250213213E-2</v>
      </c>
      <c r="H295">
        <f>MIN(100,($A295-'BOBOT PEK'!U139+1)/('BOBOT PEK'!V139-'BOBOT PEK'!U139+1)*100)</f>
        <v>50</v>
      </c>
      <c r="I295">
        <f>IFERROR(SUM(INDEX(TS!$M:$AB,51,1):INDEX(TS!$M:$AB,51,$A295))/TS!$L$41*100,0)</f>
        <v>0</v>
      </c>
      <c r="J295">
        <f t="shared" si="9"/>
        <v>100</v>
      </c>
      <c r="O295" t="str">
        <f ca="1">IF(I295&gt;=99.9,"COMPLETED",IF('BOBOT PEK'!U139&gt;$J$7,"NOT STARTED",IF('BOBOT PEK'!V139&lt;$J$7,"CRITICAL",IF(I295+1&lt;H295,"DELAYED","ON SCHEDULE"))))</f>
        <v>DELAYED</v>
      </c>
      <c r="Q295" t="str">
        <f>IFERROR(IF(AND($A295=$B$8,'BOBOT PEK'!U139&lt;=$B$8,$B$8&lt;='BOBOT PEK'!V139),COUNTIFS($A$17:$A295,$B$8),""),"")</f>
        <v/>
      </c>
    </row>
    <row r="296" spans="1:17" ht="12.75" customHeight="1" x14ac:dyDescent="0.2">
      <c r="A296">
        <f>IFERROR(IF(COUNTIF($C$17:C296,C296)&lt;=('BOBOT PEK'!V140-'BOBOT PEK'!U140+1),'BOBOT PEK'!U140+COUNTIF($C$17:C296,C296)-1,0),0)</f>
        <v>8</v>
      </c>
      <c r="B296" t="str">
        <f>IFERROR(TEXT(INDEX('KALENDER MINGGU'!$B$6:$B$21,$A296),"dd/mm")&amp;" - "&amp;TEXT(INDEX('KALENDER MINGGU'!$C$6:$C$21,$A296),"dd/mm"),"")</f>
        <v>10/09 - 16/09</v>
      </c>
      <c r="C296" t="s">
        <v>506</v>
      </c>
      <c r="D296" t="str">
        <f>'BOBOT PEK'!C140</f>
        <v>Repair meja receptionist, lapis hpl, spek taco</v>
      </c>
      <c r="E296" s="241">
        <f>'BOBOT PEK'!J140</f>
        <v>0.1662943509266103</v>
      </c>
      <c r="F296">
        <f>100/('BOBOT PEK'!V140-'BOBOT PEK'!U140+1)</f>
        <v>25</v>
      </c>
      <c r="G296">
        <f t="shared" si="8"/>
        <v>4.1573587731652574E-2</v>
      </c>
      <c r="H296">
        <f>MIN(100,($A296-'BOBOT PEK'!U140+1)/('BOBOT PEK'!V140-'BOBOT PEK'!U140+1)*100)</f>
        <v>50</v>
      </c>
      <c r="I296">
        <f>IFERROR(SUM(INDEX(TS!$M:$AB,51,1):INDEX(TS!$M:$AB,51,$A296))/TS!$L$41*100,0)</f>
        <v>0</v>
      </c>
      <c r="J296">
        <f t="shared" si="9"/>
        <v>100</v>
      </c>
      <c r="O296" t="str">
        <f ca="1">IF(I296&gt;=99.9,"COMPLETED",IF('BOBOT PEK'!U140&gt;$J$7,"NOT STARTED",IF('BOBOT PEK'!V140&lt;$J$7,"CRITICAL",IF(I296+1&lt;H296,"DELAYED","ON SCHEDULE"))))</f>
        <v>DELAYED</v>
      </c>
      <c r="Q296" t="str">
        <f>IFERROR(IF(AND($A296=$B$8,'BOBOT PEK'!U140&lt;=$B$8,$B$8&lt;='BOBOT PEK'!V140),COUNTIFS($A$17:$A296,$B$8),""),"")</f>
        <v/>
      </c>
    </row>
    <row r="297" spans="1:17" ht="12.75" customHeight="1" x14ac:dyDescent="0.2">
      <c r="A297">
        <f>IFERROR(IF(COUNTIF($C$17:C297,C297)&lt;=('BOBOT PEK'!V141-'BOBOT PEK'!U141+1),'BOBOT PEK'!U141+COUNTIF($C$17:C297,C297)-1,0),0)</f>
        <v>8</v>
      </c>
      <c r="B297" t="str">
        <f>IFERROR(TEXT(INDEX('KALENDER MINGGU'!$B$6:$B$21,$A297),"dd/mm")&amp;" - "&amp;TEXT(INDEX('KALENDER MINGGU'!$C$6:$C$21,$A297),"dd/mm"),"")</f>
        <v>10/09 - 16/09</v>
      </c>
      <c r="C297" t="s">
        <v>507</v>
      </c>
      <c r="D297" t="str">
        <f>'BOBOT PEK'!C141</f>
        <v>Repair lemari bawah tangga, lapis hpl, spek taco</v>
      </c>
      <c r="E297" s="241">
        <f>'BOBOT PEK'!J141</f>
        <v>0.12791873148200794</v>
      </c>
      <c r="F297">
        <f>100/('BOBOT PEK'!V141-'BOBOT PEK'!U141+1)</f>
        <v>25</v>
      </c>
      <c r="G297">
        <f t="shared" si="8"/>
        <v>3.1979682870501985E-2</v>
      </c>
      <c r="H297">
        <f>MIN(100,($A297-'BOBOT PEK'!U141+1)/('BOBOT PEK'!V141-'BOBOT PEK'!U141+1)*100)</f>
        <v>50</v>
      </c>
      <c r="I297">
        <f>IFERROR(SUM(INDEX(TS!$M:$AB,51,1):INDEX(TS!$M:$AB,51,$A297))/TS!$L$41*100,0)</f>
        <v>0</v>
      </c>
      <c r="J297">
        <f t="shared" si="9"/>
        <v>100</v>
      </c>
      <c r="O297" t="str">
        <f ca="1">IF(I297&gt;=99.9,"COMPLETED",IF('BOBOT PEK'!U141&gt;$J$7,"NOT STARTED",IF('BOBOT PEK'!V141&lt;$J$7,"CRITICAL",IF(I297+1&lt;H297,"DELAYED","ON SCHEDULE"))))</f>
        <v>DELAYED</v>
      </c>
      <c r="Q297" t="str">
        <f>IFERROR(IF(AND($A297=$B$8,'BOBOT PEK'!U141&lt;=$B$8,$B$8&lt;='BOBOT PEK'!V141),COUNTIFS($A$17:$A297,$B$8),""),"")</f>
        <v/>
      </c>
    </row>
    <row r="298" spans="1:17" ht="12.75" customHeight="1" x14ac:dyDescent="0.2">
      <c r="A298">
        <f>IFERROR(IF(COUNTIF($C$17:C298,C298)&lt;=('BOBOT PEK'!V142-'BOBOT PEK'!U142+1),'BOBOT PEK'!U142+COUNTIF($C$17:C298,C298)-1,0),0)</f>
        <v>8</v>
      </c>
      <c r="B298" t="str">
        <f>IFERROR(TEXT(INDEX('KALENDER MINGGU'!$B$6:$B$21,$A298),"dd/mm")&amp;" - "&amp;TEXT(INDEX('KALENDER MINGGU'!$C$6:$C$21,$A298),"dd/mm"),"")</f>
        <v>10/09 - 16/09</v>
      </c>
      <c r="C298" t="s">
        <v>508</v>
      </c>
      <c r="D298" t="str">
        <f>'BOBOT PEK'!C142</f>
        <v>Neon Box 140 x 30 cm</v>
      </c>
      <c r="E298" s="241">
        <f>'BOBOT PEK'!J142</f>
        <v>0.21106590694531308</v>
      </c>
      <c r="F298">
        <f>100/('BOBOT PEK'!V142-'BOBOT PEK'!U142+1)</f>
        <v>25</v>
      </c>
      <c r="G298">
        <f t="shared" si="8"/>
        <v>5.2766476736328269E-2</v>
      </c>
      <c r="H298">
        <f>MIN(100,($A298-'BOBOT PEK'!U142+1)/('BOBOT PEK'!V142-'BOBOT PEK'!U142+1)*100)</f>
        <v>50</v>
      </c>
      <c r="I298">
        <f>IFERROR(SUM(INDEX(TS!$M:$AB,51,1):INDEX(TS!$M:$AB,51,$A298))/TS!$L$41*100,0)</f>
        <v>0</v>
      </c>
      <c r="J298">
        <f t="shared" si="9"/>
        <v>100</v>
      </c>
      <c r="O298" t="str">
        <f ca="1">IF(I298&gt;=99.9,"COMPLETED",IF('BOBOT PEK'!U142&gt;$J$7,"NOT STARTED",IF('BOBOT PEK'!V142&lt;$J$7,"CRITICAL",IF(I298+1&lt;H298,"DELAYED","ON SCHEDULE"))))</f>
        <v>DELAYED</v>
      </c>
      <c r="Q298" t="str">
        <f>IFERROR(IF(AND($A298=$B$8,'BOBOT PEK'!U142&lt;=$B$8,$B$8&lt;='BOBOT PEK'!V142),COUNTIFS($A$17:$A298,$B$8),""),"")</f>
        <v/>
      </c>
    </row>
    <row r="299" spans="1:17" ht="12.75" customHeight="1" x14ac:dyDescent="0.2">
      <c r="A299">
        <f>IFERROR(IF(COUNTIF($C$17:C299,C299)&lt;=('BOBOT PEK'!V143-'BOBOT PEK'!U143+1),'BOBOT PEK'!U143+COUNTIF($C$17:C299,C299)-1,0),0)</f>
        <v>8</v>
      </c>
      <c r="B299" t="str">
        <f>IFERROR(TEXT(INDEX('KALENDER MINGGU'!$B$6:$B$21,$A299),"dd/mm")&amp;" - "&amp;TEXT(INDEX('KALENDER MINGGU'!$C$6:$C$21,$A299),"dd/mm"),"")</f>
        <v>10/09 - 16/09</v>
      </c>
      <c r="C299" t="s">
        <v>509</v>
      </c>
      <c r="D299" t="str">
        <f>'BOBOT PEK'!C143</f>
        <v xml:space="preserve">Cover Meja kantor </v>
      </c>
      <c r="E299" s="241">
        <f>'BOBOT PEK'!J143</f>
        <v>0.17959789900073914</v>
      </c>
      <c r="F299">
        <f>100/('BOBOT PEK'!V143-'BOBOT PEK'!U143+1)</f>
        <v>25</v>
      </c>
      <c r="G299">
        <f t="shared" si="8"/>
        <v>4.4899474750184784E-2</v>
      </c>
      <c r="H299">
        <f>MIN(100,($A299-'BOBOT PEK'!U143+1)/('BOBOT PEK'!V143-'BOBOT PEK'!U143+1)*100)</f>
        <v>50</v>
      </c>
      <c r="I299">
        <f>IFERROR(SUM(INDEX(TS!$M:$AB,51,1):INDEX(TS!$M:$AB,51,$A299))/TS!$L$41*100,0)</f>
        <v>0</v>
      </c>
      <c r="J299">
        <f t="shared" si="9"/>
        <v>100</v>
      </c>
      <c r="O299" t="str">
        <f ca="1">IF(I299&gt;=99.9,"COMPLETED",IF('BOBOT PEK'!U143&gt;$J$7,"NOT STARTED",IF('BOBOT PEK'!V143&lt;$J$7,"CRITICAL",IF(I299+1&lt;H299,"DELAYED","ON SCHEDULE"))))</f>
        <v>DELAYED</v>
      </c>
      <c r="Q299" t="str">
        <f>IFERROR(IF(AND($A299=$B$8,'BOBOT PEK'!U143&lt;=$B$8,$B$8&lt;='BOBOT PEK'!V143),COUNTIFS($A$17:$A299,$B$8),""),"")</f>
        <v/>
      </c>
    </row>
    <row r="300" spans="1:17" ht="12.75" customHeight="1" x14ac:dyDescent="0.2">
      <c r="A300">
        <f>IFERROR(IF(COUNTIF($C$17:C300,C300)&lt;=('BOBOT PEK'!V220-'BOBOT PEK'!U220+1),'BOBOT PEK'!U220+COUNTIF($C$17:C300,C300)-1,0),0)</f>
        <v>7</v>
      </c>
      <c r="B300" t="str">
        <f>IFERROR(TEXT(INDEX('KALENDER MINGGU'!$B$6:$B$21,$A300),"dd/mm")&amp;" - "&amp;TEXT(INDEX('KALENDER MINGGU'!$C$6:$C$21,$A300),"dd/mm"),"")</f>
        <v>03/09 - 09/09</v>
      </c>
      <c r="C300" t="s">
        <v>537</v>
      </c>
      <c r="D300" t="str">
        <f>'BOBOT PEK'!C220</f>
        <v>Cor lantai 8cm</v>
      </c>
      <c r="E300" s="241">
        <f>'BOBOT PEK'!J220</f>
        <v>0.49120792889091047</v>
      </c>
      <c r="F300">
        <f>100/('BOBOT PEK'!V220-'BOBOT PEK'!U220+1)</f>
        <v>33.333333333333336</v>
      </c>
      <c r="G300">
        <f t="shared" si="8"/>
        <v>0.16373597629697018</v>
      </c>
      <c r="H300">
        <f>MIN(100,($A300-'BOBOT PEK'!U220+1)/('BOBOT PEK'!V220-'BOBOT PEK'!U220+1)*100)</f>
        <v>66.666666666666657</v>
      </c>
      <c r="I300">
        <f>IFERROR(SUM(INDEX(TS!$M:$AB,63,1):INDEX(TS!$M:$AB,63,$A300))/TS!$L$53*100,0)</f>
        <v>0</v>
      </c>
      <c r="J300">
        <f t="shared" si="9"/>
        <v>100</v>
      </c>
      <c r="O300" t="str">
        <f ca="1">IF(I300&gt;=99.9,"COMPLETED",IF('BOBOT PEK'!U220&gt;$J$7,"NOT STARTED",IF('BOBOT PEK'!V220&lt;$J$7,"CRITICAL",IF(I300+1&lt;H300,"DELAYED","ON SCHEDULE"))))</f>
        <v>CRITICAL</v>
      </c>
      <c r="Q300" t="str">
        <f>IFERROR(IF(AND($A300=$B$8,'BOBOT PEK'!U220&lt;=$B$8,$B$8&lt;='BOBOT PEK'!V220),COUNTIFS($A$17:$A300,$B$8),""),"")</f>
        <v/>
      </c>
    </row>
    <row r="301" spans="1:17" ht="12.75" customHeight="1" x14ac:dyDescent="0.2">
      <c r="A301">
        <f>IFERROR(IF(COUNTIF($C$17:C301,C301)&lt;=('BOBOT PEK'!V221-'BOBOT PEK'!U221+1),'BOBOT PEK'!U221+COUNTIF($C$17:C301,C301)-1,0),0)</f>
        <v>7</v>
      </c>
      <c r="B301" t="str">
        <f>IFERROR(TEXT(INDEX('KALENDER MINGGU'!$B$6:$B$21,$A301),"dd/mm")&amp;" - "&amp;TEXT(INDEX('KALENDER MINGGU'!$C$6:$C$21,$A301),"dd/mm"),"")</f>
        <v>03/09 - 09/09</v>
      </c>
      <c r="C301" t="s">
        <v>538</v>
      </c>
      <c r="D301" t="str">
        <f>'BOBOT PEK'!C221</f>
        <v>bekesting</v>
      </c>
      <c r="E301" s="241">
        <f>'BOBOT PEK'!J221</f>
        <v>3.3258870185322066E-2</v>
      </c>
      <c r="F301">
        <f>100/('BOBOT PEK'!V221-'BOBOT PEK'!U221+1)</f>
        <v>25</v>
      </c>
      <c r="G301">
        <f t="shared" si="8"/>
        <v>8.3147175463305165E-3</v>
      </c>
      <c r="H301">
        <f>MIN(100,($A301-'BOBOT PEK'!U221+1)/('BOBOT PEK'!V221-'BOBOT PEK'!U221+1)*100)</f>
        <v>75</v>
      </c>
      <c r="I301">
        <f>IFERROR(SUM(INDEX(TS!$M:$AB,63,1):INDEX(TS!$M:$AB,63,$A301))/TS!$L$53*100,0)</f>
        <v>0</v>
      </c>
      <c r="J301">
        <f t="shared" si="9"/>
        <v>100</v>
      </c>
      <c r="O301" t="str">
        <f ca="1">IF(I301&gt;=99.9,"COMPLETED",IF('BOBOT PEK'!U221&gt;$J$7,"NOT STARTED",IF('BOBOT PEK'!V221&lt;$J$7,"CRITICAL",IF(I301+1&lt;H301,"DELAYED","ON SCHEDULE"))))</f>
        <v>CRITICAL</v>
      </c>
      <c r="Q301" t="str">
        <f>IFERROR(IF(AND($A301=$B$8,'BOBOT PEK'!U221&lt;=$B$8,$B$8&lt;='BOBOT PEK'!V221),COUNTIFS($A$17:$A301,$B$8),""),"")</f>
        <v/>
      </c>
    </row>
    <row r="302" spans="1:17" ht="23.25" customHeight="1" x14ac:dyDescent="0.2">
      <c r="A302">
        <f>IFERROR(IF(COUNTIF($C$17:C302,C302)&lt;=('BOBOT PEK'!V222-'BOBOT PEK'!U222+1),'BOBOT PEK'!U222+COUNTIF($C$17:C302,C302)-1,0),0)</f>
        <v>7</v>
      </c>
      <c r="B302" t="str">
        <f>IFERROR(TEXT(INDEX('KALENDER MINGGU'!$B$6:$B$21,$A302),"dd/mm")&amp;" - "&amp;TEXT(INDEX('KALENDER MINGGU'!$C$6:$C$21,$A302),"dd/mm"),"")</f>
        <v>03/09 - 09/09</v>
      </c>
      <c r="C302" t="s">
        <v>539</v>
      </c>
      <c r="D302" s="228" t="str">
        <f>'BOBOT PEK'!C222</f>
        <v>sloof
rolag bata</v>
      </c>
      <c r="E302" s="241">
        <f>'BOBOT PEK'!J222</f>
        <v>1.5299080285248149E-2</v>
      </c>
      <c r="F302">
        <f>100/('BOBOT PEK'!V222-'BOBOT PEK'!U222+1)</f>
        <v>25</v>
      </c>
      <c r="G302">
        <f t="shared" si="8"/>
        <v>3.8247700713120373E-3</v>
      </c>
      <c r="H302">
        <f>MIN(100,($A302-'BOBOT PEK'!U222+1)/('BOBOT PEK'!V222-'BOBOT PEK'!U222+1)*100)</f>
        <v>75</v>
      </c>
      <c r="I302">
        <f>IFERROR(SUM(INDEX(TS!$M:$AB,63,1):INDEX(TS!$M:$AB,63,$A302))/TS!$L$53*100,0)</f>
        <v>0</v>
      </c>
      <c r="J302">
        <f t="shared" si="9"/>
        <v>100</v>
      </c>
      <c r="O302" t="str">
        <f ca="1">IF(I302&gt;=99.9,"COMPLETED",IF('BOBOT PEK'!U222&gt;$J$7,"NOT STARTED",IF('BOBOT PEK'!V222&lt;$J$7,"CRITICAL",IF(I302+1&lt;H302,"DELAYED","ON SCHEDULE"))))</f>
        <v>CRITICAL</v>
      </c>
      <c r="Q302" t="str">
        <f>IFERROR(IF(AND($A302=$B$8,'BOBOT PEK'!U222&lt;=$B$8,$B$8&lt;='BOBOT PEK'!V222),COUNTIFS($A$17:$A302,$B$8),""),"")</f>
        <v/>
      </c>
    </row>
    <row r="303" spans="1:17" ht="12.75" customHeight="1" x14ac:dyDescent="0.2">
      <c r="A303">
        <f>IFERROR(IF(COUNTIF($C$17:C303,C303)&lt;=('BOBOT PEK'!V225-'BOBOT PEK'!U225+1),'BOBOT PEK'!U225+COUNTIF($C$17:C303,C303)-1,0),0)</f>
        <v>6</v>
      </c>
      <c r="B303" t="str">
        <f>IFERROR(TEXT(INDEX('KALENDER MINGGU'!$B$6:$B$21,$A303),"dd/mm")&amp;" - "&amp;TEXT(INDEX('KALENDER MINGGU'!$C$6:$C$21,$A303),"dd/mm"),"")</f>
        <v>27/08 - 02/09</v>
      </c>
      <c r="C303" t="s">
        <v>541</v>
      </c>
      <c r="D303" t="str">
        <f>'BOBOT PEK'!C225</f>
        <v>Kolom tipe 1CNP 150 double</v>
      </c>
      <c r="E303" s="241">
        <f>'BOBOT PEK'!J225</f>
        <v>0.17192277511181867</v>
      </c>
      <c r="F303">
        <f>100/('BOBOT PEK'!V225-'BOBOT PEK'!U225+1)</f>
        <v>25</v>
      </c>
      <c r="G303">
        <f t="shared" si="8"/>
        <v>4.2980693777954666E-2</v>
      </c>
      <c r="H303">
        <f>MIN(100,($A303-'BOBOT PEK'!U225+1)/('BOBOT PEK'!V225-'BOBOT PEK'!U225+1)*100)</f>
        <v>50</v>
      </c>
      <c r="I303">
        <f>IFERROR(SUM(INDEX(TS!$M:$AB,65,1):INDEX(TS!$M:$AB,65,$A303))/TS!$L$55*100,0)</f>
        <v>0</v>
      </c>
      <c r="J303">
        <f t="shared" si="9"/>
        <v>100</v>
      </c>
      <c r="O303" t="str">
        <f ca="1">IF(I303&gt;=99.9,"COMPLETED",IF('BOBOT PEK'!U225&gt;$J$7,"NOT STARTED",IF('BOBOT PEK'!V225&lt;$J$7,"CRITICAL",IF(I303+1&lt;H303,"DELAYED","ON SCHEDULE"))))</f>
        <v>CRITICAL</v>
      </c>
      <c r="Q303">
        <f>IFERROR(IF(AND($A303=$B$8,'BOBOT PEK'!U225&lt;=$B$8,$B$8&lt;='BOBOT PEK'!V225),COUNTIFS($A$17:$A303,$B$8),""),"")</f>
        <v>28</v>
      </c>
    </row>
    <row r="304" spans="1:17" ht="12.75" customHeight="1" x14ac:dyDescent="0.2">
      <c r="A304">
        <f>IFERROR(IF(COUNTIF($C$17:C304,C304)&lt;=('BOBOT PEK'!V16-'BOBOT PEK'!U16+1),'BOBOT PEK'!U16+COUNTIF($C$17:C304,C304)-1,0),0)</f>
        <v>0</v>
      </c>
      <c r="B304" t="str">
        <f>IFERROR(TEXT(INDEX('KALENDER MINGGU'!$B$6:$B$21,$A304),"dd/mm")&amp;" - "&amp;TEXT(INDEX('KALENDER MINGGU'!$C$6:$C$21,$A304),"dd/mm"),"")</f>
        <v/>
      </c>
      <c r="C304" t="s">
        <v>423</v>
      </c>
      <c r="D304" t="str">
        <f>'BOBOT PEK'!C16</f>
        <v>Pekerjaan Bak Kontrol</v>
      </c>
      <c r="E304" s="241">
        <f>'BOBOT PEK'!J16</f>
        <v>6.6517740370644132E-2</v>
      </c>
      <c r="F304">
        <f>100/('BOBOT PEK'!V16-'BOBOT PEK'!U16+1)</f>
        <v>33.333333333333336</v>
      </c>
      <c r="G304">
        <f t="shared" si="8"/>
        <v>2.2172580123548048E-2</v>
      </c>
      <c r="H304">
        <f>MIN(100,($A304-'BOBOT PEK'!U16+1)/('BOBOT PEK'!V16-'BOBOT PEK'!U16+1)*100)</f>
        <v>-200</v>
      </c>
      <c r="I304">
        <f>IFERROR(SUM(INDEX(TS!$M:$AB,25,1):INDEX(TS!$M:$AB,25,$A304))/TS!$L$15*100,0)</f>
        <v>6.3585114450039812</v>
      </c>
      <c r="J304">
        <f t="shared" si="9"/>
        <v>93.641488554996016</v>
      </c>
      <c r="O304" t="str">
        <f ca="1">IF(I304&gt;=99.9,"COMPLETED",IF('BOBOT PEK'!U16&gt;$J$7,"NOT STARTED",IF('BOBOT PEK'!V16&lt;$J$7,"CRITICAL",IF(I304+1&lt;H304,"DELAYED","ON SCHEDULE"))))</f>
        <v>CRITICAL</v>
      </c>
      <c r="Q304" t="str">
        <f>IFERROR(IF(AND($A304=$B$8,'BOBOT PEK'!U16&lt;=$B$8,$B$8&lt;='BOBOT PEK'!V16),COUNTIFS($A$17:$A304,$B$8),""),"")</f>
        <v/>
      </c>
    </row>
    <row r="305" spans="1:17" ht="12.75" customHeight="1" x14ac:dyDescent="0.2">
      <c r="A305">
        <f>IFERROR(IF(COUNTIF($C$17:C305,C305)&lt;=('BOBOT PEK'!V17-'BOBOT PEK'!U17+1),'BOBOT PEK'!U17+COUNTIF($C$17:C305,C305)-1,0),0)</f>
        <v>0</v>
      </c>
      <c r="B305" t="str">
        <f>IFERROR(TEXT(INDEX('KALENDER MINGGU'!$B$6:$B$21,$A305),"dd/mm")&amp;" - "&amp;TEXT(INDEX('KALENDER MINGGU'!$C$6:$C$21,$A305),"dd/mm"),"")</f>
        <v/>
      </c>
      <c r="C305" t="s">
        <v>424</v>
      </c>
      <c r="D305" t="str">
        <f>'BOBOT PEK'!C17</f>
        <v>Pasang aluminium bubble dibawah atap+plat strip</v>
      </c>
      <c r="E305" s="241">
        <f>'BOBOT PEK'!J17</f>
        <v>8.8263924722585472</v>
      </c>
      <c r="F305">
        <f>100/('BOBOT PEK'!V17-'BOBOT PEK'!U17+1)</f>
        <v>25</v>
      </c>
      <c r="G305">
        <f t="shared" si="8"/>
        <v>2.2065981180646368</v>
      </c>
      <c r="H305">
        <f>MIN(100,($A305-'BOBOT PEK'!U17+1)/('BOBOT PEK'!V17-'BOBOT PEK'!U17+1)*100)</f>
        <v>-125</v>
      </c>
      <c r="I305">
        <f>IFERROR(SUM(INDEX(TS!$M:$AB,25,1):INDEX(TS!$M:$AB,25,$A305))/TS!$L$15*100,0)</f>
        <v>6.3585114450039812</v>
      </c>
      <c r="J305">
        <f t="shared" si="9"/>
        <v>93.641488554996016</v>
      </c>
      <c r="O305" t="str">
        <f ca="1">IF(I305&gt;=99.9,"COMPLETED",IF('BOBOT PEK'!U17&gt;$J$7,"NOT STARTED",IF('BOBOT PEK'!V17&lt;$J$7,"CRITICAL",IF(I305+1&lt;H305,"DELAYED","ON SCHEDULE"))))</f>
        <v>CRITICAL</v>
      </c>
      <c r="Q305" t="str">
        <f>IFERROR(IF(AND($A305=$B$8,'BOBOT PEK'!U17&lt;=$B$8,$B$8&lt;='BOBOT PEK'!V17),COUNTIFS($A$17:$A305,$B$8),""),"")</f>
        <v/>
      </c>
    </row>
    <row r="306" spans="1:17" ht="12.75" customHeight="1" x14ac:dyDescent="0.2">
      <c r="A306">
        <f>IFERROR(IF(COUNTIF($C$17:C306,C306)&lt;=('BOBOT PEK'!V18-'BOBOT PEK'!U18+1),'BOBOT PEK'!U18+COUNTIF($C$17:C306,C306)-1,0),0)</f>
        <v>0</v>
      </c>
      <c r="B306" t="str">
        <f>IFERROR(TEXT(INDEX('KALENDER MINGGU'!$B$6:$B$21,$A306),"dd/mm")&amp;" - "&amp;TEXT(INDEX('KALENDER MINGGU'!$C$6:$C$21,$A306),"dd/mm"),"")</f>
        <v/>
      </c>
      <c r="C306" t="s">
        <v>425</v>
      </c>
      <c r="D306" t="str">
        <f>'BOBOT PEK'!C18</f>
        <v>Pekerjaan finishing cat sisi luar samping dan belakang</v>
      </c>
      <c r="E306" s="241">
        <f>'BOBOT PEK'!J18</f>
        <v>1.8094104568130023</v>
      </c>
      <c r="F306">
        <f>100/('BOBOT PEK'!V18-'BOBOT PEK'!U18+1)</f>
        <v>33.333333333333336</v>
      </c>
      <c r="G306">
        <f t="shared" si="8"/>
        <v>0.60313681893766746</v>
      </c>
      <c r="H306">
        <f>MIN(100,($A306-'BOBOT PEK'!U18+1)/('BOBOT PEK'!V18-'BOBOT PEK'!U18+1)*100)</f>
        <v>-200</v>
      </c>
      <c r="I306">
        <f>IFERROR(SUM(INDEX(TS!$M:$AB,25,1):INDEX(TS!$M:$AB,25,$A306))/TS!$L$15*100,0)</f>
        <v>6.3585114450039812</v>
      </c>
      <c r="J306">
        <f t="shared" si="9"/>
        <v>93.641488554996016</v>
      </c>
      <c r="O306" t="str">
        <f ca="1">IF(I306&gt;=99.9,"COMPLETED",IF('BOBOT PEK'!U18&gt;$J$7,"NOT STARTED",IF('BOBOT PEK'!V18&lt;$J$7,"CRITICAL",IF(I306+1&lt;H306,"DELAYED","ON SCHEDULE"))))</f>
        <v>CRITICAL</v>
      </c>
      <c r="Q306" t="str">
        <f>IFERROR(IF(AND($A306=$B$8,'BOBOT PEK'!U18&lt;=$B$8,$B$8&lt;='BOBOT PEK'!V18),COUNTIFS($A$17:$A306,$B$8),""),"")</f>
        <v/>
      </c>
    </row>
    <row r="307" spans="1:17" ht="12.75" customHeight="1" x14ac:dyDescent="0.2">
      <c r="A307">
        <f>IFERROR(IF(COUNTIF($C$17:C307,C307)&lt;=('BOBOT PEK'!V19-'BOBOT PEK'!U19+1),'BOBOT PEK'!U19+COUNTIF($C$17:C307,C307)-1,0),0)</f>
        <v>0</v>
      </c>
      <c r="B307" t="str">
        <f>IFERROR(TEXT(INDEX('KALENDER MINGGU'!$B$6:$B$21,$A307),"dd/mm")&amp;" - "&amp;TEXT(INDEX('KALENDER MINGGU'!$C$6:$C$21,$A307),"dd/mm"),"")</f>
        <v/>
      </c>
      <c r="C307" t="s">
        <v>426</v>
      </c>
      <c r="D307" t="str">
        <f>'BOBOT PEK'!C19</f>
        <v>Pasang turbin ventilator 32"</v>
      </c>
      <c r="E307" s="241">
        <f>'BOBOT PEK'!J19</f>
        <v>1.1512685833380714</v>
      </c>
      <c r="F307">
        <f>100/('BOBOT PEK'!V19-'BOBOT PEK'!U19+1)</f>
        <v>33.333333333333336</v>
      </c>
      <c r="G307">
        <f t="shared" si="8"/>
        <v>0.38375619444602382</v>
      </c>
      <c r="H307">
        <f>MIN(100,($A307-'BOBOT PEK'!U19+1)/('BOBOT PEK'!V19-'BOBOT PEK'!U19+1)*100)</f>
        <v>-200</v>
      </c>
      <c r="I307">
        <f>IFERROR(SUM(INDEX(TS!$M:$AB,25,1):INDEX(TS!$M:$AB,25,$A307))/TS!$L$15*100,0)</f>
        <v>6.3585114450039812</v>
      </c>
      <c r="J307">
        <f t="shared" si="9"/>
        <v>93.641488554996016</v>
      </c>
      <c r="O307" t="str">
        <f ca="1">IF(I307&gt;=99.9,"COMPLETED",IF('BOBOT PEK'!U19&gt;$J$7,"NOT STARTED",IF('BOBOT PEK'!V19&lt;$J$7,"CRITICAL",IF(I307+1&lt;H307,"DELAYED","ON SCHEDULE"))))</f>
        <v>CRITICAL</v>
      </c>
      <c r="Q307" t="str">
        <f>IFERROR(IF(AND($A307=$B$8,'BOBOT PEK'!U19&lt;=$B$8,$B$8&lt;='BOBOT PEK'!V19),COUNTIFS($A$17:$A307,$B$8),""),"")</f>
        <v/>
      </c>
    </row>
    <row r="308" spans="1:17" ht="12.75" customHeight="1" x14ac:dyDescent="0.2">
      <c r="A308">
        <f>IFERROR(IF(COUNTIF($C$17:C308,C308)&lt;=('BOBOT PEK'!V20-'BOBOT PEK'!U20+1),'BOBOT PEK'!U20+COUNTIF($C$17:C308,C308)-1,0),0)</f>
        <v>0</v>
      </c>
      <c r="B308" t="str">
        <f>IFERROR(TEXT(INDEX('KALENDER MINGGU'!$B$6:$B$21,$A308),"dd/mm")&amp;" - "&amp;TEXT(INDEX('KALENDER MINGGU'!$C$6:$C$21,$A308),"dd/mm"),"")</f>
        <v/>
      </c>
      <c r="C308" t="s">
        <v>427</v>
      </c>
      <c r="D308" t="str">
        <f>'BOBOT PEK'!C20</f>
        <v>Bongkar atap existing</v>
      </c>
      <c r="E308" s="241">
        <f>'BOBOT PEK'!J20</f>
        <v>0.12536035685236779</v>
      </c>
      <c r="F308">
        <f>100/('BOBOT PEK'!V20-'BOBOT PEK'!U20+1)</f>
        <v>33.333333333333336</v>
      </c>
      <c r="G308">
        <f t="shared" si="8"/>
        <v>4.1786785617455934E-2</v>
      </c>
      <c r="H308">
        <f>MIN(100,($A308-'BOBOT PEK'!U20+1)/('BOBOT PEK'!V20-'BOBOT PEK'!U20+1)*100)</f>
        <v>-200</v>
      </c>
      <c r="I308">
        <f>IFERROR(SUM(INDEX(TS!$M:$AB,25,1):INDEX(TS!$M:$AB,25,$A308))/TS!$L$15*100,0)</f>
        <v>6.3585114450039812</v>
      </c>
      <c r="J308">
        <f t="shared" si="9"/>
        <v>93.641488554996016</v>
      </c>
      <c r="O308" t="str">
        <f ca="1">IF(I308&gt;=99.9,"COMPLETED",IF('BOBOT PEK'!U20&gt;$J$7,"NOT STARTED",IF('BOBOT PEK'!V20&lt;$J$7,"CRITICAL",IF(I308+1&lt;H308,"DELAYED","ON SCHEDULE"))))</f>
        <v>CRITICAL</v>
      </c>
      <c r="Q308" t="str">
        <f>IFERROR(IF(AND($A308=$B$8,'BOBOT PEK'!U20&lt;=$B$8,$B$8&lt;='BOBOT PEK'!V20),COUNTIFS($A$17:$A308,$B$8),""),"")</f>
        <v/>
      </c>
    </row>
    <row r="309" spans="1:17" ht="12.75" customHeight="1" x14ac:dyDescent="0.2">
      <c r="A309">
        <f>IFERROR(IF(COUNTIF($C$17:C309,C309)&lt;=('BOBOT PEK'!V21-'BOBOT PEK'!U21+1),'BOBOT PEK'!U21+COUNTIF($C$17:C309,C309)-1,0),0)</f>
        <v>0</v>
      </c>
      <c r="B309" t="str">
        <f>IFERROR(TEXT(INDEX('KALENDER MINGGU'!$B$6:$B$21,$A309),"dd/mm")&amp;" - "&amp;TEXT(INDEX('KALENDER MINGGU'!$C$6:$C$21,$A309),"dd/mm"),"")</f>
        <v/>
      </c>
      <c r="C309" t="s">
        <v>428</v>
      </c>
      <c r="D309" t="str">
        <f>'BOBOT PEK'!C21</f>
        <v>Pasang atap fiber bening</v>
      </c>
      <c r="E309" s="241">
        <f>'BOBOT PEK'!J21</f>
        <v>0.71706124119554371</v>
      </c>
      <c r="F309">
        <f>100/('BOBOT PEK'!V21-'BOBOT PEK'!U21+1)</f>
        <v>33.333333333333336</v>
      </c>
      <c r="G309">
        <f t="shared" si="8"/>
        <v>0.23902041373184793</v>
      </c>
      <c r="H309">
        <f>MIN(100,($A309-'BOBOT PEK'!U21+1)/('BOBOT PEK'!V21-'BOBOT PEK'!U21+1)*100)</f>
        <v>-200</v>
      </c>
      <c r="I309">
        <f>IFERROR(SUM(INDEX(TS!$M:$AB,25,1):INDEX(TS!$M:$AB,25,$A309))/TS!$L$15*100,0)</f>
        <v>6.3585114450039812</v>
      </c>
      <c r="J309">
        <f t="shared" si="9"/>
        <v>93.641488554996016</v>
      </c>
      <c r="O309" t="str">
        <f ca="1">IF(I309&gt;=99.9,"COMPLETED",IF('BOBOT PEK'!U21&gt;$J$7,"NOT STARTED",IF('BOBOT PEK'!V21&lt;$J$7,"CRITICAL",IF(I309+1&lt;H309,"DELAYED","ON SCHEDULE"))))</f>
        <v>CRITICAL</v>
      </c>
      <c r="Q309" t="str">
        <f>IFERROR(IF(AND($A309=$B$8,'BOBOT PEK'!U21&lt;=$B$8,$B$8&lt;='BOBOT PEK'!V21),COUNTIFS($A$17:$A309,$B$8),""),"")</f>
        <v/>
      </c>
    </row>
    <row r="310" spans="1:17" ht="12.75" customHeight="1" x14ac:dyDescent="0.2">
      <c r="A310">
        <f>IFERROR(IF(COUNTIF($C$17:C310,C310)&lt;=('BOBOT PEK'!V22-'BOBOT PEK'!U22+1),'BOBOT PEK'!U22+COUNTIF($C$17:C310,C310)-1,0),0)</f>
        <v>0</v>
      </c>
      <c r="B310" t="str">
        <f>IFERROR(TEXT(INDEX('KALENDER MINGGU'!$B$6:$B$21,$A310),"dd/mm")&amp;" - "&amp;TEXT(INDEX('KALENDER MINGGU'!$C$6:$C$21,$A310),"dd/mm"),"")</f>
        <v/>
      </c>
      <c r="C310" t="s">
        <v>429</v>
      </c>
      <c r="D310" t="str">
        <f>'BOBOT PEK'!C22</f>
        <v>pekerjaan refinishing kanopi loading dock</v>
      </c>
      <c r="E310" s="241">
        <f>'BOBOT PEK'!J22</f>
        <v>0.63063934620629902</v>
      </c>
      <c r="F310">
        <f>100/('BOBOT PEK'!V22-'BOBOT PEK'!U22+1)</f>
        <v>33.333333333333336</v>
      </c>
      <c r="G310">
        <f t="shared" si="8"/>
        <v>0.21021311540209969</v>
      </c>
      <c r="H310">
        <f>MIN(100,($A310-'BOBOT PEK'!U22+1)/('BOBOT PEK'!V22-'BOBOT PEK'!U22+1)*100)</f>
        <v>-200</v>
      </c>
      <c r="I310">
        <f>IFERROR(SUM(INDEX(TS!$M:$AB,25,1):INDEX(TS!$M:$AB,25,$A310))/TS!$L$15*100,0)</f>
        <v>6.3585114450039812</v>
      </c>
      <c r="J310">
        <f t="shared" si="9"/>
        <v>93.641488554996016</v>
      </c>
      <c r="O310" t="str">
        <f ca="1">IF(I310&gt;=99.9,"COMPLETED",IF('BOBOT PEK'!U22&gt;$J$7,"NOT STARTED",IF('BOBOT PEK'!V22&lt;$J$7,"CRITICAL",IF(I310+1&lt;H310,"DELAYED","ON SCHEDULE"))))</f>
        <v>CRITICAL</v>
      </c>
      <c r="Q310" t="str">
        <f>IFERROR(IF(AND($A310=$B$8,'BOBOT PEK'!U22&lt;=$B$8,$B$8&lt;='BOBOT PEK'!V22),COUNTIFS($A$17:$A310,$B$8),""),"")</f>
        <v/>
      </c>
    </row>
    <row r="311" spans="1:17" ht="12.75" customHeight="1" x14ac:dyDescent="0.2">
      <c r="A311">
        <f>IFERROR(IF(COUNTIF($C$17:C311,C311)&lt;=('BOBOT PEK'!V23-'BOBOT PEK'!U23+1),'BOBOT PEK'!U23+COUNTIF($C$17:C311,C311)-1,0),0)</f>
        <v>0</v>
      </c>
      <c r="B311" t="str">
        <f>IFERROR(TEXT(INDEX('KALENDER MINGGU'!$B$6:$B$21,$A311),"dd/mm")&amp;" - "&amp;TEXT(INDEX('KALENDER MINGGU'!$C$6:$C$21,$A311),"dd/mm"),"")</f>
        <v/>
      </c>
      <c r="C311" t="s">
        <v>430</v>
      </c>
      <c r="D311" t="str">
        <f>'BOBOT PEK'!C23</f>
        <v>Perbaikan loading dock</v>
      </c>
      <c r="E311" s="241">
        <f>'BOBOT PEK'!J23</f>
        <v>0.39661202695996561</v>
      </c>
      <c r="F311">
        <f>100/('BOBOT PEK'!V23-'BOBOT PEK'!U23+1)</f>
        <v>50</v>
      </c>
      <c r="G311">
        <f t="shared" si="8"/>
        <v>0.19830601347998281</v>
      </c>
      <c r="H311">
        <f>MIN(100,($A311-'BOBOT PEK'!U23+1)/('BOBOT PEK'!V23-'BOBOT PEK'!U23+1)*100)</f>
        <v>-350</v>
      </c>
      <c r="I311">
        <f>IFERROR(SUM(INDEX(TS!$M:$AB,25,1):INDEX(TS!$M:$AB,25,$A311))/TS!$L$15*100,0)</f>
        <v>6.3585114450039812</v>
      </c>
      <c r="J311">
        <f t="shared" si="9"/>
        <v>93.641488554996016</v>
      </c>
      <c r="O311" t="str">
        <f ca="1">IF(I311&gt;=99.9,"COMPLETED",IF('BOBOT PEK'!U23&gt;$J$7,"NOT STARTED",IF('BOBOT PEK'!V23&lt;$J$7,"CRITICAL",IF(I311+1&lt;H311,"DELAYED","ON SCHEDULE"))))</f>
        <v>CRITICAL</v>
      </c>
      <c r="Q311" t="str">
        <f>IFERROR(IF(AND($A311=$B$8,'BOBOT PEK'!U23&lt;=$B$8,$B$8&lt;='BOBOT PEK'!V23),COUNTIFS($A$17:$A311,$B$8),""),"")</f>
        <v/>
      </c>
    </row>
    <row r="312" spans="1:17" ht="12.75" customHeight="1" x14ac:dyDescent="0.2">
      <c r="A312">
        <f>IFERROR(IF(COUNTIF($C$17:C312,C312)&lt;=('BOBOT PEK'!V24-'BOBOT PEK'!U24+1),'BOBOT PEK'!U24+COUNTIF($C$17:C312,C312)-1,0),0)</f>
        <v>0</v>
      </c>
      <c r="B312" t="str">
        <f>IFERROR(TEXT(INDEX('KALENDER MINGGU'!$B$6:$B$21,$A312),"dd/mm")&amp;" - "&amp;TEXT(INDEX('KALENDER MINGGU'!$C$6:$C$21,$A312),"dd/mm"),"")</f>
        <v/>
      </c>
      <c r="C312" t="s">
        <v>431</v>
      </c>
      <c r="D312" t="str">
        <f>'BOBOT PEK'!C24</f>
        <v>Perbaikan dinding dan cat dinding loading dock</v>
      </c>
      <c r="E312" s="241">
        <f>'BOBOT PEK'!J24</f>
        <v>5.4429420245594377E-2</v>
      </c>
      <c r="F312">
        <f>100/('BOBOT PEK'!V24-'BOBOT PEK'!U24+1)</f>
        <v>50</v>
      </c>
      <c r="G312">
        <f t="shared" si="8"/>
        <v>2.7214710122797189E-2</v>
      </c>
      <c r="H312">
        <f>MIN(100,($A312-'BOBOT PEK'!U24+1)/('BOBOT PEK'!V24-'BOBOT PEK'!U24+1)*100)</f>
        <v>-350</v>
      </c>
      <c r="I312">
        <f>IFERROR(SUM(INDEX(TS!$M:$AB,25,1):INDEX(TS!$M:$AB,25,$A312))/TS!$L$15*100,0)</f>
        <v>6.3585114450039812</v>
      </c>
      <c r="J312">
        <f t="shared" si="9"/>
        <v>93.641488554996016</v>
      </c>
      <c r="O312" t="str">
        <f ca="1">IF(I312&gt;=99.9,"COMPLETED",IF('BOBOT PEK'!U24&gt;$J$7,"NOT STARTED",IF('BOBOT PEK'!V24&lt;$J$7,"CRITICAL",IF(I312+1&lt;H312,"DELAYED","ON SCHEDULE"))))</f>
        <v>CRITICAL</v>
      </c>
      <c r="Q312" t="str">
        <f>IFERROR(IF(AND($A312=$B$8,'BOBOT PEK'!U24&lt;=$B$8,$B$8&lt;='BOBOT PEK'!V24),COUNTIFS($A$17:$A312,$B$8),""),"")</f>
        <v/>
      </c>
    </row>
    <row r="313" spans="1:17" ht="12.75" customHeight="1" x14ac:dyDescent="0.2">
      <c r="A313">
        <f>IFERROR(IF(COUNTIF($C$17:C313,C313)&lt;=('BOBOT PEK'!V25-'BOBOT PEK'!U25+1),'BOBOT PEK'!U25+COUNTIF($C$17:C313,C313)-1,0),0)</f>
        <v>0</v>
      </c>
      <c r="B313" t="str">
        <f>IFERROR(TEXT(INDEX('KALENDER MINGGU'!$B$6:$B$21,$A313),"dd/mm")&amp;" - "&amp;TEXT(INDEX('KALENDER MINGGU'!$C$6:$C$21,$A313),"dd/mm"),"")</f>
        <v/>
      </c>
      <c r="C313" t="s">
        <v>432</v>
      </c>
      <c r="D313" t="str">
        <f>'BOBOT PEK'!C25</f>
        <v>Servis kebocoran pipa talang</v>
      </c>
      <c r="E313" s="241">
        <f>'BOBOT PEK'!J25</f>
        <v>0.13303548074128826</v>
      </c>
      <c r="F313">
        <f>100/('BOBOT PEK'!V25-'BOBOT PEK'!U25+1)</f>
        <v>33.333333333333336</v>
      </c>
      <c r="G313">
        <f t="shared" si="8"/>
        <v>4.4345160247096095E-2</v>
      </c>
      <c r="H313">
        <f>MIN(100,($A313-'BOBOT PEK'!U25+1)/('BOBOT PEK'!V25-'BOBOT PEK'!U25+1)*100)</f>
        <v>-200</v>
      </c>
      <c r="I313">
        <f>IFERROR(SUM(INDEX(TS!$M:$AB,25,1):INDEX(TS!$M:$AB,25,$A313))/TS!$L$15*100,0)</f>
        <v>6.3585114450039812</v>
      </c>
      <c r="J313">
        <f t="shared" si="9"/>
        <v>93.641488554996016</v>
      </c>
      <c r="O313" t="str">
        <f ca="1">IF(I313&gt;=99.9,"COMPLETED",IF('BOBOT PEK'!U25&gt;$J$7,"NOT STARTED",IF('BOBOT PEK'!V25&lt;$J$7,"CRITICAL",IF(I313+1&lt;H313,"DELAYED","ON SCHEDULE"))))</f>
        <v>CRITICAL</v>
      </c>
      <c r="Q313" t="str">
        <f>IFERROR(IF(AND($A313=$B$8,'BOBOT PEK'!U25&lt;=$B$8,$B$8&lt;='BOBOT PEK'!V25),COUNTIFS($A$17:$A313,$B$8),""),"")</f>
        <v/>
      </c>
    </row>
    <row r="314" spans="1:17" ht="12.75" customHeight="1" x14ac:dyDescent="0.2">
      <c r="A314">
        <f>IFERROR(IF(COUNTIF($C$17:C314,C314)&lt;=('BOBOT PEK'!V26-'BOBOT PEK'!U26+1),'BOBOT PEK'!U26+COUNTIF($C$17:C314,C314)-1,0),0)</f>
        <v>9</v>
      </c>
      <c r="B314" t="str">
        <f>IFERROR(TEXT(INDEX('KALENDER MINGGU'!$B$6:$B$21,$A314),"dd/mm")&amp;" - "&amp;TEXT(INDEX('KALENDER MINGGU'!$C$6:$C$21,$A314),"dd/mm"),"")</f>
        <v>17/09 - 23/09</v>
      </c>
      <c r="C314" t="s">
        <v>433</v>
      </c>
      <c r="D314" t="str">
        <f>'BOBOT PEK'!C26</f>
        <v>Cor ulang lantai gudang utama sisi pintu dalam (4mx5m)</v>
      </c>
      <c r="E314" s="241">
        <f>'BOBOT PEK'!J26</f>
        <v>1.6885272555625046</v>
      </c>
      <c r="F314">
        <f>100/('BOBOT PEK'!V26-'BOBOT PEK'!U26+1)</f>
        <v>33.333333333333336</v>
      </c>
      <c r="G314">
        <f t="shared" si="8"/>
        <v>0.56284241852083494</v>
      </c>
      <c r="H314">
        <f>MIN(100,($A314-'BOBOT PEK'!U26+1)/('BOBOT PEK'!V26-'BOBOT PEK'!U26+1)*100)</f>
        <v>33.333333333333329</v>
      </c>
      <c r="I314">
        <f>IFERROR(SUM(INDEX(TS!$M:$AB,25,1):INDEX(TS!$M:$AB,25,$A314))/TS!$L$15*100,0)</f>
        <v>6.3585114450039812</v>
      </c>
      <c r="J314">
        <f t="shared" si="9"/>
        <v>93.641488554996016</v>
      </c>
      <c r="O314" t="str">
        <f ca="1">IF(I314&gt;=99.9,"COMPLETED",IF('BOBOT PEK'!U26&gt;$J$7,"NOT STARTED",IF('BOBOT PEK'!V26&lt;$J$7,"CRITICAL",IF(I314+1&lt;H314,"DELAYED","ON SCHEDULE"))))</f>
        <v>DELAYED</v>
      </c>
      <c r="Q314" t="str">
        <f>IFERROR(IF(AND($A314=$B$8,'BOBOT PEK'!U26&lt;=$B$8,$B$8&lt;='BOBOT PEK'!V26),COUNTIFS($A$17:$A314,$B$8),""),"")</f>
        <v/>
      </c>
    </row>
    <row r="315" spans="1:17" ht="12.75" customHeight="1" x14ac:dyDescent="0.2">
      <c r="A315">
        <f>IFERROR(IF(COUNTIF($C$17:C315,C315)&lt;=('BOBOT PEK'!V27-'BOBOT PEK'!U27+1),'BOBOT PEK'!U27+COUNTIF($C$17:C315,C315)-1,0),0)</f>
        <v>0</v>
      </c>
      <c r="B315" t="str">
        <f>IFERROR(TEXT(INDEX('KALENDER MINGGU'!$B$6:$B$21,$A315),"dd/mm")&amp;" - "&amp;TEXT(INDEX('KALENDER MINGGU'!$C$6:$C$21,$A315),"dd/mm"),"")</f>
        <v/>
      </c>
      <c r="C315" t="s">
        <v>434</v>
      </c>
      <c r="D315" t="str">
        <f>'BOBOT PEK'!C27</f>
        <v>Pembongkaran pintu rolling door</v>
      </c>
      <c r="E315" s="241">
        <f>'BOBOT PEK'!J27</f>
        <v>6.3959365741003971E-2</v>
      </c>
      <c r="F315">
        <f>100/('BOBOT PEK'!V27-'BOBOT PEK'!U27+1)</f>
        <v>50</v>
      </c>
      <c r="G315">
        <f t="shared" si="8"/>
        <v>3.1979682870501985E-2</v>
      </c>
      <c r="H315">
        <f>MIN(100,($A315-'BOBOT PEK'!U27+1)/('BOBOT PEK'!V27-'BOBOT PEK'!U27+1)*100)</f>
        <v>-350</v>
      </c>
      <c r="I315">
        <f>IFERROR(SUM(INDEX(TS!$M:$AB,25,1):INDEX(TS!$M:$AB,25,$A315))/TS!$L$15*100,0)</f>
        <v>6.3585114450039812</v>
      </c>
      <c r="J315">
        <f t="shared" si="9"/>
        <v>93.641488554996016</v>
      </c>
      <c r="O315" t="str">
        <f ca="1">IF(I315&gt;=99.9,"COMPLETED",IF('BOBOT PEK'!U27&gt;$J$7,"NOT STARTED",IF('BOBOT PEK'!V27&lt;$J$7,"CRITICAL",IF(I315+1&lt;H315,"DELAYED","ON SCHEDULE"))))</f>
        <v>CRITICAL</v>
      </c>
      <c r="Q315" t="str">
        <f>IFERROR(IF(AND($A315=$B$8,'BOBOT PEK'!U27&lt;=$B$8,$B$8&lt;='BOBOT PEK'!V27),COUNTIFS($A$17:$A315,$B$8),""),"")</f>
        <v/>
      </c>
    </row>
    <row r="316" spans="1:17" ht="12.75" customHeight="1" x14ac:dyDescent="0.2">
      <c r="A316">
        <f>IFERROR(IF(COUNTIF($C$17:C316,C316)&lt;=('BOBOT PEK'!V28-'BOBOT PEK'!U28+1),'BOBOT PEK'!U28+COUNTIF($C$17:C316,C316)-1,0),0)</f>
        <v>0</v>
      </c>
      <c r="B316" t="str">
        <f>IFERROR(TEXT(INDEX('KALENDER MINGGU'!$B$6:$B$21,$A316),"dd/mm")&amp;" - "&amp;TEXT(INDEX('KALENDER MINGGU'!$C$6:$C$21,$A316),"dd/mm"),"")</f>
        <v/>
      </c>
      <c r="C316" t="s">
        <v>435</v>
      </c>
      <c r="D316" t="str">
        <f>'BOBOT PEK'!C28</f>
        <v>Perapian kabel  dalam gudang</v>
      </c>
      <c r="E316" s="241">
        <f>'BOBOT PEK'!J28</f>
        <v>0.49734802800204686</v>
      </c>
      <c r="F316">
        <f>100/('BOBOT PEK'!V28-'BOBOT PEK'!U28+1)</f>
        <v>33.333333333333336</v>
      </c>
      <c r="G316">
        <f t="shared" si="8"/>
        <v>0.16578267600068231</v>
      </c>
      <c r="H316">
        <f>MIN(100,($A316-'BOBOT PEK'!U28+1)/('BOBOT PEK'!V28-'BOBOT PEK'!U28+1)*100)</f>
        <v>-233.33333333333334</v>
      </c>
      <c r="I316">
        <f>IFERROR(SUM(INDEX(TS!$M:$AB,25,1):INDEX(TS!$M:$AB,25,$A316))/TS!$L$15*100,0)</f>
        <v>6.3585114450039812</v>
      </c>
      <c r="J316">
        <f t="shared" si="9"/>
        <v>93.641488554996016</v>
      </c>
      <c r="O316" t="str">
        <f ca="1">IF(I316&gt;=99.9,"COMPLETED",IF('BOBOT PEK'!U28&gt;$J$7,"NOT STARTED",IF('BOBOT PEK'!V28&lt;$J$7,"CRITICAL",IF(I316+1&lt;H316,"DELAYED","ON SCHEDULE"))))</f>
        <v>ON SCHEDULE</v>
      </c>
      <c r="Q316" t="str">
        <f>IFERROR(IF(AND($A316=$B$8,'BOBOT PEK'!U28&lt;=$B$8,$B$8&lt;='BOBOT PEK'!V28),COUNTIFS($A$17:$A316,$B$8),""),"")</f>
        <v/>
      </c>
    </row>
    <row r="317" spans="1:17" ht="12.75" customHeight="1" x14ac:dyDescent="0.2">
      <c r="A317">
        <f>IFERROR(IF(COUNTIF($C$17:C317,C317)&lt;=('BOBOT PEK'!V47-'BOBOT PEK'!U47+1),'BOBOT PEK'!U47+COUNTIF($C$17:C317,C317)-1,0),0)</f>
        <v>9</v>
      </c>
      <c r="B317" t="str">
        <f>IFERROR(TEXT(INDEX('KALENDER MINGGU'!$B$6:$B$21,$A317),"dd/mm")&amp;" - "&amp;TEXT(INDEX('KALENDER MINGGU'!$C$6:$C$21,$A317),"dd/mm"),"")</f>
        <v>17/09 - 23/09</v>
      </c>
      <c r="C317" t="s">
        <v>448</v>
      </c>
      <c r="D317" t="str">
        <f>'BOBOT PEK'!C47</f>
        <v>Pasang rangka kawat razor</v>
      </c>
      <c r="E317" s="241">
        <f>'BOBOT PEK'!J47</f>
        <v>0</v>
      </c>
      <c r="F317">
        <f>100/('BOBOT PEK'!V47-'BOBOT PEK'!U47+1)</f>
        <v>14.285714285714286</v>
      </c>
      <c r="G317">
        <f t="shared" si="8"/>
        <v>0</v>
      </c>
      <c r="H317">
        <f>MIN(100,($A317-'BOBOT PEK'!U47+1)/('BOBOT PEK'!V47-'BOBOT PEK'!U47+1)*100)</f>
        <v>42.857142857142854</v>
      </c>
      <c r="I317">
        <f>IFERROR(SUM(INDEX(TS!$M:$AB,29,1):INDEX(TS!$M:$AB,29,$A317))/TS!$L$19*100,0)</f>
        <v>0</v>
      </c>
      <c r="J317">
        <f t="shared" si="9"/>
        <v>100</v>
      </c>
      <c r="O317" t="str">
        <f ca="1">IF(I317&gt;=99.9,"COMPLETED",IF('BOBOT PEK'!U47&gt;$J$7,"NOT STARTED",IF('BOBOT PEK'!V47&lt;$J$7,"CRITICAL",IF(I317+1&lt;H317,"DELAYED","ON SCHEDULE"))))</f>
        <v>DELAYED</v>
      </c>
      <c r="Q317" t="str">
        <f>IFERROR(IF(AND($A317=$B$8,'BOBOT PEK'!U47&lt;=$B$8,$B$8&lt;='BOBOT PEK'!V47),COUNTIFS($A$17:$A317,$B$8),""),"")</f>
        <v/>
      </c>
    </row>
    <row r="318" spans="1:17" ht="12.75" customHeight="1" x14ac:dyDescent="0.2">
      <c r="A318">
        <f>IFERROR(IF(COUNTIF($C$17:C318,C318)&lt;=('BOBOT PEK'!V48-'BOBOT PEK'!U48+1),'BOBOT PEK'!U48+COUNTIF($C$17:C318,C318)-1,0),0)</f>
        <v>9</v>
      </c>
      <c r="B318" t="str">
        <f>IFERROR(TEXT(INDEX('KALENDER MINGGU'!$B$6:$B$21,$A318),"dd/mm")&amp;" - "&amp;TEXT(INDEX('KALENDER MINGGU'!$C$6:$C$21,$A318),"dd/mm"),"")</f>
        <v>17/09 - 23/09</v>
      </c>
      <c r="C318" t="s">
        <v>449</v>
      </c>
      <c r="D318" t="str">
        <f>'BOBOT PEK'!C48</f>
        <v>ex. Besi siku Uk. 40x40x4 mm</v>
      </c>
      <c r="E318" s="241">
        <f>'BOBOT PEK'!J48</f>
        <v>1.1256848370416699</v>
      </c>
      <c r="F318">
        <f>100/('BOBOT PEK'!V48-'BOBOT PEK'!U48+1)</f>
        <v>14.285714285714286</v>
      </c>
      <c r="G318">
        <f t="shared" si="8"/>
        <v>0.16081211957738142</v>
      </c>
      <c r="H318">
        <f>MIN(100,($A318-'BOBOT PEK'!U48+1)/('BOBOT PEK'!V48-'BOBOT PEK'!U48+1)*100)</f>
        <v>42.857142857142854</v>
      </c>
      <c r="I318">
        <f>IFERROR(SUM(INDEX(TS!$M:$AB,29,1):INDEX(TS!$M:$AB,29,$A318))/TS!$L$19*100,0)</f>
        <v>0</v>
      </c>
      <c r="J318">
        <f t="shared" si="9"/>
        <v>100</v>
      </c>
      <c r="O318" t="str">
        <f ca="1">IF(I318&gt;=99.9,"COMPLETED",IF('BOBOT PEK'!U48&gt;$J$7,"NOT STARTED",IF('BOBOT PEK'!V48&lt;$J$7,"CRITICAL",IF(I318+1&lt;H318,"DELAYED","ON SCHEDULE"))))</f>
        <v>DELAYED</v>
      </c>
      <c r="Q318" t="str">
        <f>IFERROR(IF(AND($A318=$B$8,'BOBOT PEK'!U48&lt;=$B$8,$B$8&lt;='BOBOT PEK'!V48),COUNTIFS($A$17:$A318,$B$8),""),"")</f>
        <v/>
      </c>
    </row>
    <row r="319" spans="1:17" ht="12.75" customHeight="1" x14ac:dyDescent="0.2">
      <c r="A319">
        <f>IFERROR(IF(COUNTIF($C$17:C319,C319)&lt;=('BOBOT PEK'!V49-'BOBOT PEK'!U49+1),'BOBOT PEK'!U49+COUNTIF($C$17:C319,C319)-1,0),0)</f>
        <v>9</v>
      </c>
      <c r="B319" t="str">
        <f>IFERROR(TEXT(INDEX('KALENDER MINGGU'!$B$6:$B$21,$A319),"dd/mm")&amp;" - "&amp;TEXT(INDEX('KALENDER MINGGU'!$C$6:$C$21,$A319),"dd/mm"),"")</f>
        <v>17/09 - 23/09</v>
      </c>
      <c r="C319" t="s">
        <v>450</v>
      </c>
      <c r="D319" t="str">
        <f>'BOBOT PEK'!C49</f>
        <v>Pasang kawat razor (diameter gulungan 45-50 cm)</v>
      </c>
      <c r="E319" s="241">
        <f>'BOBOT PEK'!J49</f>
        <v>1.1481985337825031</v>
      </c>
      <c r="F319">
        <f>100/('BOBOT PEK'!V49-'BOBOT PEK'!U49+1)</f>
        <v>14.285714285714286</v>
      </c>
      <c r="G319">
        <f t="shared" si="8"/>
        <v>0.16402836196892903</v>
      </c>
      <c r="H319">
        <f>MIN(100,($A319-'BOBOT PEK'!U49+1)/('BOBOT PEK'!V49-'BOBOT PEK'!U49+1)*100)</f>
        <v>42.857142857142854</v>
      </c>
      <c r="I319">
        <f>IFERROR(SUM(INDEX(TS!$M:$AB,29,1):INDEX(TS!$M:$AB,29,$A319))/TS!$L$19*100,0)</f>
        <v>0</v>
      </c>
      <c r="J319">
        <f t="shared" si="9"/>
        <v>100</v>
      </c>
      <c r="O319" t="str">
        <f ca="1">IF(I319&gt;=99.9,"COMPLETED",IF('BOBOT PEK'!U49&gt;$J$7,"NOT STARTED",IF('BOBOT PEK'!V49&lt;$J$7,"CRITICAL",IF(I319+1&lt;H319,"DELAYED","ON SCHEDULE"))))</f>
        <v>DELAYED</v>
      </c>
      <c r="Q319" t="str">
        <f>IFERROR(IF(AND($A319=$B$8,'BOBOT PEK'!U49&lt;=$B$8,$B$8&lt;='BOBOT PEK'!V49),COUNTIFS($A$17:$A319,$B$8),""),"")</f>
        <v/>
      </c>
    </row>
    <row r="320" spans="1:17" ht="12.75" customHeight="1" x14ac:dyDescent="0.2">
      <c r="A320">
        <f>IFERROR(IF(COUNTIF($C$17:C320,C320)&lt;=('BOBOT PEK'!V67-'BOBOT PEK'!U67+1),'BOBOT PEK'!U67+COUNTIF($C$17:C320,C320)-1,0),0)</f>
        <v>9</v>
      </c>
      <c r="B320" t="str">
        <f>IFERROR(TEXT(INDEX('KALENDER MINGGU'!$B$6:$B$21,$A320),"dd/mm")&amp;" - "&amp;TEXT(INDEX('KALENDER MINGGU'!$C$6:$C$21,$A320),"dd/mm"),"")</f>
        <v>17/09 - 23/09</v>
      </c>
      <c r="C320" t="s">
        <v>459</v>
      </c>
      <c r="D320" t="str">
        <f>'BOBOT PEK'!C67</f>
        <v>Kansteen dan ban-banan area dalam taman</v>
      </c>
      <c r="E320" s="241">
        <f>'BOBOT PEK'!J67</f>
        <v>0.81867988148485082</v>
      </c>
      <c r="F320">
        <f>100/('BOBOT PEK'!V67-'BOBOT PEK'!U67+1)</f>
        <v>14.285714285714286</v>
      </c>
      <c r="G320">
        <f t="shared" si="8"/>
        <v>0.11695426878355013</v>
      </c>
      <c r="H320">
        <f>MIN(100,($A320-'BOBOT PEK'!U67+1)/('BOBOT PEK'!V67-'BOBOT PEK'!U67+1)*100)</f>
        <v>85.714285714285708</v>
      </c>
      <c r="I320">
        <f>IFERROR(SUM(INDEX(TS!$M:$AB,35,1):INDEX(TS!$M:$AB,35,$A320))/TS!$L$25*100,0)</f>
        <v>0</v>
      </c>
      <c r="J320">
        <f t="shared" si="9"/>
        <v>100</v>
      </c>
      <c r="O320" t="str">
        <f ca="1">IF(I320&gt;=99.9,"COMPLETED",IF('BOBOT PEK'!U67&gt;$J$7,"NOT STARTED",IF('BOBOT PEK'!V67&lt;$J$7,"CRITICAL",IF(I320+1&lt;H320,"DELAYED","ON SCHEDULE"))))</f>
        <v>DELAYED</v>
      </c>
      <c r="Q320" t="str">
        <f>IFERROR(IF(AND($A320=$B$8,'BOBOT PEK'!U67&lt;=$B$8,$B$8&lt;='BOBOT PEK'!V67),COUNTIFS($A$17:$A320,$B$8),""),"")</f>
        <v/>
      </c>
    </row>
    <row r="321" spans="1:17" ht="12.75" customHeight="1" x14ac:dyDescent="0.2">
      <c r="A321">
        <f>IFERROR(IF(COUNTIF($C$17:C321,C321)&lt;=('BOBOT PEK'!V70-'BOBOT PEK'!U70+1),'BOBOT PEK'!U70+COUNTIF($C$17:C321,C321)-1,0),0)</f>
        <v>9</v>
      </c>
      <c r="B321" t="str">
        <f>IFERROR(TEXT(INDEX('KALENDER MINGGU'!$B$6:$B$21,$A321),"dd/mm")&amp;" - "&amp;TEXT(INDEX('KALENDER MINGGU'!$C$6:$C$21,$A321),"dd/mm"),"")</f>
        <v>17/09 - 23/09</v>
      </c>
      <c r="C321" t="s">
        <v>462</v>
      </c>
      <c r="D321" t="str">
        <f>'BOBOT PEK'!C70</f>
        <v>Cat ulang area luar tempat sampah (dinding)</v>
      </c>
      <c r="E321" s="241">
        <f>'BOBOT PEK'!J70</f>
        <v>2.9421308240861827E-2</v>
      </c>
      <c r="F321">
        <f>100/('BOBOT PEK'!V70-'BOBOT PEK'!U70+1)</f>
        <v>50</v>
      </c>
      <c r="G321">
        <f t="shared" si="8"/>
        <v>1.4710654120430914E-2</v>
      </c>
      <c r="H321">
        <f>MIN(100,($A321-'BOBOT PEK'!U70+1)/('BOBOT PEK'!V70-'BOBOT PEK'!U70+1)*100)</f>
        <v>100</v>
      </c>
      <c r="I321">
        <f>IFERROR(SUM(INDEX(TS!$M:$AB,35,1):INDEX(TS!$M:$AB,35,$A321))/TS!$L$25*100,0)</f>
        <v>0</v>
      </c>
      <c r="J321">
        <f t="shared" si="9"/>
        <v>100</v>
      </c>
      <c r="O321" t="str">
        <f ca="1">IF(I321&gt;=99.9,"COMPLETED",IF('BOBOT PEK'!U70&gt;$J$7,"NOT STARTED",IF('BOBOT PEK'!V70&lt;$J$7,"CRITICAL",IF(I321+1&lt;H321,"DELAYED","ON SCHEDULE"))))</f>
        <v>CRITICAL</v>
      </c>
      <c r="Q321" t="str">
        <f>IFERROR(IF(AND($A321=$B$8,'BOBOT PEK'!U70&lt;=$B$8,$B$8&lt;='BOBOT PEK'!V70),COUNTIFS($A$17:$A321,$B$8),""),"")</f>
        <v/>
      </c>
    </row>
    <row r="322" spans="1:17" ht="12.75" customHeight="1" x14ac:dyDescent="0.2">
      <c r="A322">
        <f>IFERROR(IF(COUNTIF($C$17:C322,C322)&lt;=('BOBOT PEK'!V71-'BOBOT PEK'!U71+1),'BOBOT PEK'!U71+COUNTIF($C$17:C322,C322)-1,0),0)</f>
        <v>9</v>
      </c>
      <c r="B322" t="str">
        <f>IFERROR(TEXT(INDEX('KALENDER MINGGU'!$B$6:$B$21,$A322),"dd/mm")&amp;" - "&amp;TEXT(INDEX('KALENDER MINGGU'!$C$6:$C$21,$A322),"dd/mm"),"")</f>
        <v>17/09 - 23/09</v>
      </c>
      <c r="C322" t="s">
        <v>463</v>
      </c>
      <c r="D322" t="str">
        <f>'BOBOT PEK'!C71</f>
        <v>Cat paving untuk jalur truk sampah</v>
      </c>
      <c r="E322" s="241">
        <f>'BOBOT PEK'!J71</f>
        <v>6.3959365741003971E-3</v>
      </c>
      <c r="F322">
        <f>100/('BOBOT PEK'!V71-'BOBOT PEK'!U71+1)</f>
        <v>50</v>
      </c>
      <c r="G322">
        <f t="shared" si="8"/>
        <v>3.1979682870501985E-3</v>
      </c>
      <c r="H322">
        <f>MIN(100,($A322-'BOBOT PEK'!U71+1)/('BOBOT PEK'!V71-'BOBOT PEK'!U71+1)*100)</f>
        <v>50</v>
      </c>
      <c r="I322">
        <f>IFERROR(SUM(INDEX(TS!$M:$AB,35,1):INDEX(TS!$M:$AB,35,$A322))/TS!$L$25*100,0)</f>
        <v>0</v>
      </c>
      <c r="J322">
        <f t="shared" si="9"/>
        <v>100</v>
      </c>
      <c r="O322" t="str">
        <f ca="1">IF(I322&gt;=99.9,"COMPLETED",IF('BOBOT PEK'!U71&gt;$J$7,"NOT STARTED",IF('BOBOT PEK'!V71&lt;$J$7,"CRITICAL",IF(I322+1&lt;H322,"DELAYED","ON SCHEDULE"))))</f>
        <v>DELAYED</v>
      </c>
      <c r="Q322" t="str">
        <f>IFERROR(IF(AND($A322=$B$8,'BOBOT PEK'!U71&lt;=$B$8,$B$8&lt;='BOBOT PEK'!V71),COUNTIFS($A$17:$A322,$B$8),""),"")</f>
        <v/>
      </c>
    </row>
    <row r="323" spans="1:17" ht="12.75" customHeight="1" x14ac:dyDescent="0.2">
      <c r="A323">
        <f>IFERROR(IF(COUNTIF($C$17:C323,C323)&lt;=('BOBOT PEK'!V77-'BOBOT PEK'!U77+1),'BOBOT PEK'!U77+COUNTIF($C$17:C323,C323)-1,0),0)</f>
        <v>9</v>
      </c>
      <c r="B323" t="str">
        <f>IFERROR(TEXT(INDEX('KALENDER MINGGU'!$B$6:$B$21,$A323),"dd/mm")&amp;" - "&amp;TEXT(INDEX('KALENDER MINGGU'!$C$6:$C$21,$A323),"dd/mm"),"")</f>
        <v>17/09 - 23/09</v>
      </c>
      <c r="C323" t="s">
        <v>464</v>
      </c>
      <c r="D323" t="str">
        <f>'BOBOT PEK'!C77</f>
        <v xml:space="preserve">Pengupasan aspal existing </v>
      </c>
      <c r="E323" s="241">
        <f>'BOBOT PEK'!J77</f>
        <v>3.3576108639397444</v>
      </c>
      <c r="F323">
        <f>100/('BOBOT PEK'!V77-'BOBOT PEK'!U77+1)</f>
        <v>6.25</v>
      </c>
      <c r="G323">
        <f t="shared" si="8"/>
        <v>0.20985067899623402</v>
      </c>
      <c r="H323">
        <f>MIN(100,($A323-'BOBOT PEK'!U77+1)/('BOBOT PEK'!V77-'BOBOT PEK'!U77+1)*100)</f>
        <v>56.25</v>
      </c>
      <c r="I323">
        <f>IFERROR(SUM(INDEX(TS!$M:$AB,37,1):INDEX(TS!$M:$AB,37,$A323))/TS!$L$27*100,0)</f>
        <v>0</v>
      </c>
      <c r="J323">
        <f t="shared" si="9"/>
        <v>100</v>
      </c>
      <c r="O323" t="str">
        <f ca="1">IF(I323&gt;=99.9,"COMPLETED",IF('BOBOT PEK'!U77&gt;$J$7,"NOT STARTED",IF('BOBOT PEK'!V77&lt;$J$7,"CRITICAL",IF(I323+1&lt;H323,"DELAYED","ON SCHEDULE"))))</f>
        <v>DELAYED</v>
      </c>
      <c r="Q323" t="str">
        <f>IFERROR(IF(AND($A323=$B$8,'BOBOT PEK'!U77&lt;=$B$8,$B$8&lt;='BOBOT PEK'!V77),COUNTIFS($A$17:$A323,$B$8),""),"")</f>
        <v/>
      </c>
    </row>
    <row r="324" spans="1:17" ht="12.75" customHeight="1" x14ac:dyDescent="0.2">
      <c r="A324">
        <f>IFERROR(IF(COUNTIF($C$17:C324,C324)&lt;=('BOBOT PEK'!V78-'BOBOT PEK'!U78+1),'BOBOT PEK'!U78+COUNTIF($C$17:C324,C324)-1,0),0)</f>
        <v>9</v>
      </c>
      <c r="B324" t="str">
        <f>IFERROR(TEXT(INDEX('KALENDER MINGGU'!$B$6:$B$21,$A324),"dd/mm")&amp;" - "&amp;TEXT(INDEX('KALENDER MINGGU'!$C$6:$C$21,$A324),"dd/mm"),"")</f>
        <v>17/09 - 23/09</v>
      </c>
      <c r="C324" t="s">
        <v>465</v>
      </c>
      <c r="D324" t="str">
        <f>'BOBOT PEK'!C78</f>
        <v xml:space="preserve">Pengupasan beton existing </v>
      </c>
      <c r="E324" s="241">
        <f>'BOBOT PEK'!J78</f>
        <v>1.9430855312117006</v>
      </c>
      <c r="F324">
        <f>100/('BOBOT PEK'!V78-'BOBOT PEK'!U78+1)</f>
        <v>6.25</v>
      </c>
      <c r="G324">
        <f t="shared" si="8"/>
        <v>0.12144284570073129</v>
      </c>
      <c r="H324">
        <f>MIN(100,($A324-'BOBOT PEK'!U78+1)/('BOBOT PEK'!V78-'BOBOT PEK'!U78+1)*100)</f>
        <v>56.25</v>
      </c>
      <c r="I324">
        <f>IFERROR(SUM(INDEX(TS!$M:$AB,37,1):INDEX(TS!$M:$AB,37,$A324))/TS!$L$27*100,0)</f>
        <v>0</v>
      </c>
      <c r="J324">
        <f t="shared" si="9"/>
        <v>100</v>
      </c>
      <c r="O324" t="str">
        <f ca="1">IF(I324&gt;=99.9,"COMPLETED",IF('BOBOT PEK'!U78&gt;$J$7,"NOT STARTED",IF('BOBOT PEK'!V78&lt;$J$7,"CRITICAL",IF(I324+1&lt;H324,"DELAYED","ON SCHEDULE"))))</f>
        <v>DELAYED</v>
      </c>
      <c r="Q324" t="str">
        <f>IFERROR(IF(AND($A324=$B$8,'BOBOT PEK'!U78&lt;=$B$8,$B$8&lt;='BOBOT PEK'!V78),COUNTIFS($A$17:$A324,$B$8),""),"")</f>
        <v/>
      </c>
    </row>
    <row r="325" spans="1:17" ht="12.75" customHeight="1" x14ac:dyDescent="0.2">
      <c r="A325">
        <f>IFERROR(IF(COUNTIF($C$17:C325,C325)&lt;=('BOBOT PEK'!V79-'BOBOT PEK'!U79+1),'BOBOT PEK'!U79+COUNTIF($C$17:C325,C325)-1,0),0)</f>
        <v>9</v>
      </c>
      <c r="B325" t="str">
        <f>IFERROR(TEXT(INDEX('KALENDER MINGGU'!$B$6:$B$21,$A325),"dd/mm")&amp;" - "&amp;TEXT(INDEX('KALENDER MINGGU'!$C$6:$C$21,$A325),"dd/mm"),"")</f>
        <v>17/09 - 23/09</v>
      </c>
      <c r="C325" t="s">
        <v>466</v>
      </c>
      <c r="D325" t="str">
        <f>'BOBOT PEK'!C79</f>
        <v>Pembuangan puing sewa truk</v>
      </c>
      <c r="E325" s="241">
        <f>'BOBOT PEK'!J79</f>
        <v>3.3766707549305637</v>
      </c>
      <c r="F325">
        <f>100/('BOBOT PEK'!V79-'BOBOT PEK'!U79+1)</f>
        <v>6.25</v>
      </c>
      <c r="G325">
        <f t="shared" si="8"/>
        <v>0.21104192218316023</v>
      </c>
      <c r="H325">
        <f>MIN(100,($A325-'BOBOT PEK'!U79+1)/('BOBOT PEK'!V79-'BOBOT PEK'!U79+1)*100)</f>
        <v>56.25</v>
      </c>
      <c r="I325">
        <f>IFERROR(SUM(INDEX(TS!$M:$AB,37,1):INDEX(TS!$M:$AB,37,$A325))/TS!$L$27*100,0)</f>
        <v>0</v>
      </c>
      <c r="J325">
        <f t="shared" si="9"/>
        <v>100</v>
      </c>
      <c r="O325" t="str">
        <f ca="1">IF(I325&gt;=99.9,"COMPLETED",IF('BOBOT PEK'!U79&gt;$J$7,"NOT STARTED",IF('BOBOT PEK'!V79&lt;$J$7,"CRITICAL",IF(I325+1&lt;H325,"DELAYED","ON SCHEDULE"))))</f>
        <v>DELAYED</v>
      </c>
      <c r="Q325" t="str">
        <f>IFERROR(IF(AND($A325=$B$8,'BOBOT PEK'!U79&lt;=$B$8,$B$8&lt;='BOBOT PEK'!V79),COUNTIFS($A$17:$A325,$B$8),""),"")</f>
        <v/>
      </c>
    </row>
    <row r="326" spans="1:17" ht="12.75" customHeight="1" x14ac:dyDescent="0.2">
      <c r="A326">
        <f>IFERROR(IF(COUNTIF($C$17:C326,C326)&lt;=('BOBOT PEK'!V80-'BOBOT PEK'!U80+1),'BOBOT PEK'!U80+COUNTIF($C$17:C326,C326)-1,0),0)</f>
        <v>9</v>
      </c>
      <c r="B326" t="str">
        <f>IFERROR(TEXT(INDEX('KALENDER MINGGU'!$B$6:$B$21,$A326),"dd/mm")&amp;" - "&amp;TEXT(INDEX('KALENDER MINGGU'!$C$6:$C$21,$A326),"dd/mm"),"")</f>
        <v>17/09 - 23/09</v>
      </c>
      <c r="C326" t="s">
        <v>467</v>
      </c>
      <c r="D326" t="str">
        <f>'BOBOT PEK'!C80</f>
        <v>Besi 13 ulir , kotak 30x30cm</v>
      </c>
      <c r="E326" s="241">
        <f>'BOBOT PEK'!J80</f>
        <v>15.224105695407308</v>
      </c>
      <c r="F326">
        <f>100/('BOBOT PEK'!V80-'BOBOT PEK'!U80+1)</f>
        <v>6.25</v>
      </c>
      <c r="G326">
        <f t="shared" si="8"/>
        <v>0.95150660596295678</v>
      </c>
      <c r="H326">
        <f>MIN(100,($A326-'BOBOT PEK'!U80+1)/('BOBOT PEK'!V80-'BOBOT PEK'!U80+1)*100)</f>
        <v>56.25</v>
      </c>
      <c r="I326">
        <f>IFERROR(SUM(INDEX(TS!$M:$AB,37,1):INDEX(TS!$M:$AB,37,$A326))/TS!$L$27*100,0)</f>
        <v>0</v>
      </c>
      <c r="J326">
        <f t="shared" si="9"/>
        <v>100</v>
      </c>
      <c r="O326" t="str">
        <f ca="1">IF(I326&gt;=99.9,"COMPLETED",IF('BOBOT PEK'!U80&gt;$J$7,"NOT STARTED",IF('BOBOT PEK'!V80&lt;$J$7,"CRITICAL",IF(I326+1&lt;H326,"DELAYED","ON SCHEDULE"))))</f>
        <v>DELAYED</v>
      </c>
      <c r="Q326" t="str">
        <f>IFERROR(IF(AND($A326=$B$8,'BOBOT PEK'!U80&lt;=$B$8,$B$8&lt;='BOBOT PEK'!V80),COUNTIFS($A$17:$A326,$B$8),""),"")</f>
        <v/>
      </c>
    </row>
    <row r="327" spans="1:17" ht="12.75" customHeight="1" x14ac:dyDescent="0.2">
      <c r="A327">
        <f>IFERROR(IF(COUNTIF($C$17:C327,C327)&lt;=('BOBOT PEK'!V81-'BOBOT PEK'!U81+1),'BOBOT PEK'!U81+COUNTIF($C$17:C327,C327)-1,0),0)</f>
        <v>9</v>
      </c>
      <c r="B327" t="str">
        <f>IFERROR(TEXT(INDEX('KALENDER MINGGU'!$B$6:$B$21,$A327),"dd/mm")&amp;" - "&amp;TEXT(INDEX('KALENDER MINGGU'!$C$6:$C$21,$A327),"dd/mm"),"")</f>
        <v>17/09 - 23/09</v>
      </c>
      <c r="C327" t="s">
        <v>468</v>
      </c>
      <c r="D327" t="str">
        <f>'BOBOT PEK'!C81</f>
        <v>Cor ready mix K-350 (tanpa trowel dan line cutting)</v>
      </c>
      <c r="E327" s="241">
        <f>'BOBOT PEK'!J81</f>
        <v>18.885237150790225</v>
      </c>
      <c r="F327">
        <f>100/('BOBOT PEK'!V81-'BOBOT PEK'!U81+1)</f>
        <v>6.25</v>
      </c>
      <c r="G327">
        <f t="shared" si="8"/>
        <v>1.1803273219243891</v>
      </c>
      <c r="H327">
        <f>MIN(100,($A327-'BOBOT PEK'!U81+1)/('BOBOT PEK'!V81-'BOBOT PEK'!U81+1)*100)</f>
        <v>56.25</v>
      </c>
      <c r="I327">
        <f>IFERROR(SUM(INDEX(TS!$M:$AB,37,1):INDEX(TS!$M:$AB,37,$A327))/TS!$L$27*100,0)</f>
        <v>0</v>
      </c>
      <c r="J327">
        <f t="shared" si="9"/>
        <v>100</v>
      </c>
      <c r="O327" t="str">
        <f ca="1">IF(I327&gt;=99.9,"COMPLETED",IF('BOBOT PEK'!U81&gt;$J$7,"NOT STARTED",IF('BOBOT PEK'!V81&lt;$J$7,"CRITICAL",IF(I327+1&lt;H327,"DELAYED","ON SCHEDULE"))))</f>
        <v>DELAYED</v>
      </c>
      <c r="Q327" t="str">
        <f>IFERROR(IF(AND($A327=$B$8,'BOBOT PEK'!U81&lt;=$B$8,$B$8&lt;='BOBOT PEK'!V81),COUNTIFS($A$17:$A327,$B$8),""),"")</f>
        <v/>
      </c>
    </row>
    <row r="328" spans="1:17" ht="12.75" customHeight="1" x14ac:dyDescent="0.2">
      <c r="A328">
        <f>IFERROR(IF(COUNTIF($C$17:C328,C328)&lt;=('BOBOT PEK'!V85-'BOBOT PEK'!U85+1),'BOBOT PEK'!U85+COUNTIF($C$17:C328,C328)-1,0),0)</f>
        <v>9</v>
      </c>
      <c r="B328" t="str">
        <f>IFERROR(TEXT(INDEX('KALENDER MINGGU'!$B$6:$B$21,$A328),"dd/mm")&amp;" - "&amp;TEXT(INDEX('KALENDER MINGGU'!$C$6:$C$21,$A328),"dd/mm"),"")</f>
        <v>17/09 - 23/09</v>
      </c>
      <c r="C328" t="s">
        <v>469</v>
      </c>
      <c r="D328" t="str">
        <f>'BOBOT PEK'!C85</f>
        <v>Pekerjaan refinishing dinding pagar timur &amp; utara</v>
      </c>
      <c r="E328" s="241">
        <f>'BOBOT PEK'!J85</f>
        <v>1.0803504386044462</v>
      </c>
      <c r="F328">
        <f>100/('BOBOT PEK'!V85-'BOBOT PEK'!U85+1)</f>
        <v>10</v>
      </c>
      <c r="G328">
        <f t="shared" si="8"/>
        <v>0.10803504386044463</v>
      </c>
      <c r="H328">
        <f>MIN(100,($A328-'BOBOT PEK'!U85+1)/('BOBOT PEK'!V85-'BOBOT PEK'!U85+1)*100)</f>
        <v>50</v>
      </c>
      <c r="I328">
        <f>IFERROR(SUM(INDEX(TS!$M:$AB,39,1):INDEX(TS!$M:$AB,39,$A328))/TS!$L$29*100,0)</f>
        <v>26.078611366101978</v>
      </c>
      <c r="J328">
        <f t="shared" si="9"/>
        <v>73.921388633898019</v>
      </c>
      <c r="O328" t="str">
        <f ca="1">IF(I328&gt;=99.9,"COMPLETED",IF('BOBOT PEK'!U85&gt;$J$7,"NOT STARTED",IF('BOBOT PEK'!V85&lt;$J$7,"CRITICAL",IF(I328+1&lt;H328,"DELAYED","ON SCHEDULE"))))</f>
        <v>DELAYED</v>
      </c>
      <c r="Q328" t="str">
        <f>IFERROR(IF(AND($A328=$B$8,'BOBOT PEK'!U85&lt;=$B$8,$B$8&lt;='BOBOT PEK'!V85),COUNTIFS($A$17:$A328,$B$8),""),"")</f>
        <v/>
      </c>
    </row>
    <row r="329" spans="1:17" ht="12.75" customHeight="1" x14ac:dyDescent="0.2">
      <c r="A329">
        <f>IFERROR(IF(COUNTIF($C$17:C329,C329)&lt;=('BOBOT PEK'!V86-'BOBOT PEK'!U86+1),'BOBOT PEK'!U86+COUNTIF($C$17:C329,C329)-1,0),0)</f>
        <v>9</v>
      </c>
      <c r="B329" t="str">
        <f>IFERROR(TEXT(INDEX('KALENDER MINGGU'!$B$6:$B$21,$A329),"dd/mm")&amp;" - "&amp;TEXT(INDEX('KALENDER MINGGU'!$C$6:$C$21,$A329),"dd/mm"),"")</f>
        <v>17/09 - 23/09</v>
      </c>
      <c r="C329" t="s">
        <v>470</v>
      </c>
      <c r="D329" t="str">
        <f>'BOBOT PEK'!C86</f>
        <v>Pekerjaan refinishing dinding barat</v>
      </c>
      <c r="E329" s="241">
        <f>'BOBOT PEK'!J86</f>
        <v>0.75906975261423504</v>
      </c>
      <c r="F329">
        <f>100/('BOBOT PEK'!V86-'BOBOT PEK'!U86+1)</f>
        <v>10</v>
      </c>
      <c r="G329">
        <f t="shared" si="8"/>
        <v>7.5906975261423509E-2</v>
      </c>
      <c r="H329">
        <f>MIN(100,($A329-'BOBOT PEK'!U86+1)/('BOBOT PEK'!V86-'BOBOT PEK'!U86+1)*100)</f>
        <v>50</v>
      </c>
      <c r="I329">
        <f>IFERROR(SUM(INDEX(TS!$M:$AB,39,1):INDEX(TS!$M:$AB,39,$A329))/TS!$L$29*100,0)</f>
        <v>26.078611366101978</v>
      </c>
      <c r="J329">
        <f t="shared" si="9"/>
        <v>73.921388633898019</v>
      </c>
      <c r="O329" t="str">
        <f ca="1">IF(I329&gt;=99.9,"COMPLETED",IF('BOBOT PEK'!U86&gt;$J$7,"NOT STARTED",IF('BOBOT PEK'!V86&lt;$J$7,"CRITICAL",IF(I329+1&lt;H329,"DELAYED","ON SCHEDULE"))))</f>
        <v>DELAYED</v>
      </c>
      <c r="Q329" t="str">
        <f>IFERROR(IF(AND($A329=$B$8,'BOBOT PEK'!U86&lt;=$B$8,$B$8&lt;='BOBOT PEK'!V86),COUNTIFS($A$17:$A329,$B$8),""),"")</f>
        <v/>
      </c>
    </row>
    <row r="330" spans="1:17" ht="12.75" customHeight="1" x14ac:dyDescent="0.2">
      <c r="A330">
        <f>IFERROR(IF(COUNTIF($C$17:C330,C330)&lt;=('BOBOT PEK'!V91-'BOBOT PEK'!U91+1),'BOBOT PEK'!U91+COUNTIF($C$17:C330,C330)-1,0),0)</f>
        <v>0</v>
      </c>
      <c r="B330" t="str">
        <f>IFERROR(TEXT(INDEX('KALENDER MINGGU'!$B$6:$B$21,$A330),"dd/mm")&amp;" - "&amp;TEXT(INDEX('KALENDER MINGGU'!$C$6:$C$21,$A330),"dd/mm"),"")</f>
        <v/>
      </c>
      <c r="C330" t="s">
        <v>471</v>
      </c>
      <c r="D330" t="str">
        <f>'BOBOT PEK'!C91</f>
        <v>Ganti rangka atap toilet ( rangka lama sudah lapuk )</v>
      </c>
      <c r="E330" s="241">
        <f>'BOBOT PEK'!J91</f>
        <v>0.92235801335101819</v>
      </c>
      <c r="F330">
        <f>100/('BOBOT PEK'!V91-'BOBOT PEK'!U91+1)</f>
        <v>50</v>
      </c>
      <c r="G330">
        <f t="shared" si="8"/>
        <v>0.4611790066755091</v>
      </c>
      <c r="H330">
        <f>MIN(100,($A330-'BOBOT PEK'!U91+1)/('BOBOT PEK'!V91-'BOBOT PEK'!U91+1)*100)</f>
        <v>-250</v>
      </c>
      <c r="I330">
        <f>IFERROR(SUM(INDEX(TS!$M:$AB,41,1):INDEX(TS!$M:$AB,41,$A330))/TS!$L$31*100,0)</f>
        <v>21.294065245273501</v>
      </c>
      <c r="J330">
        <f t="shared" si="9"/>
        <v>78.705934754726499</v>
      </c>
      <c r="O330" t="str">
        <f ca="1">IF(I330&gt;=99.9,"COMPLETED",IF('BOBOT PEK'!U91&gt;$J$7,"NOT STARTED",IF('BOBOT PEK'!V91&lt;$J$7,"CRITICAL",IF(I330+1&lt;H330,"DELAYED","ON SCHEDULE"))))</f>
        <v>CRITICAL</v>
      </c>
      <c r="Q330" t="str">
        <f>IFERROR(IF(AND($A330=$B$8,'BOBOT PEK'!U91&lt;=$B$8,$B$8&lt;='BOBOT PEK'!V91),COUNTIFS($A$17:$A330,$B$8),""),"")</f>
        <v/>
      </c>
    </row>
    <row r="331" spans="1:17" ht="12.75" customHeight="1" x14ac:dyDescent="0.2">
      <c r="A331">
        <f>IFERROR(IF(COUNTIF($C$17:C331,C331)&lt;=('BOBOT PEK'!V92-'BOBOT PEK'!U92+1),'BOBOT PEK'!U92+COUNTIF($C$17:C331,C331)-1,0),0)</f>
        <v>0</v>
      </c>
      <c r="B331" t="str">
        <f>IFERROR(TEXT(INDEX('KALENDER MINGGU'!$B$6:$B$21,$A331),"dd/mm")&amp;" - "&amp;TEXT(INDEX('KALENDER MINGGU'!$C$6:$C$21,$A331),"dd/mm"),"")</f>
        <v/>
      </c>
      <c r="C331" t="s">
        <v>472</v>
      </c>
      <c r="D331" t="str">
        <f>'BOBOT PEK'!C92</f>
        <v>Perbaikan plafond + refinishing cat</v>
      </c>
      <c r="E331" s="241">
        <f>'BOBOT PEK'!J92</f>
        <v>0.49755269797241802</v>
      </c>
      <c r="F331">
        <f>100/('BOBOT PEK'!V92-'BOBOT PEK'!U92+1)</f>
        <v>50</v>
      </c>
      <c r="G331">
        <f t="shared" si="8"/>
        <v>0.24877634898620901</v>
      </c>
      <c r="H331">
        <f>MIN(100,($A331-'BOBOT PEK'!U92+1)/('BOBOT PEK'!V92-'BOBOT PEK'!U92+1)*100)</f>
        <v>-300</v>
      </c>
      <c r="I331">
        <f>IFERROR(SUM(INDEX(TS!$M:$AB,41,1):INDEX(TS!$M:$AB,41,$A331))/TS!$L$31*100,0)</f>
        <v>21.294065245273501</v>
      </c>
      <c r="J331">
        <f t="shared" si="9"/>
        <v>78.705934754726499</v>
      </c>
      <c r="O331" t="str">
        <f ca="1">IF(I331&gt;=99.9,"COMPLETED",IF('BOBOT PEK'!U92&gt;$J$7,"NOT STARTED",IF('BOBOT PEK'!V92&lt;$J$7,"CRITICAL",IF(I331+1&lt;H331,"DELAYED","ON SCHEDULE"))))</f>
        <v>CRITICAL</v>
      </c>
      <c r="Q331" t="str">
        <f>IFERROR(IF(AND($A331=$B$8,'BOBOT PEK'!U92&lt;=$B$8,$B$8&lt;='BOBOT PEK'!V92),COUNTIFS($A$17:$A331,$B$8),""),"")</f>
        <v/>
      </c>
    </row>
    <row r="332" spans="1:17" ht="12.75" customHeight="1" x14ac:dyDescent="0.2">
      <c r="A332">
        <f>IFERROR(IF(COUNTIF($C$17:C332,C332)&lt;=('BOBOT PEK'!V93-'BOBOT PEK'!U93+1),'BOBOT PEK'!U93+COUNTIF($C$17:C332,C332)-1,0),0)</f>
        <v>0</v>
      </c>
      <c r="B332" t="str">
        <f>IFERROR(TEXT(INDEX('KALENDER MINGGU'!$B$6:$B$21,$A332),"dd/mm")&amp;" - "&amp;TEXT(INDEX('KALENDER MINGGU'!$C$6:$C$21,$A332),"dd/mm"),"")</f>
        <v/>
      </c>
      <c r="C332" t="s">
        <v>473</v>
      </c>
      <c r="D332" t="str">
        <f>'BOBOT PEK'!C93</f>
        <v>Cat ulang exterior musholla</v>
      </c>
      <c r="E332" s="241">
        <f>'BOBOT PEK'!J93</f>
        <v>0.17417414478590201</v>
      </c>
      <c r="F332">
        <f>100/('BOBOT PEK'!V93-'BOBOT PEK'!U93+1)</f>
        <v>50</v>
      </c>
      <c r="G332">
        <f t="shared" si="8"/>
        <v>8.7087072392951007E-2</v>
      </c>
      <c r="H332">
        <f>MIN(100,($A332-'BOBOT PEK'!U93+1)/('BOBOT PEK'!V93-'BOBOT PEK'!U93+1)*100)</f>
        <v>-350</v>
      </c>
      <c r="I332">
        <f>IFERROR(SUM(INDEX(TS!$M:$AB,41,1):INDEX(TS!$M:$AB,41,$A332))/TS!$L$31*100,0)</f>
        <v>21.294065245273501</v>
      </c>
      <c r="J332">
        <f t="shared" si="9"/>
        <v>78.705934754726499</v>
      </c>
      <c r="O332" t="str">
        <f ca="1">IF(I332&gt;=99.9,"COMPLETED",IF('BOBOT PEK'!U93&gt;$J$7,"NOT STARTED",IF('BOBOT PEK'!V93&lt;$J$7,"CRITICAL",IF(I332+1&lt;H332,"DELAYED","ON SCHEDULE"))))</f>
        <v>CRITICAL</v>
      </c>
      <c r="Q332" t="str">
        <f>IFERROR(IF(AND($A332=$B$8,'BOBOT PEK'!U93&lt;=$B$8,$B$8&lt;='BOBOT PEK'!V93),COUNTIFS($A$17:$A332,$B$8),""),"")</f>
        <v/>
      </c>
    </row>
    <row r="333" spans="1:17" ht="12.75" customHeight="1" x14ac:dyDescent="0.2">
      <c r="A333">
        <f>IFERROR(IF(COUNTIF($C$17:C333,C333)&lt;=('BOBOT PEK'!V94-'BOBOT PEK'!U94+1),'BOBOT PEK'!U94+COUNTIF($C$17:C333,C333)-1,0),0)</f>
        <v>0</v>
      </c>
      <c r="B333" t="str">
        <f>IFERROR(TEXT(INDEX('KALENDER MINGGU'!$B$6:$B$21,$A333),"dd/mm")&amp;" - "&amp;TEXT(INDEX('KALENDER MINGGU'!$C$6:$C$21,$A333),"dd/mm"),"")</f>
        <v/>
      </c>
      <c r="C333" t="s">
        <v>474</v>
      </c>
      <c r="D333" t="str">
        <f>'BOBOT PEK'!C94</f>
        <v>Penggantian pintu  musholla</v>
      </c>
      <c r="E333" s="241">
        <f>'BOBOT PEK'!J94</f>
        <v>9.9776610555966191E-2</v>
      </c>
      <c r="F333">
        <f>100/('BOBOT PEK'!V94-'BOBOT PEK'!U94+1)</f>
        <v>50</v>
      </c>
      <c r="G333">
        <f t="shared" si="8"/>
        <v>4.9888305277983096E-2</v>
      </c>
      <c r="H333">
        <f>MIN(100,($A333-'BOBOT PEK'!U94+1)/('BOBOT PEK'!V94-'BOBOT PEK'!U94+1)*100)</f>
        <v>-350</v>
      </c>
      <c r="I333">
        <f>IFERROR(SUM(INDEX(TS!$M:$AB,41,1):INDEX(TS!$M:$AB,41,$A333))/TS!$L$31*100,0)</f>
        <v>21.294065245273501</v>
      </c>
      <c r="J333">
        <f t="shared" si="9"/>
        <v>78.705934754726499</v>
      </c>
      <c r="O333" t="str">
        <f ca="1">IF(I333&gt;=99.9,"COMPLETED",IF('BOBOT PEK'!U94&gt;$J$7,"NOT STARTED",IF('BOBOT PEK'!V94&lt;$J$7,"CRITICAL",IF(I333+1&lt;H333,"DELAYED","ON SCHEDULE"))))</f>
        <v>CRITICAL</v>
      </c>
      <c r="Q333" t="str">
        <f>IFERROR(IF(AND($A333=$B$8,'BOBOT PEK'!U94&lt;=$B$8,$B$8&lt;='BOBOT PEK'!V94),COUNTIFS($A$17:$A333,$B$8),""),"")</f>
        <v/>
      </c>
    </row>
    <row r="334" spans="1:17" ht="12.75" customHeight="1" x14ac:dyDescent="0.2">
      <c r="A334">
        <f>IFERROR(IF(COUNTIF($C$17:C334,C334)&lt;=('BOBOT PEK'!V95-'BOBOT PEK'!U95+1),'BOBOT PEK'!U95+COUNTIF($C$17:C334,C334)-1,0),0)</f>
        <v>0</v>
      </c>
      <c r="B334" t="str">
        <f>IFERROR(TEXT(INDEX('KALENDER MINGGU'!$B$6:$B$21,$A334),"dd/mm")&amp;" - "&amp;TEXT(INDEX('KALENDER MINGGU'!$C$6:$C$21,$A334),"dd/mm"),"")</f>
        <v/>
      </c>
      <c r="C334" t="s">
        <v>475</v>
      </c>
      <c r="D334" t="str">
        <f>'BOBOT PEK'!C95</f>
        <v>Penggantian keramik teras</v>
      </c>
      <c r="E334" s="241">
        <f>'BOBOT PEK'!J95</f>
        <v>6.1400991111363809E-2</v>
      </c>
      <c r="F334">
        <f>100/('BOBOT PEK'!V95-'BOBOT PEK'!U95+1)</f>
        <v>50</v>
      </c>
      <c r="G334">
        <f t="shared" si="8"/>
        <v>3.0700495555681905E-2</v>
      </c>
      <c r="H334">
        <f>MIN(100,($A334-'BOBOT PEK'!U95+1)/('BOBOT PEK'!V95-'BOBOT PEK'!U95+1)*100)</f>
        <v>-300</v>
      </c>
      <c r="I334">
        <f>IFERROR(SUM(INDEX(TS!$M:$AB,41,1):INDEX(TS!$M:$AB,41,$A334))/TS!$L$31*100,0)</f>
        <v>21.294065245273501</v>
      </c>
      <c r="J334">
        <f t="shared" si="9"/>
        <v>78.705934754726499</v>
      </c>
      <c r="O334" t="str">
        <f ca="1">IF(I334&gt;=99.9,"COMPLETED",IF('BOBOT PEK'!U95&gt;$J$7,"NOT STARTED",IF('BOBOT PEK'!V95&lt;$J$7,"CRITICAL",IF(I334+1&lt;H334,"DELAYED","ON SCHEDULE"))))</f>
        <v>CRITICAL</v>
      </c>
      <c r="Q334" t="str">
        <f>IFERROR(IF(AND($A334=$B$8,'BOBOT PEK'!U95&lt;=$B$8,$B$8&lt;='BOBOT PEK'!V95),COUNTIFS($A$17:$A334,$B$8),""),"")</f>
        <v/>
      </c>
    </row>
    <row r="335" spans="1:17" ht="12.75" customHeight="1" x14ac:dyDescent="0.2">
      <c r="A335">
        <f>IFERROR(IF(COUNTIF($C$17:C335,C335)&lt;=('BOBOT PEK'!V96-'BOBOT PEK'!U96+1),'BOBOT PEK'!U96+COUNTIF($C$17:C335,C335)-1,0),0)</f>
        <v>0</v>
      </c>
      <c r="B335" t="str">
        <f>IFERROR(TEXT(INDEX('KALENDER MINGGU'!$B$6:$B$21,$A335),"dd/mm")&amp;" - "&amp;TEXT(INDEX('KALENDER MINGGU'!$C$6:$C$21,$A335),"dd/mm"),"")</f>
        <v/>
      </c>
      <c r="C335" t="s">
        <v>476</v>
      </c>
      <c r="D335" t="str">
        <f>'BOBOT PEK'!C96</f>
        <v>Pembuatan tempat wudhu</v>
      </c>
      <c r="E335" s="241">
        <f>'BOBOT PEK'!J96</f>
        <v>6.907611500028428E-2</v>
      </c>
      <c r="F335">
        <f>100/('BOBOT PEK'!V96-'BOBOT PEK'!U96+1)</f>
        <v>50</v>
      </c>
      <c r="G335">
        <f t="shared" si="8"/>
        <v>3.453805750014214E-2</v>
      </c>
      <c r="H335">
        <f>MIN(100,($A335-'BOBOT PEK'!U96+1)/('BOBOT PEK'!V96-'BOBOT PEK'!U96+1)*100)</f>
        <v>-350</v>
      </c>
      <c r="I335">
        <f>IFERROR(SUM(INDEX(TS!$M:$AB,41,1):INDEX(TS!$M:$AB,41,$A335))/TS!$L$31*100,0)</f>
        <v>21.294065245273501</v>
      </c>
      <c r="J335">
        <f t="shared" si="9"/>
        <v>78.705934754726499</v>
      </c>
      <c r="O335" t="str">
        <f ca="1">IF(I335&gt;=99.9,"COMPLETED",IF('BOBOT PEK'!U96&gt;$J$7,"NOT STARTED",IF('BOBOT PEK'!V96&lt;$J$7,"CRITICAL",IF(I335+1&lt;H335,"DELAYED","ON SCHEDULE"))))</f>
        <v>CRITICAL</v>
      </c>
      <c r="Q335" t="str">
        <f>IFERROR(IF(AND($A335=$B$8,'BOBOT PEK'!U96&lt;=$B$8,$B$8&lt;='BOBOT PEK'!V96),COUNTIFS($A$17:$A335,$B$8),""),"")</f>
        <v/>
      </c>
    </row>
    <row r="336" spans="1:17" ht="12.75" customHeight="1" x14ac:dyDescent="0.2">
      <c r="A336">
        <f>IFERROR(IF(COUNTIF($C$17:C336,C336)&lt;=('BOBOT PEK'!V97-'BOBOT PEK'!U97+1),'BOBOT PEK'!U97+COUNTIF($C$17:C336,C336)-1,0),0)</f>
        <v>0</v>
      </c>
      <c r="B336" t="str">
        <f>IFERROR(TEXT(INDEX('KALENDER MINGGU'!$B$6:$B$21,$A336),"dd/mm")&amp;" - "&amp;TEXT(INDEX('KALENDER MINGGU'!$C$6:$C$21,$A336),"dd/mm"),"")</f>
        <v/>
      </c>
      <c r="C336" t="s">
        <v>477</v>
      </c>
      <c r="D336" t="str">
        <f>'BOBOT PEK'!C97</f>
        <v>Pembuatan instalasi wastafel</v>
      </c>
      <c r="E336" s="241">
        <f>'BOBOT PEK'!J97</f>
        <v>5.116749259280318E-3</v>
      </c>
      <c r="F336">
        <f>100/('BOBOT PEK'!V97-'BOBOT PEK'!U97+1)</f>
        <v>50</v>
      </c>
      <c r="G336">
        <f t="shared" si="8"/>
        <v>2.558374629640159E-3</v>
      </c>
      <c r="H336">
        <f>MIN(100,($A336-'BOBOT PEK'!U97+1)/('BOBOT PEK'!V97-'BOBOT PEK'!U97+1)*100)</f>
        <v>-350</v>
      </c>
      <c r="I336">
        <f>IFERROR(SUM(INDEX(TS!$M:$AB,41,1):INDEX(TS!$M:$AB,41,$A336))/TS!$L$31*100,0)</f>
        <v>21.294065245273501</v>
      </c>
      <c r="J336">
        <f t="shared" si="9"/>
        <v>78.705934754726499</v>
      </c>
      <c r="O336" t="str">
        <f ca="1">IF(I336&gt;=99.9,"COMPLETED",IF('BOBOT PEK'!U97&gt;$J$7,"NOT STARTED",IF('BOBOT PEK'!V97&lt;$J$7,"CRITICAL",IF(I336+1&lt;H336,"DELAYED","ON SCHEDULE"))))</f>
        <v>CRITICAL</v>
      </c>
      <c r="Q336" t="str">
        <f>IFERROR(IF(AND($A336=$B$8,'BOBOT PEK'!U97&lt;=$B$8,$B$8&lt;='BOBOT PEK'!V97),COUNTIFS($A$17:$A336,$B$8),""),"")</f>
        <v/>
      </c>
    </row>
    <row r="337" spans="1:17" ht="12.75" customHeight="1" x14ac:dyDescent="0.2">
      <c r="A337">
        <f>IFERROR(IF(COUNTIF($C$17:C337,C337)&lt;=('BOBOT PEK'!V98-'BOBOT PEK'!U98+1),'BOBOT PEK'!U98+COUNTIF($C$17:C337,C337)-1,0),0)</f>
        <v>0</v>
      </c>
      <c r="B337" t="str">
        <f>IFERROR(TEXT(INDEX('KALENDER MINGGU'!$B$6:$B$21,$A337),"dd/mm")&amp;" - "&amp;TEXT(INDEX('KALENDER MINGGU'!$C$6:$C$21,$A337),"dd/mm"),"")</f>
        <v/>
      </c>
      <c r="C337" t="s">
        <v>478</v>
      </c>
      <c r="D337" t="str">
        <f>'BOBOT PEK'!C98</f>
        <v>Pekerjaan lantai bengkel</v>
      </c>
      <c r="E337" s="241">
        <f>'BOBOT PEK'!J98</f>
        <v>0</v>
      </c>
      <c r="F337">
        <f>100/('BOBOT PEK'!V98-'BOBOT PEK'!U98+1)</f>
        <v>33.333333333333336</v>
      </c>
      <c r="G337">
        <f t="shared" ref="G337:G400" si="10">F337/100*E337</f>
        <v>0</v>
      </c>
      <c r="H337">
        <f>MIN(100,($A337-'BOBOT PEK'!U98+1)/('BOBOT PEK'!V98-'BOBOT PEK'!U98+1)*100)</f>
        <v>-200</v>
      </c>
      <c r="I337">
        <f>IFERROR(SUM(INDEX(TS!$M:$AB,41,1):INDEX(TS!$M:$AB,41,$A337))/TS!$L$31*100,0)</f>
        <v>21.294065245273501</v>
      </c>
      <c r="J337">
        <f t="shared" ref="J337:J400" si="11">MAX(0,100-I337)</f>
        <v>78.705934754726499</v>
      </c>
      <c r="O337" t="str">
        <f ca="1">IF(I337&gt;=99.9,"COMPLETED",IF('BOBOT PEK'!U98&gt;$J$7,"NOT STARTED",IF('BOBOT PEK'!V98&lt;$J$7,"CRITICAL",IF(I337+1&lt;H337,"DELAYED","ON SCHEDULE"))))</f>
        <v>CRITICAL</v>
      </c>
      <c r="Q337" t="str">
        <f>IFERROR(IF(AND($A337=$B$8,'BOBOT PEK'!U98&lt;=$B$8,$B$8&lt;='BOBOT PEK'!V98),COUNTIFS($A$17:$A337,$B$8),""),"")</f>
        <v/>
      </c>
    </row>
    <row r="338" spans="1:17" ht="12.75" customHeight="1" x14ac:dyDescent="0.2">
      <c r="A338">
        <f>IFERROR(IF(COUNTIF($C$17:C338,C338)&lt;=('BOBOT PEK'!V101-'BOBOT PEK'!U101+1),'BOBOT PEK'!U101+COUNTIF($C$17:C338,C338)-1,0),0)</f>
        <v>0</v>
      </c>
      <c r="B338" t="str">
        <f>IFERROR(TEXT(INDEX('KALENDER MINGGU'!$B$6:$B$21,$A338),"dd/mm")&amp;" - "&amp;TEXT(INDEX('KALENDER MINGGU'!$C$6:$C$21,$A338),"dd/mm"),"")</f>
        <v/>
      </c>
      <c r="C338" t="s">
        <v>481</v>
      </c>
      <c r="D338" t="str">
        <f>'BOBOT PEK'!C101</f>
        <v xml:space="preserve">Finishing paving </v>
      </c>
      <c r="E338" s="241">
        <f>'BOBOT PEK'!J101</f>
        <v>2.7016436089000075</v>
      </c>
      <c r="F338">
        <f>100/('BOBOT PEK'!V101-'BOBOT PEK'!U101+1)</f>
        <v>25</v>
      </c>
      <c r="G338">
        <f t="shared" si="10"/>
        <v>0.67541090222500189</v>
      </c>
      <c r="H338">
        <f>MIN(100,($A338-'BOBOT PEK'!U101+1)/('BOBOT PEK'!V101-'BOBOT PEK'!U101+1)*100)</f>
        <v>-125</v>
      </c>
      <c r="I338">
        <f>IFERROR(SUM(INDEX(TS!$M:$AB,41,1):INDEX(TS!$M:$AB,41,$A338))/TS!$L$31*100,0)</f>
        <v>21.294065245273501</v>
      </c>
      <c r="J338">
        <f t="shared" si="11"/>
        <v>78.705934754726499</v>
      </c>
      <c r="O338" t="str">
        <f ca="1">IF(I338&gt;=99.9,"COMPLETED",IF('BOBOT PEK'!U101&gt;$J$7,"NOT STARTED",IF('BOBOT PEK'!V101&lt;$J$7,"CRITICAL",IF(I338+1&lt;H338,"DELAYED","ON SCHEDULE"))))</f>
        <v>CRITICAL</v>
      </c>
      <c r="Q338" t="str">
        <f>IFERROR(IF(AND($A338=$B$8,'BOBOT PEK'!U101&lt;=$B$8,$B$8&lt;='BOBOT PEK'!V101),COUNTIFS($A$17:$A338,$B$8),""),"")</f>
        <v/>
      </c>
    </row>
    <row r="339" spans="1:17" ht="12.75" customHeight="1" x14ac:dyDescent="0.2">
      <c r="A339">
        <f>IFERROR(IF(COUNTIF($C$17:C339,C339)&lt;=('BOBOT PEK'!V102-'BOBOT PEK'!U102+1),'BOBOT PEK'!U102+COUNTIF($C$17:C339,C339)-1,0),0)</f>
        <v>0</v>
      </c>
      <c r="B339" t="str">
        <f>IFERROR(TEXT(INDEX('KALENDER MINGGU'!$B$6:$B$21,$A339),"dd/mm")&amp;" - "&amp;TEXT(INDEX('KALENDER MINGGU'!$C$6:$C$21,$A339),"dd/mm"),"")</f>
        <v/>
      </c>
      <c r="C339" t="s">
        <v>482</v>
      </c>
      <c r="D339" t="str">
        <f>'BOBOT PEK'!C102</f>
        <v>Terminasi cor keliling</v>
      </c>
      <c r="E339" s="241">
        <f>'BOBOT PEK'!J102</f>
        <v>0.33770545111250094</v>
      </c>
      <c r="F339">
        <f>100/('BOBOT PEK'!V102-'BOBOT PEK'!U102+1)</f>
        <v>33.333333333333336</v>
      </c>
      <c r="G339">
        <f t="shared" si="10"/>
        <v>0.112568483704167</v>
      </c>
      <c r="H339">
        <f>MIN(100,($A339-'BOBOT PEK'!U102+1)/('BOBOT PEK'!V102-'BOBOT PEK'!U102+1)*100)</f>
        <v>-200</v>
      </c>
      <c r="I339">
        <f>IFERROR(SUM(INDEX(TS!$M:$AB,41,1):INDEX(TS!$M:$AB,41,$A339))/TS!$L$31*100,0)</f>
        <v>21.294065245273501</v>
      </c>
      <c r="J339">
        <f t="shared" si="11"/>
        <v>78.705934754726499</v>
      </c>
      <c r="O339" t="str">
        <f ca="1">IF(I339&gt;=99.9,"COMPLETED",IF('BOBOT PEK'!U102&gt;$J$7,"NOT STARTED",IF('BOBOT PEK'!V102&lt;$J$7,"CRITICAL",IF(I339+1&lt;H339,"DELAYED","ON SCHEDULE"))))</f>
        <v>CRITICAL</v>
      </c>
      <c r="Q339" t="str">
        <f>IFERROR(IF(AND($A339=$B$8,'BOBOT PEK'!U102&lt;=$B$8,$B$8&lt;='BOBOT PEK'!V102),COUNTIFS($A$17:$A339,$B$8),""),"")</f>
        <v/>
      </c>
    </row>
    <row r="340" spans="1:17" ht="12.75" customHeight="1" x14ac:dyDescent="0.2">
      <c r="A340">
        <f>IFERROR(IF(COUNTIF($C$17:C340,C340)&lt;=('BOBOT PEK'!V103-'BOBOT PEK'!U103+1),'BOBOT PEK'!U103+COUNTIF($C$17:C340,C340)-1,0),0)</f>
        <v>9</v>
      </c>
      <c r="B340" t="str">
        <f>IFERROR(TEXT(INDEX('KALENDER MINGGU'!$B$6:$B$21,$A340),"dd/mm")&amp;" - "&amp;TEXT(INDEX('KALENDER MINGGU'!$C$6:$C$21,$A340),"dd/mm"),"")</f>
        <v>17/09 - 23/09</v>
      </c>
      <c r="C340" t="s">
        <v>483</v>
      </c>
      <c r="D340" t="str">
        <f>'BOBOT PEK'!C103</f>
        <v>Pondasi Struktur bengkel</v>
      </c>
      <c r="E340" s="241">
        <f>'BOBOT PEK'!J103</f>
        <v>0.19955322111193238</v>
      </c>
      <c r="F340">
        <f>100/('BOBOT PEK'!V103-'BOBOT PEK'!U103+1)</f>
        <v>14.285714285714286</v>
      </c>
      <c r="G340">
        <f t="shared" si="10"/>
        <v>2.8507603015990344E-2</v>
      </c>
      <c r="H340">
        <f>MIN(100,($A340-'BOBOT PEK'!U103+1)/('BOBOT PEK'!V103-'BOBOT PEK'!U103+1)*100)</f>
        <v>85.714285714285708</v>
      </c>
      <c r="I340">
        <f>IFERROR(SUM(INDEX(TS!$M:$AB,41,1):INDEX(TS!$M:$AB,41,$A340))/TS!$L$31*100,0)</f>
        <v>15.970548933955127</v>
      </c>
      <c r="J340">
        <f t="shared" si="11"/>
        <v>84.029451066044871</v>
      </c>
      <c r="O340" t="str">
        <f ca="1">IF(I340&gt;=99.9,"COMPLETED",IF('BOBOT PEK'!U103&gt;$J$7,"NOT STARTED",IF('BOBOT PEK'!V103&lt;$J$7,"CRITICAL",IF(I340+1&lt;H340,"DELAYED","ON SCHEDULE"))))</f>
        <v>DELAYED</v>
      </c>
      <c r="Q340" t="str">
        <f>IFERROR(IF(AND($A340=$B$8,'BOBOT PEK'!U103&lt;=$B$8,$B$8&lt;='BOBOT PEK'!V103),COUNTIFS($A$17:$A340,$B$8),""),"")</f>
        <v/>
      </c>
    </row>
    <row r="341" spans="1:17" ht="12.75" customHeight="1" x14ac:dyDescent="0.2">
      <c r="A341">
        <f>IFERROR(IF(COUNTIF($C$17:C341,C341)&lt;=('BOBOT PEK'!V104-'BOBOT PEK'!U104+1),'BOBOT PEK'!U104+COUNTIF($C$17:C341,C341)-1,0),0)</f>
        <v>9</v>
      </c>
      <c r="B341" t="str">
        <f>IFERROR(TEXT(INDEX('KALENDER MINGGU'!$B$6:$B$21,$A341),"dd/mm")&amp;" - "&amp;TEXT(INDEX('KALENDER MINGGU'!$C$6:$C$21,$A341),"dd/mm"),"")</f>
        <v>17/09 - 23/09</v>
      </c>
      <c r="C341" t="s">
        <v>484</v>
      </c>
      <c r="D341" t="str">
        <f>'BOBOT PEK'!C104</f>
        <v>Atap bengkel dan cucian mobil</v>
      </c>
      <c r="E341" s="241">
        <f>'BOBOT PEK'!J104</f>
        <v>1.4215864467058505</v>
      </c>
      <c r="F341">
        <f>100/('BOBOT PEK'!V104-'BOBOT PEK'!U104+1)</f>
        <v>14.285714285714286</v>
      </c>
      <c r="G341">
        <f t="shared" si="10"/>
        <v>0.20308377810083583</v>
      </c>
      <c r="H341">
        <f>MIN(100,($A341-'BOBOT PEK'!U104+1)/('BOBOT PEK'!V104-'BOBOT PEK'!U104+1)*100)</f>
        <v>85.714285714285708</v>
      </c>
      <c r="I341">
        <f>IFERROR(SUM(INDEX(TS!$M:$AB,41,1):INDEX(TS!$M:$AB,41,$A341))/TS!$L$31*100,0)</f>
        <v>15.970548933955127</v>
      </c>
      <c r="J341">
        <f t="shared" si="11"/>
        <v>84.029451066044871</v>
      </c>
      <c r="O341" t="str">
        <f ca="1">IF(I341&gt;=99.9,"COMPLETED",IF('BOBOT PEK'!U104&gt;$J$7,"NOT STARTED",IF('BOBOT PEK'!V104&lt;$J$7,"CRITICAL",IF(I341+1&lt;H341,"DELAYED","ON SCHEDULE"))))</f>
        <v>DELAYED</v>
      </c>
      <c r="Q341" t="str">
        <f>IFERROR(IF(AND($A341=$B$8,'BOBOT PEK'!U104&lt;=$B$8,$B$8&lt;='BOBOT PEK'!V104),COUNTIFS($A$17:$A341,$B$8),""),"")</f>
        <v/>
      </c>
    </row>
    <row r="342" spans="1:17" ht="12.75" customHeight="1" x14ac:dyDescent="0.2">
      <c r="A342">
        <f>IFERROR(IF(COUNTIF($C$17:C342,C342)&lt;=('BOBOT PEK'!V105-'BOBOT PEK'!U105+1),'BOBOT PEK'!U105+COUNTIF($C$17:C342,C342)-1,0),0)</f>
        <v>9</v>
      </c>
      <c r="B342" t="str">
        <f>IFERROR(TEXT(INDEX('KALENDER MINGGU'!$B$6:$B$21,$A342),"dd/mm")&amp;" - "&amp;TEXT(INDEX('KALENDER MINGGU'!$C$6:$C$21,$A342),"dd/mm"),"")</f>
        <v>17/09 - 23/09</v>
      </c>
      <c r="C342" t="s">
        <v>485</v>
      </c>
      <c r="D342" t="str">
        <f>'BOBOT PEK'!C105</f>
        <v>Instalasi air bersih ke arah bengkel</v>
      </c>
      <c r="E342" s="241">
        <f>'BOBOT PEK'!J105</f>
        <v>0.14531567896356101</v>
      </c>
      <c r="F342">
        <f>100/('BOBOT PEK'!V105-'BOBOT PEK'!U105+1)</f>
        <v>14.285714285714286</v>
      </c>
      <c r="G342">
        <f t="shared" si="10"/>
        <v>2.0759382709080149E-2</v>
      </c>
      <c r="H342">
        <f>MIN(100,($A342-'BOBOT PEK'!U105+1)/('BOBOT PEK'!V105-'BOBOT PEK'!U105+1)*100)</f>
        <v>85.714285714285708</v>
      </c>
      <c r="I342">
        <f>IFERROR(SUM(INDEX(TS!$M:$AB,41,1):INDEX(TS!$M:$AB,41,$A342))/TS!$L$31*100,0)</f>
        <v>15.970548933955127</v>
      </c>
      <c r="J342">
        <f t="shared" si="11"/>
        <v>84.029451066044871</v>
      </c>
      <c r="O342" t="str">
        <f ca="1">IF(I342&gt;=99.9,"COMPLETED",IF('BOBOT PEK'!U105&gt;$J$7,"NOT STARTED",IF('BOBOT PEK'!V105&lt;$J$7,"CRITICAL",IF(I342+1&lt;H342,"DELAYED","ON SCHEDULE"))))</f>
        <v>DELAYED</v>
      </c>
      <c r="Q342" t="str">
        <f>IFERROR(IF(AND($A342=$B$8,'BOBOT PEK'!U105&lt;=$B$8,$B$8&lt;='BOBOT PEK'!V105),COUNTIFS($A$17:$A342,$B$8),""),"")</f>
        <v/>
      </c>
    </row>
    <row r="343" spans="1:17" ht="12.75" customHeight="1" x14ac:dyDescent="0.2">
      <c r="A343">
        <f>IFERROR(IF(COUNTIF($C$17:C343,C343)&lt;=('BOBOT PEK'!V110-'BOBOT PEK'!U110+1),'BOBOT PEK'!U110+COUNTIF($C$17:C343,C343)-1,0),0)</f>
        <v>9</v>
      </c>
      <c r="B343" t="str">
        <f>IFERROR(TEXT(INDEX('KALENDER MINGGU'!$B$6:$B$21,$A343),"dd/mm")&amp;" - "&amp;TEXT(INDEX('KALENDER MINGGU'!$C$6:$C$21,$A343),"dd/mm"),"")</f>
        <v>17/09 - 23/09</v>
      </c>
      <c r="C343" t="s">
        <v>486</v>
      </c>
      <c r="D343" t="str">
        <f>'BOBOT PEK'!C110</f>
        <v>Pemadatan dan peninggian lantai ex. Taman samping</v>
      </c>
      <c r="E343" s="241">
        <f>'BOBOT PEK'!J110</f>
        <v>0.51167492592803177</v>
      </c>
      <c r="F343">
        <f>100/('BOBOT PEK'!V110-'BOBOT PEK'!U110+1)</f>
        <v>16.666666666666668</v>
      </c>
      <c r="G343">
        <f t="shared" si="10"/>
        <v>8.5279154321338632E-2</v>
      </c>
      <c r="H343">
        <f>MIN(100,($A343-'BOBOT PEK'!U110+1)/('BOBOT PEK'!V110-'BOBOT PEK'!U110+1)*100)</f>
        <v>100</v>
      </c>
      <c r="I343">
        <f>IFERROR(SUM(INDEX(TS!$M:$AB,43,1):INDEX(TS!$M:$AB,43,$A343))/TS!$L$33*100,0)</f>
        <v>0</v>
      </c>
      <c r="J343">
        <f t="shared" si="11"/>
        <v>100</v>
      </c>
      <c r="O343" t="str">
        <f ca="1">IF(I343&gt;=99.9,"COMPLETED",IF('BOBOT PEK'!U110&gt;$J$7,"NOT STARTED",IF('BOBOT PEK'!V110&lt;$J$7,"CRITICAL",IF(I343+1&lt;H343,"DELAYED","ON SCHEDULE"))))</f>
        <v>CRITICAL</v>
      </c>
      <c r="Q343" t="str">
        <f>IFERROR(IF(AND($A343=$B$8,'BOBOT PEK'!U110&lt;=$B$8,$B$8&lt;='BOBOT PEK'!V110),COUNTIFS($A$17:$A343,$B$8),""),"")</f>
        <v/>
      </c>
    </row>
    <row r="344" spans="1:17" ht="12.75" customHeight="1" x14ac:dyDescent="0.2">
      <c r="A344">
        <f>IFERROR(IF(COUNTIF($C$17:C344,C344)&lt;=('BOBOT PEK'!V111-'BOBOT PEK'!U111+1),'BOBOT PEK'!U111+COUNTIF($C$17:C344,C344)-1,0),0)</f>
        <v>0</v>
      </c>
      <c r="B344" t="str">
        <f>IFERROR(TEXT(INDEX('KALENDER MINGGU'!$B$6:$B$21,$A344),"dd/mm")&amp;" - "&amp;TEXT(INDEX('KALENDER MINGGU'!$C$6:$C$21,$A344),"dd/mm"),"")</f>
        <v/>
      </c>
      <c r="C344" t="s">
        <v>487</v>
      </c>
      <c r="D344" t="str">
        <f>'BOBOT PEK'!C111</f>
        <v>Pembuatan garis kuning lebar 10cm</v>
      </c>
      <c r="E344" s="241">
        <f>'BOBOT PEK'!J111</f>
        <v>0.15222329046358946</v>
      </c>
      <c r="F344">
        <f>100/('BOBOT PEK'!V111-'BOBOT PEK'!U111+1)</f>
        <v>50</v>
      </c>
      <c r="G344">
        <f t="shared" si="10"/>
        <v>7.6111645231794728E-2</v>
      </c>
      <c r="H344">
        <f>MIN(100,($A344-'BOBOT PEK'!U111+1)/('BOBOT PEK'!V111-'BOBOT PEK'!U111+1)*100)</f>
        <v>-350</v>
      </c>
      <c r="I344">
        <f>IFERROR(SUM(INDEX(TS!$M:$AB,43,1):INDEX(TS!$M:$AB,43,$A344))/TS!$L$33*100,0)</f>
        <v>0</v>
      </c>
      <c r="J344">
        <f t="shared" si="11"/>
        <v>100</v>
      </c>
      <c r="O344" t="str">
        <f ca="1">IF(I344&gt;=99.9,"COMPLETED",IF('BOBOT PEK'!U111&gt;$J$7,"NOT STARTED",IF('BOBOT PEK'!V111&lt;$J$7,"CRITICAL",IF(I344+1&lt;H344,"DELAYED","ON SCHEDULE"))))</f>
        <v>CRITICAL</v>
      </c>
      <c r="Q344" t="str">
        <f>IFERROR(IF(AND($A344=$B$8,'BOBOT PEK'!U111&lt;=$B$8,$B$8&lt;='BOBOT PEK'!V111),COUNTIFS($A$17:$A344,$B$8),""),"")</f>
        <v/>
      </c>
    </row>
    <row r="345" spans="1:17" ht="12.75" customHeight="1" x14ac:dyDescent="0.2">
      <c r="A345">
        <f>IFERROR(IF(COUNTIF($C$17:C345,C345)&lt;=('BOBOT PEK'!V112-'BOBOT PEK'!U112+1),'BOBOT PEK'!U112+COUNTIF($C$17:C345,C345)-1,0),0)</f>
        <v>9</v>
      </c>
      <c r="B345" t="str">
        <f>IFERROR(TEXT(INDEX('KALENDER MINGGU'!$B$6:$B$21,$A345),"dd/mm")&amp;" - "&amp;TEXT(INDEX('KALENDER MINGGU'!$C$6:$C$21,$A345),"dd/mm"),"")</f>
        <v>17/09 - 23/09</v>
      </c>
      <c r="C345" t="s">
        <v>488</v>
      </c>
      <c r="D345" t="str">
        <f>'BOBOT PEK'!C112</f>
        <v>Pekerjaan got samping</v>
      </c>
      <c r="E345" s="241">
        <f>'BOBOT PEK'!J112</f>
        <v>0</v>
      </c>
      <c r="F345">
        <f>100/('BOBOT PEK'!V112-'BOBOT PEK'!U112+1)</f>
        <v>16.666666666666668</v>
      </c>
      <c r="G345">
        <f t="shared" si="10"/>
        <v>0</v>
      </c>
      <c r="H345">
        <f>MIN(100,($A345-'BOBOT PEK'!U112+1)/('BOBOT PEK'!V112-'BOBOT PEK'!U112+1)*100)</f>
        <v>100</v>
      </c>
      <c r="I345">
        <f>IFERROR(SUM(INDEX(TS!$M:$AB,43,1):INDEX(TS!$M:$AB,43,$A345))/TS!$L$33*100,0)</f>
        <v>0</v>
      </c>
      <c r="J345">
        <f t="shared" si="11"/>
        <v>100</v>
      </c>
      <c r="O345" t="str">
        <f ca="1">IF(I345&gt;=99.9,"COMPLETED",IF('BOBOT PEK'!U112&gt;$J$7,"NOT STARTED",IF('BOBOT PEK'!V112&lt;$J$7,"CRITICAL",IF(I345+1&lt;H345,"DELAYED","ON SCHEDULE"))))</f>
        <v>CRITICAL</v>
      </c>
      <c r="Q345" t="str">
        <f>IFERROR(IF(AND($A345=$B$8,'BOBOT PEK'!U112&lt;=$B$8,$B$8&lt;='BOBOT PEK'!V112),COUNTIFS($A$17:$A345,$B$8),""),"")</f>
        <v/>
      </c>
    </row>
    <row r="346" spans="1:17" ht="12.75" customHeight="1" x14ac:dyDescent="0.2">
      <c r="A346">
        <f>IFERROR(IF(COUNTIF($C$17:C346,C346)&lt;=('BOBOT PEK'!V113-'BOBOT PEK'!U113+1),'BOBOT PEK'!U113+COUNTIF($C$17:C346,C346)-1,0),0)</f>
        <v>9</v>
      </c>
      <c r="B346" t="str">
        <f>IFERROR(TEXT(INDEX('KALENDER MINGGU'!$B$6:$B$21,$A346),"dd/mm")&amp;" - "&amp;TEXT(INDEX('KALENDER MINGGU'!$C$6:$C$21,$A346),"dd/mm"),"")</f>
        <v>17/09 - 23/09</v>
      </c>
      <c r="C346" t="s">
        <v>489</v>
      </c>
      <c r="D346" t="str">
        <f>'BOBOT PEK'!C113</f>
        <v>Refinishing saluran</v>
      </c>
      <c r="E346" s="241">
        <f>'BOBOT PEK'!J113</f>
        <v>0.85193875167017286</v>
      </c>
      <c r="F346">
        <f>100/('BOBOT PEK'!V113-'BOBOT PEK'!U113+1)</f>
        <v>14.285714285714286</v>
      </c>
      <c r="G346">
        <f t="shared" si="10"/>
        <v>0.12170553595288186</v>
      </c>
      <c r="H346">
        <f>MIN(100,($A346-'BOBOT PEK'!U113+1)/('BOBOT PEK'!V113-'BOBOT PEK'!U113+1)*100)</f>
        <v>85.714285714285708</v>
      </c>
      <c r="I346">
        <f>IFERROR(SUM(INDEX(TS!$M:$AB,43,1):INDEX(TS!$M:$AB,43,$A346))/TS!$L$33*100,0)</f>
        <v>0</v>
      </c>
      <c r="J346">
        <f t="shared" si="11"/>
        <v>100</v>
      </c>
      <c r="O346" t="str">
        <f ca="1">IF(I346&gt;=99.9,"COMPLETED",IF('BOBOT PEK'!U113&gt;$J$7,"NOT STARTED",IF('BOBOT PEK'!V113&lt;$J$7,"CRITICAL",IF(I346+1&lt;H346,"DELAYED","ON SCHEDULE"))))</f>
        <v>DELAYED</v>
      </c>
      <c r="Q346" t="str">
        <f>IFERROR(IF(AND($A346=$B$8,'BOBOT PEK'!U113&lt;=$B$8,$B$8&lt;='BOBOT PEK'!V113),COUNTIFS($A$17:$A346,$B$8),""),"")</f>
        <v/>
      </c>
    </row>
    <row r="347" spans="1:17" ht="12.75" customHeight="1" x14ac:dyDescent="0.2">
      <c r="A347">
        <f>IFERROR(IF(COUNTIF($C$17:C347,C347)&lt;=('BOBOT PEK'!V114-'BOBOT PEK'!U114+1),'BOBOT PEK'!U114+COUNTIF($C$17:C347,C347)-1,0),0)</f>
        <v>9</v>
      </c>
      <c r="B347" t="str">
        <f>IFERROR(TEXT(INDEX('KALENDER MINGGU'!$B$6:$B$21,$A347),"dd/mm")&amp;" - "&amp;TEXT(INDEX('KALENDER MINGGU'!$C$6:$C$21,$A347),"dd/mm"),"")</f>
        <v>17/09 - 23/09</v>
      </c>
      <c r="C347" t="s">
        <v>490</v>
      </c>
      <c r="D347" t="str">
        <f>'BOBOT PEK'!C114</f>
        <v>Pembuatan dinding batu kali</v>
      </c>
      <c r="E347" s="241">
        <f>'BOBOT PEK'!J114</f>
        <v>0.61400991111363812</v>
      </c>
      <c r="F347">
        <f>100/('BOBOT PEK'!V114-'BOBOT PEK'!U114+1)</f>
        <v>14.285714285714286</v>
      </c>
      <c r="G347">
        <f t="shared" si="10"/>
        <v>8.7715701587662606E-2</v>
      </c>
      <c r="H347">
        <f>MIN(100,($A347-'BOBOT PEK'!U114+1)/('BOBOT PEK'!V114-'BOBOT PEK'!U114+1)*100)</f>
        <v>85.714285714285708</v>
      </c>
      <c r="I347">
        <f>IFERROR(SUM(INDEX(TS!$M:$AB,43,1):INDEX(TS!$M:$AB,43,$A347))/TS!$L$33*100,0)</f>
        <v>0</v>
      </c>
      <c r="J347">
        <f t="shared" si="11"/>
        <v>100</v>
      </c>
      <c r="O347" t="str">
        <f ca="1">IF(I347&gt;=99.9,"COMPLETED",IF('BOBOT PEK'!U114&gt;$J$7,"NOT STARTED",IF('BOBOT PEK'!V114&lt;$J$7,"CRITICAL",IF(I347+1&lt;H347,"DELAYED","ON SCHEDULE"))))</f>
        <v>DELAYED</v>
      </c>
      <c r="Q347" t="str">
        <f>IFERROR(IF(AND($A347=$B$8,'BOBOT PEK'!U114&lt;=$B$8,$B$8&lt;='BOBOT PEK'!V114),COUNTIFS($A$17:$A347,$B$8),""),"")</f>
        <v/>
      </c>
    </row>
    <row r="348" spans="1:17" ht="12.75" customHeight="1" x14ac:dyDescent="0.2">
      <c r="A348">
        <f>IFERROR(IF(COUNTIF($C$17:C348,C348)&lt;=('BOBOT PEK'!V125-'BOBOT PEK'!U125+1),'BOBOT PEK'!U125+COUNTIF($C$17:C348,C348)-1,0),0)</f>
        <v>9</v>
      </c>
      <c r="B348" t="str">
        <f>IFERROR(TEXT(INDEX('KALENDER MINGGU'!$B$6:$B$21,$A348),"dd/mm")&amp;" - "&amp;TEXT(INDEX('KALENDER MINGGU'!$C$6:$C$21,$A348),"dd/mm"),"")</f>
        <v>17/09 - 23/09</v>
      </c>
      <c r="C348" t="s">
        <v>495</v>
      </c>
      <c r="D348" t="str">
        <f>'BOBOT PEK'!C125</f>
        <v>pembuatan sumur resapan (biopori)</v>
      </c>
      <c r="E348" s="241">
        <f>'BOBOT PEK'!J125</f>
        <v>0.36840594666818283</v>
      </c>
      <c r="F348">
        <f>100/('BOBOT PEK'!V125-'BOBOT PEK'!U125+1)</f>
        <v>33.333333333333336</v>
      </c>
      <c r="G348">
        <f t="shared" si="10"/>
        <v>0.12280198222272762</v>
      </c>
      <c r="H348">
        <f>MIN(100,($A348-'BOBOT PEK'!U125+1)/('BOBOT PEK'!V125-'BOBOT PEK'!U125+1)*100)</f>
        <v>100</v>
      </c>
      <c r="I348">
        <f>IFERROR(SUM(INDEX(TS!$M:$AB,47,1):INDEX(TS!$M:$AB,47,$A348))/TS!$L$37*100,0)</f>
        <v>4.9656357388316152</v>
      </c>
      <c r="J348">
        <f t="shared" si="11"/>
        <v>95.034364261168378</v>
      </c>
      <c r="O348" t="str">
        <f ca="1">IF(I348&gt;=99.9,"COMPLETED",IF('BOBOT PEK'!U125&gt;$J$7,"NOT STARTED",IF('BOBOT PEK'!V125&lt;$J$7,"CRITICAL",IF(I348+1&lt;H348,"DELAYED","ON SCHEDULE"))))</f>
        <v>CRITICAL</v>
      </c>
      <c r="Q348" t="str">
        <f>IFERROR(IF(AND($A348=$B$8,'BOBOT PEK'!U125&lt;=$B$8,$B$8&lt;='BOBOT PEK'!V125),COUNTIFS($A$17:$A348,$B$8),""),"")</f>
        <v/>
      </c>
    </row>
    <row r="349" spans="1:17" ht="12.75" customHeight="1" x14ac:dyDescent="0.2">
      <c r="A349">
        <f>IFERROR(IF(COUNTIF($C$17:C349,C349)&lt;=('BOBOT PEK'!V136-'BOBOT PEK'!U136+1),'BOBOT PEK'!U136+COUNTIF($C$17:C349,C349)-1,0),0)</f>
        <v>9</v>
      </c>
      <c r="B349" t="str">
        <f>IFERROR(TEXT(INDEX('KALENDER MINGGU'!$B$6:$B$21,$A349),"dd/mm")&amp;" - "&amp;TEXT(INDEX('KALENDER MINGGU'!$C$6:$C$21,$A349),"dd/mm"),"")</f>
        <v>17/09 - 23/09</v>
      </c>
      <c r="C349" t="s">
        <v>502</v>
      </c>
      <c r="D349" t="str">
        <f>'BOBOT PEK'!C136</f>
        <v>Neon Box Artaboga Facade</v>
      </c>
      <c r="E349" s="241">
        <f>'BOBOT PEK'!J136</f>
        <v>0.47329930648342938</v>
      </c>
      <c r="F349">
        <f>100/('BOBOT PEK'!V136-'BOBOT PEK'!U136+1)</f>
        <v>25</v>
      </c>
      <c r="G349">
        <f t="shared" si="10"/>
        <v>0.11832482662085735</v>
      </c>
      <c r="H349">
        <f>MIN(100,($A349-'BOBOT PEK'!U136+1)/('BOBOT PEK'!V136-'BOBOT PEK'!U136+1)*100)</f>
        <v>75</v>
      </c>
      <c r="I349">
        <f>IFERROR(SUM(INDEX(TS!$M:$AB,51,1):INDEX(TS!$M:$AB,51,$A349))/TS!$L$41*100,0)</f>
        <v>20.53091397849462</v>
      </c>
      <c r="J349">
        <f t="shared" si="11"/>
        <v>79.469086021505376</v>
      </c>
      <c r="O349" t="str">
        <f ca="1">IF(I349&gt;=99.9,"COMPLETED",IF('BOBOT PEK'!U136&gt;$J$7,"NOT STARTED",IF('BOBOT PEK'!V136&lt;$J$7,"CRITICAL",IF(I349+1&lt;H349,"DELAYED","ON SCHEDULE"))))</f>
        <v>DELAYED</v>
      </c>
      <c r="Q349" t="str">
        <f>IFERROR(IF(AND($A349=$B$8,'BOBOT PEK'!U136&lt;=$B$8,$B$8&lt;='BOBOT PEK'!V136),COUNTIFS($A$17:$A349,$B$8),""),"")</f>
        <v/>
      </c>
    </row>
    <row r="350" spans="1:17" ht="12.75" customHeight="1" x14ac:dyDescent="0.2">
      <c r="A350">
        <f>IFERROR(IF(COUNTIF($C$17:C350,C350)&lt;=('BOBOT PEK'!V137-'BOBOT PEK'!U137+1),'BOBOT PEK'!U137+COUNTIF($C$17:C350,C350)-1,0),0)</f>
        <v>9</v>
      </c>
      <c r="B350" t="str">
        <f>IFERROR(TEXT(INDEX('KALENDER MINGGU'!$B$6:$B$21,$A350),"dd/mm")&amp;" - "&amp;TEXT(INDEX('KALENDER MINGGU'!$C$6:$C$21,$A350),"dd/mm"),"")</f>
        <v>17/09 - 23/09</v>
      </c>
      <c r="C350" t="s">
        <v>503</v>
      </c>
      <c r="D350" t="str">
        <f>'BOBOT PEK'!C137</f>
        <v>Huruf timbul dan logo backdrop 55 cm dan 27 cm "artaboga", akrilik warna, timbul 2 cm, dengan lampu</v>
      </c>
      <c r="E350" s="241">
        <f>'BOBOT PEK'!J137</f>
        <v>0.12536035685236779</v>
      </c>
      <c r="F350">
        <f>100/('BOBOT PEK'!V137-'BOBOT PEK'!U137+1)</f>
        <v>25</v>
      </c>
      <c r="G350">
        <f t="shared" si="10"/>
        <v>3.1340089213091948E-2</v>
      </c>
      <c r="H350">
        <f>MIN(100,($A350-'BOBOT PEK'!U137+1)/('BOBOT PEK'!V137-'BOBOT PEK'!U137+1)*100)</f>
        <v>75</v>
      </c>
      <c r="I350">
        <f>IFERROR(SUM(INDEX(TS!$M:$AB,51,1):INDEX(TS!$M:$AB,51,$A350))/TS!$L$41*100,0)</f>
        <v>20.53091397849462</v>
      </c>
      <c r="J350">
        <f t="shared" si="11"/>
        <v>79.469086021505376</v>
      </c>
      <c r="O350" t="str">
        <f ca="1">IF(I350&gt;=99.9,"COMPLETED",IF('BOBOT PEK'!U137&gt;$J$7,"NOT STARTED",IF('BOBOT PEK'!V137&lt;$J$7,"CRITICAL",IF(I350+1&lt;H350,"DELAYED","ON SCHEDULE"))))</f>
        <v>DELAYED</v>
      </c>
      <c r="Q350" t="str">
        <f>IFERROR(IF(AND($A350=$B$8,'BOBOT PEK'!U137&lt;=$B$8,$B$8&lt;='BOBOT PEK'!V137),COUNTIFS($A$17:$A350,$B$8),""),"")</f>
        <v/>
      </c>
    </row>
    <row r="351" spans="1:17" ht="12.75" customHeight="1" x14ac:dyDescent="0.2">
      <c r="A351">
        <f>IFERROR(IF(COUNTIF($C$17:C351,C351)&lt;=('BOBOT PEK'!V138-'BOBOT PEK'!U138+1),'BOBOT PEK'!U138+COUNTIF($C$17:C351,C351)-1,0),0)</f>
        <v>9</v>
      </c>
      <c r="B351" t="str">
        <f>IFERROR(TEXT(INDEX('KALENDER MINGGU'!$B$6:$B$21,$A351),"dd/mm")&amp;" - "&amp;TEXT(INDEX('KALENDER MINGGU'!$C$6:$C$21,$A351),"dd/mm"),"")</f>
        <v>17/09 - 23/09</v>
      </c>
      <c r="C351" t="s">
        <v>504</v>
      </c>
      <c r="D351" t="str">
        <f>'BOBOT PEK'!C138</f>
        <v>Jasa Pasang lokasi tinggi</v>
      </c>
      <c r="E351" s="241">
        <f>'BOBOT PEK'!J138</f>
        <v>3.1979682870501985E-2</v>
      </c>
      <c r="F351">
        <f>100/('BOBOT PEK'!V138-'BOBOT PEK'!U138+1)</f>
        <v>25</v>
      </c>
      <c r="G351">
        <f t="shared" si="10"/>
        <v>7.9949207176254963E-3</v>
      </c>
      <c r="H351">
        <f>MIN(100,($A351-'BOBOT PEK'!U138+1)/('BOBOT PEK'!V138-'BOBOT PEK'!U138+1)*100)</f>
        <v>75</v>
      </c>
      <c r="I351">
        <f>IFERROR(SUM(INDEX(TS!$M:$AB,51,1):INDEX(TS!$M:$AB,51,$A351))/TS!$L$41*100,0)</f>
        <v>20.53091397849462</v>
      </c>
      <c r="J351">
        <f t="shared" si="11"/>
        <v>79.469086021505376</v>
      </c>
      <c r="O351" t="str">
        <f ca="1">IF(I351&gt;=99.9,"COMPLETED",IF('BOBOT PEK'!U138&gt;$J$7,"NOT STARTED",IF('BOBOT PEK'!V138&lt;$J$7,"CRITICAL",IF(I351+1&lt;H351,"DELAYED","ON SCHEDULE"))))</f>
        <v>DELAYED</v>
      </c>
      <c r="Q351" t="str">
        <f>IFERROR(IF(AND($A351=$B$8,'BOBOT PEK'!U138&lt;=$B$8,$B$8&lt;='BOBOT PEK'!V138),COUNTIFS($A$17:$A351,$B$8),""),"")</f>
        <v/>
      </c>
    </row>
    <row r="352" spans="1:17" ht="12.75" customHeight="1" x14ac:dyDescent="0.2">
      <c r="A352">
        <f>IFERROR(IF(COUNTIF($C$17:C352,C352)&lt;=('BOBOT PEK'!V139-'BOBOT PEK'!U139+1),'BOBOT PEK'!U139+COUNTIF($C$17:C352,C352)-1,0),0)</f>
        <v>9</v>
      </c>
      <c r="B352" t="str">
        <f>IFERROR(TEXT(INDEX('KALENDER MINGGU'!$B$6:$B$21,$A352),"dd/mm")&amp;" - "&amp;TEXT(INDEX('KALENDER MINGGU'!$C$6:$C$21,$A352),"dd/mm"),"")</f>
        <v>17/09 - 23/09</v>
      </c>
      <c r="C352" t="s">
        <v>505</v>
      </c>
      <c r="D352" t="str">
        <f>'BOBOT PEK'!C139</f>
        <v>Backdrop WPC, Kombinasi wallboard marble</v>
      </c>
      <c r="E352" s="241">
        <f>'BOBOT PEK'!J139</f>
        <v>0.20722834500085285</v>
      </c>
      <c r="F352">
        <f>100/('BOBOT PEK'!V139-'BOBOT PEK'!U139+1)</f>
        <v>25</v>
      </c>
      <c r="G352">
        <f t="shared" si="10"/>
        <v>5.1807086250213213E-2</v>
      </c>
      <c r="H352">
        <f>MIN(100,($A352-'BOBOT PEK'!U139+1)/('BOBOT PEK'!V139-'BOBOT PEK'!U139+1)*100)</f>
        <v>75</v>
      </c>
      <c r="I352">
        <f>IFERROR(SUM(INDEX(TS!$M:$AB,51,1):INDEX(TS!$M:$AB,51,$A352))/TS!$L$41*100,0)</f>
        <v>20.53091397849462</v>
      </c>
      <c r="J352">
        <f t="shared" si="11"/>
        <v>79.469086021505376</v>
      </c>
      <c r="O352" t="str">
        <f ca="1">IF(I352&gt;=99.9,"COMPLETED",IF('BOBOT PEK'!U139&gt;$J$7,"NOT STARTED",IF('BOBOT PEK'!V139&lt;$J$7,"CRITICAL",IF(I352+1&lt;H352,"DELAYED","ON SCHEDULE"))))</f>
        <v>DELAYED</v>
      </c>
      <c r="Q352" t="str">
        <f>IFERROR(IF(AND($A352=$B$8,'BOBOT PEK'!U139&lt;=$B$8,$B$8&lt;='BOBOT PEK'!V139),COUNTIFS($A$17:$A352,$B$8),""),"")</f>
        <v/>
      </c>
    </row>
    <row r="353" spans="1:17" ht="12.75" customHeight="1" x14ac:dyDescent="0.2">
      <c r="A353">
        <f>IFERROR(IF(COUNTIF($C$17:C353,C353)&lt;=('BOBOT PEK'!V140-'BOBOT PEK'!U140+1),'BOBOT PEK'!U140+COUNTIF($C$17:C353,C353)-1,0),0)</f>
        <v>9</v>
      </c>
      <c r="B353" t="str">
        <f>IFERROR(TEXT(INDEX('KALENDER MINGGU'!$B$6:$B$21,$A353),"dd/mm")&amp;" - "&amp;TEXT(INDEX('KALENDER MINGGU'!$C$6:$C$21,$A353),"dd/mm"),"")</f>
        <v>17/09 - 23/09</v>
      </c>
      <c r="C353" t="s">
        <v>506</v>
      </c>
      <c r="D353" t="str">
        <f>'BOBOT PEK'!C140</f>
        <v>Repair meja receptionist, lapis hpl, spek taco</v>
      </c>
      <c r="E353" s="241">
        <f>'BOBOT PEK'!J140</f>
        <v>0.1662943509266103</v>
      </c>
      <c r="F353">
        <f>100/('BOBOT PEK'!V140-'BOBOT PEK'!U140+1)</f>
        <v>25</v>
      </c>
      <c r="G353">
        <f t="shared" si="10"/>
        <v>4.1573587731652574E-2</v>
      </c>
      <c r="H353">
        <f>MIN(100,($A353-'BOBOT PEK'!U140+1)/('BOBOT PEK'!V140-'BOBOT PEK'!U140+1)*100)</f>
        <v>75</v>
      </c>
      <c r="I353">
        <f>IFERROR(SUM(INDEX(TS!$M:$AB,51,1):INDEX(TS!$M:$AB,51,$A353))/TS!$L$41*100,0)</f>
        <v>20.53091397849462</v>
      </c>
      <c r="J353">
        <f t="shared" si="11"/>
        <v>79.469086021505376</v>
      </c>
      <c r="O353" t="str">
        <f ca="1">IF(I353&gt;=99.9,"COMPLETED",IF('BOBOT PEK'!U140&gt;$J$7,"NOT STARTED",IF('BOBOT PEK'!V140&lt;$J$7,"CRITICAL",IF(I353+1&lt;H353,"DELAYED","ON SCHEDULE"))))</f>
        <v>DELAYED</v>
      </c>
      <c r="Q353" t="str">
        <f>IFERROR(IF(AND($A353=$B$8,'BOBOT PEK'!U140&lt;=$B$8,$B$8&lt;='BOBOT PEK'!V140),COUNTIFS($A$17:$A353,$B$8),""),"")</f>
        <v/>
      </c>
    </row>
    <row r="354" spans="1:17" ht="12.75" customHeight="1" x14ac:dyDescent="0.2">
      <c r="A354">
        <f>IFERROR(IF(COUNTIF($C$17:C354,C354)&lt;=('BOBOT PEK'!V141-'BOBOT PEK'!U141+1),'BOBOT PEK'!U141+COUNTIF($C$17:C354,C354)-1,0),0)</f>
        <v>9</v>
      </c>
      <c r="B354" t="str">
        <f>IFERROR(TEXT(INDEX('KALENDER MINGGU'!$B$6:$B$21,$A354),"dd/mm")&amp;" - "&amp;TEXT(INDEX('KALENDER MINGGU'!$C$6:$C$21,$A354),"dd/mm"),"")</f>
        <v>17/09 - 23/09</v>
      </c>
      <c r="C354" t="s">
        <v>507</v>
      </c>
      <c r="D354" t="str">
        <f>'BOBOT PEK'!C141</f>
        <v>Repair lemari bawah tangga, lapis hpl, spek taco</v>
      </c>
      <c r="E354" s="241">
        <f>'BOBOT PEK'!J141</f>
        <v>0.12791873148200794</v>
      </c>
      <c r="F354">
        <f>100/('BOBOT PEK'!V141-'BOBOT PEK'!U141+1)</f>
        <v>25</v>
      </c>
      <c r="G354">
        <f t="shared" si="10"/>
        <v>3.1979682870501985E-2</v>
      </c>
      <c r="H354">
        <f>MIN(100,($A354-'BOBOT PEK'!U141+1)/('BOBOT PEK'!V141-'BOBOT PEK'!U141+1)*100)</f>
        <v>75</v>
      </c>
      <c r="I354">
        <f>IFERROR(SUM(INDEX(TS!$M:$AB,51,1):INDEX(TS!$M:$AB,51,$A354))/TS!$L$41*100,0)</f>
        <v>20.53091397849462</v>
      </c>
      <c r="J354">
        <f t="shared" si="11"/>
        <v>79.469086021505376</v>
      </c>
      <c r="O354" t="str">
        <f ca="1">IF(I354&gt;=99.9,"COMPLETED",IF('BOBOT PEK'!U141&gt;$J$7,"NOT STARTED",IF('BOBOT PEK'!V141&lt;$J$7,"CRITICAL",IF(I354+1&lt;H354,"DELAYED","ON SCHEDULE"))))</f>
        <v>DELAYED</v>
      </c>
      <c r="Q354" t="str">
        <f>IFERROR(IF(AND($A354=$B$8,'BOBOT PEK'!U141&lt;=$B$8,$B$8&lt;='BOBOT PEK'!V141),COUNTIFS($A$17:$A354,$B$8),""),"")</f>
        <v/>
      </c>
    </row>
    <row r="355" spans="1:17" ht="12.75" customHeight="1" x14ac:dyDescent="0.2">
      <c r="A355">
        <f>IFERROR(IF(COUNTIF($C$17:C355,C355)&lt;=('BOBOT PEK'!V142-'BOBOT PEK'!U142+1),'BOBOT PEK'!U142+COUNTIF($C$17:C355,C355)-1,0),0)</f>
        <v>9</v>
      </c>
      <c r="B355" t="str">
        <f>IFERROR(TEXT(INDEX('KALENDER MINGGU'!$B$6:$B$21,$A355),"dd/mm")&amp;" - "&amp;TEXT(INDEX('KALENDER MINGGU'!$C$6:$C$21,$A355),"dd/mm"),"")</f>
        <v>17/09 - 23/09</v>
      </c>
      <c r="C355" t="s">
        <v>508</v>
      </c>
      <c r="D355" t="str">
        <f>'BOBOT PEK'!C142</f>
        <v>Neon Box 140 x 30 cm</v>
      </c>
      <c r="E355" s="241">
        <f>'BOBOT PEK'!J142</f>
        <v>0.21106590694531308</v>
      </c>
      <c r="F355">
        <f>100/('BOBOT PEK'!V142-'BOBOT PEK'!U142+1)</f>
        <v>25</v>
      </c>
      <c r="G355">
        <f t="shared" si="10"/>
        <v>5.2766476736328269E-2</v>
      </c>
      <c r="H355">
        <f>MIN(100,($A355-'BOBOT PEK'!U142+1)/('BOBOT PEK'!V142-'BOBOT PEK'!U142+1)*100)</f>
        <v>75</v>
      </c>
      <c r="I355">
        <f>IFERROR(SUM(INDEX(TS!$M:$AB,51,1):INDEX(TS!$M:$AB,51,$A355))/TS!$L$41*100,0)</f>
        <v>20.53091397849462</v>
      </c>
      <c r="J355">
        <f t="shared" si="11"/>
        <v>79.469086021505376</v>
      </c>
      <c r="O355" t="str">
        <f ca="1">IF(I355&gt;=99.9,"COMPLETED",IF('BOBOT PEK'!U142&gt;$J$7,"NOT STARTED",IF('BOBOT PEK'!V142&lt;$J$7,"CRITICAL",IF(I355+1&lt;H355,"DELAYED","ON SCHEDULE"))))</f>
        <v>DELAYED</v>
      </c>
      <c r="Q355" t="str">
        <f>IFERROR(IF(AND($A355=$B$8,'BOBOT PEK'!U142&lt;=$B$8,$B$8&lt;='BOBOT PEK'!V142),COUNTIFS($A$17:$A355,$B$8),""),"")</f>
        <v/>
      </c>
    </row>
    <row r="356" spans="1:17" ht="12.75" customHeight="1" x14ac:dyDescent="0.2">
      <c r="A356">
        <f>IFERROR(IF(COUNTIF($C$17:C356,C356)&lt;=('BOBOT PEK'!V143-'BOBOT PEK'!U143+1),'BOBOT PEK'!U143+COUNTIF($C$17:C356,C356)-1,0),0)</f>
        <v>9</v>
      </c>
      <c r="B356" t="str">
        <f>IFERROR(TEXT(INDEX('KALENDER MINGGU'!$B$6:$B$21,$A356),"dd/mm")&amp;" - "&amp;TEXT(INDEX('KALENDER MINGGU'!$C$6:$C$21,$A356),"dd/mm"),"")</f>
        <v>17/09 - 23/09</v>
      </c>
      <c r="C356" t="s">
        <v>509</v>
      </c>
      <c r="D356" t="str">
        <f>'BOBOT PEK'!C143</f>
        <v xml:space="preserve">Cover Meja kantor </v>
      </c>
      <c r="E356" s="241">
        <f>'BOBOT PEK'!J143</f>
        <v>0.17959789900073914</v>
      </c>
      <c r="F356">
        <f>100/('BOBOT PEK'!V143-'BOBOT PEK'!U143+1)</f>
        <v>25</v>
      </c>
      <c r="G356">
        <f t="shared" si="10"/>
        <v>4.4899474750184784E-2</v>
      </c>
      <c r="H356">
        <f>MIN(100,($A356-'BOBOT PEK'!U143+1)/('BOBOT PEK'!V143-'BOBOT PEK'!U143+1)*100)</f>
        <v>75</v>
      </c>
      <c r="I356">
        <f>IFERROR(SUM(INDEX(TS!$M:$AB,51,1):INDEX(TS!$M:$AB,51,$A356))/TS!$L$41*100,0)</f>
        <v>20.53091397849462</v>
      </c>
      <c r="J356">
        <f t="shared" si="11"/>
        <v>79.469086021505376</v>
      </c>
      <c r="O356" t="str">
        <f ca="1">IF(I356&gt;=99.9,"COMPLETED",IF('BOBOT PEK'!U143&gt;$J$7,"NOT STARTED",IF('BOBOT PEK'!V143&lt;$J$7,"CRITICAL",IF(I356+1&lt;H356,"DELAYED","ON SCHEDULE"))))</f>
        <v>DELAYED</v>
      </c>
      <c r="Q356" t="str">
        <f>IFERROR(IF(AND($A356=$B$8,'BOBOT PEK'!U143&lt;=$B$8,$B$8&lt;='BOBOT PEK'!V143),COUNTIFS($A$17:$A356,$B$8),""),"")</f>
        <v/>
      </c>
    </row>
    <row r="357" spans="1:17" ht="12.75" customHeight="1" x14ac:dyDescent="0.2">
      <c r="A357">
        <f>IFERROR(IF(COUNTIF($C$17:C357,C357)&lt;=('BOBOT PEK'!V167-'BOBOT PEK'!U167+1),'BOBOT PEK'!U167+COUNTIF($C$17:C357,C357)-1,0),0)</f>
        <v>9</v>
      </c>
      <c r="B357" t="str">
        <f>IFERROR(TEXT(INDEX('KALENDER MINGGU'!$B$6:$B$21,$A357),"dd/mm")&amp;" - "&amp;TEXT(INDEX('KALENDER MINGGU'!$C$6:$C$21,$A357),"dd/mm"),"")</f>
        <v>17/09 - 23/09</v>
      </c>
      <c r="C357" t="s">
        <v>510</v>
      </c>
      <c r="D357" t="str">
        <f>'BOBOT PEK'!C167</f>
        <v>Pekerjaan Persiapan</v>
      </c>
      <c r="E357" s="241">
        <f>'BOBOT PEK'!J167</f>
        <v>2.5583746296401588E-2</v>
      </c>
      <c r="F357">
        <f>100/('BOBOT PEK'!V167-'BOBOT PEK'!U167+1)</f>
        <v>100</v>
      </c>
      <c r="G357">
        <f t="shared" si="10"/>
        <v>2.5583746296401588E-2</v>
      </c>
      <c r="H357">
        <f>MIN(100,($A357-'BOBOT PEK'!U167+1)/('BOBOT PEK'!V167-'BOBOT PEK'!U167+1)*100)</f>
        <v>100</v>
      </c>
      <c r="I357">
        <f>IFERROR(SUM(INDEX(TS!$M:$AB,54,1):INDEX(TS!$M:$AB,54,$A357))/TS!$L$44*100,0)</f>
        <v>26.45348837209303</v>
      </c>
      <c r="J357">
        <f t="shared" si="11"/>
        <v>73.546511627906966</v>
      </c>
      <c r="O357" t="str">
        <f ca="1">IF(I357&gt;=99.9,"COMPLETED",IF('BOBOT PEK'!U167&gt;$J$7,"NOT STARTED",IF('BOBOT PEK'!V167&lt;$J$7,"CRITICAL",IF(I357+1&lt;H357,"DELAYED","ON SCHEDULE"))))</f>
        <v>CRITICAL</v>
      </c>
      <c r="Q357" t="str">
        <f>IFERROR(IF(AND($A357=$B$8,'BOBOT PEK'!U167&lt;=$B$8,$B$8&lt;='BOBOT PEK'!V167),COUNTIFS($A$17:$A357,$B$8),""),"")</f>
        <v/>
      </c>
    </row>
    <row r="358" spans="1:17" ht="12.75" customHeight="1" x14ac:dyDescent="0.2">
      <c r="A358">
        <f>IFERROR(IF(COUNTIF($C$17:C358,C358)&lt;=('BOBOT PEK'!V168-'BOBOT PEK'!U168+1),'BOBOT PEK'!U168+COUNTIF($C$17:C358,C358)-1,0),0)</f>
        <v>9</v>
      </c>
      <c r="B358" t="str">
        <f>IFERROR(TEXT(INDEX('KALENDER MINGGU'!$B$6:$B$21,$A358),"dd/mm")&amp;" - "&amp;TEXT(INDEX('KALENDER MINGGU'!$C$6:$C$21,$A358),"dd/mm"),"")</f>
        <v>17/09 - 23/09</v>
      </c>
      <c r="C358" t="s">
        <v>511</v>
      </c>
      <c r="D358" t="str">
        <f>'BOBOT PEK'!C168</f>
        <v>Pembersihan Lahan</v>
      </c>
      <c r="E358" s="241">
        <f>'BOBOT PEK'!J168</f>
        <v>0.12894208133386401</v>
      </c>
      <c r="F358">
        <f>100/('BOBOT PEK'!V168-'BOBOT PEK'!U168+1)</f>
        <v>100</v>
      </c>
      <c r="G358">
        <f t="shared" si="10"/>
        <v>0.12894208133386401</v>
      </c>
      <c r="H358">
        <f>MIN(100,($A358-'BOBOT PEK'!U168+1)/('BOBOT PEK'!V168-'BOBOT PEK'!U168+1)*100)</f>
        <v>100</v>
      </c>
      <c r="I358">
        <f>IFERROR(SUM(INDEX(TS!$M:$AB,54,1):INDEX(TS!$M:$AB,54,$A358))/TS!$L$44*100,0)</f>
        <v>26.45348837209303</v>
      </c>
      <c r="J358">
        <f t="shared" si="11"/>
        <v>73.546511627906966</v>
      </c>
      <c r="O358" t="str">
        <f ca="1">IF(I358&gt;=99.9,"COMPLETED",IF('BOBOT PEK'!U168&gt;$J$7,"NOT STARTED",IF('BOBOT PEK'!V168&lt;$J$7,"CRITICAL",IF(I358+1&lt;H358,"DELAYED","ON SCHEDULE"))))</f>
        <v>CRITICAL</v>
      </c>
      <c r="Q358" t="str">
        <f>IFERROR(IF(AND($A358=$B$8,'BOBOT PEK'!U168&lt;=$B$8,$B$8&lt;='BOBOT PEK'!V168),COUNTIFS($A$17:$A358,$B$8),""),"")</f>
        <v/>
      </c>
    </row>
    <row r="359" spans="1:17" ht="12.75" customHeight="1" x14ac:dyDescent="0.2">
      <c r="A359">
        <f>IFERROR(IF(COUNTIF($C$17:C359,C359)&lt;=('BOBOT PEK'!V169-'BOBOT PEK'!U169+1),'BOBOT PEK'!U169+COUNTIF($C$17:C359,C359)-1,0),0)</f>
        <v>9</v>
      </c>
      <c r="B359" t="str">
        <f>IFERROR(TEXT(INDEX('KALENDER MINGGU'!$B$6:$B$21,$A359),"dd/mm")&amp;" - "&amp;TEXT(INDEX('KALENDER MINGGU'!$C$6:$C$21,$A359),"dd/mm"),"")</f>
        <v>17/09 - 23/09</v>
      </c>
      <c r="C359" t="s">
        <v>512</v>
      </c>
      <c r="D359" t="str">
        <f>'BOBOT PEK'!C169</f>
        <v>Direksi Kit+Gudang Sementara</v>
      </c>
      <c r="E359" s="241">
        <f>'BOBOT PEK'!J169</f>
        <v>0</v>
      </c>
      <c r="F359">
        <f>100/('BOBOT PEK'!V169-'BOBOT PEK'!U169+1)</f>
        <v>100</v>
      </c>
      <c r="G359">
        <f t="shared" si="10"/>
        <v>0</v>
      </c>
      <c r="H359">
        <f>MIN(100,($A359-'BOBOT PEK'!U169+1)/('BOBOT PEK'!V169-'BOBOT PEK'!U169+1)*100)</f>
        <v>100</v>
      </c>
      <c r="I359">
        <f>IFERROR(SUM(INDEX(TS!$M:$AB,54,1):INDEX(TS!$M:$AB,54,$A359))/TS!$L$44*100,0)</f>
        <v>26.45348837209303</v>
      </c>
      <c r="J359">
        <f t="shared" si="11"/>
        <v>73.546511627906966</v>
      </c>
      <c r="O359" t="str">
        <f ca="1">IF(I359&gt;=99.9,"COMPLETED",IF('BOBOT PEK'!U169&gt;$J$7,"NOT STARTED",IF('BOBOT PEK'!V169&lt;$J$7,"CRITICAL",IF(I359+1&lt;H359,"DELAYED","ON SCHEDULE"))))</f>
        <v>CRITICAL</v>
      </c>
      <c r="Q359" t="str">
        <f>IFERROR(IF(AND($A359=$B$8,'BOBOT PEK'!U169&lt;=$B$8,$B$8&lt;='BOBOT PEK'!V169),COUNTIFS($A$17:$A359,$B$8),""),"")</f>
        <v/>
      </c>
    </row>
    <row r="360" spans="1:17" ht="12.75" customHeight="1" x14ac:dyDescent="0.2">
      <c r="A360">
        <f>IFERROR(IF(COUNTIF($C$17:C360,C360)&lt;=('BOBOT PEK'!V170-'BOBOT PEK'!U170+1),'BOBOT PEK'!U170+COUNTIF($C$17:C360,C360)-1,0),0)</f>
        <v>9</v>
      </c>
      <c r="B360" t="str">
        <f>IFERROR(TEXT(INDEX('KALENDER MINGGU'!$B$6:$B$21,$A360),"dd/mm")&amp;" - "&amp;TEXT(INDEX('KALENDER MINGGU'!$C$6:$C$21,$A360),"dd/mm"),"")</f>
        <v>17/09 - 23/09</v>
      </c>
      <c r="C360" t="s">
        <v>513</v>
      </c>
      <c r="D360" t="str">
        <f>'BOBOT PEK'!C170</f>
        <v>Administrasi Lapangan</v>
      </c>
      <c r="E360" s="241">
        <f>'BOBOT PEK'!J170</f>
        <v>2.5583746296401588E-2</v>
      </c>
      <c r="F360">
        <f>100/('BOBOT PEK'!V170-'BOBOT PEK'!U170+1)</f>
        <v>100</v>
      </c>
      <c r="G360">
        <f t="shared" si="10"/>
        <v>2.5583746296401588E-2</v>
      </c>
      <c r="H360">
        <f>MIN(100,($A360-'BOBOT PEK'!U170+1)/('BOBOT PEK'!V170-'BOBOT PEK'!U170+1)*100)</f>
        <v>100</v>
      </c>
      <c r="I360">
        <f>IFERROR(SUM(INDEX(TS!$M:$AB,54,1):INDEX(TS!$M:$AB,54,$A360))/TS!$L$44*100,0)</f>
        <v>26.45348837209303</v>
      </c>
      <c r="J360">
        <f t="shared" si="11"/>
        <v>73.546511627906966</v>
      </c>
      <c r="O360" t="str">
        <f ca="1">IF(I360&gt;=99.9,"COMPLETED",IF('BOBOT PEK'!U170&gt;$J$7,"NOT STARTED",IF('BOBOT PEK'!V170&lt;$J$7,"CRITICAL",IF(I360+1&lt;H360,"DELAYED","ON SCHEDULE"))))</f>
        <v>CRITICAL</v>
      </c>
      <c r="Q360" t="str">
        <f>IFERROR(IF(AND($A360=$B$8,'BOBOT PEK'!U170&lt;=$B$8,$B$8&lt;='BOBOT PEK'!V170),COUNTIFS($A$17:$A360,$B$8),""),"")</f>
        <v/>
      </c>
    </row>
    <row r="361" spans="1:17" ht="12.75" customHeight="1" x14ac:dyDescent="0.2">
      <c r="A361">
        <f>IFERROR(IF(COUNTIF($C$17:C361,C361)&lt;=('BOBOT PEK'!V171-'BOBOT PEK'!U171+1),'BOBOT PEK'!U171+COUNTIF($C$17:C361,C361)-1,0),0)</f>
        <v>9</v>
      </c>
      <c r="B361" t="str">
        <f>IFERROR(TEXT(INDEX('KALENDER MINGGU'!$B$6:$B$21,$A361),"dd/mm")&amp;" - "&amp;TEXT(INDEX('KALENDER MINGGU'!$C$6:$C$21,$A361),"dd/mm"),"")</f>
        <v>17/09 - 23/09</v>
      </c>
      <c r="C361" t="s">
        <v>514</v>
      </c>
      <c r="D361" t="str">
        <f>'BOBOT PEK'!C171</f>
        <v>Skafolding dan Alat Bantu Pekerjaan</v>
      </c>
      <c r="E361" s="241">
        <f>'BOBOT PEK'!J171</f>
        <v>0.12791873148200794</v>
      </c>
      <c r="F361">
        <f>100/('BOBOT PEK'!V171-'BOBOT PEK'!U171+1)</f>
        <v>100</v>
      </c>
      <c r="G361">
        <f t="shared" si="10"/>
        <v>0.12791873148200794</v>
      </c>
      <c r="H361">
        <f>MIN(100,($A361-'BOBOT PEK'!U171+1)/('BOBOT PEK'!V171-'BOBOT PEK'!U171+1)*100)</f>
        <v>100</v>
      </c>
      <c r="I361">
        <f>IFERROR(SUM(INDEX(TS!$M:$AB,54,1):INDEX(TS!$M:$AB,54,$A361))/TS!$L$44*100,0)</f>
        <v>26.45348837209303</v>
      </c>
      <c r="J361">
        <f t="shared" si="11"/>
        <v>73.546511627906966</v>
      </c>
      <c r="O361" t="str">
        <f ca="1">IF(I361&gt;=99.9,"COMPLETED",IF('BOBOT PEK'!U171&gt;$J$7,"NOT STARTED",IF('BOBOT PEK'!V171&lt;$J$7,"CRITICAL",IF(I361+1&lt;H361,"DELAYED","ON SCHEDULE"))))</f>
        <v>CRITICAL</v>
      </c>
      <c r="Q361" t="str">
        <f>IFERROR(IF(AND($A361=$B$8,'BOBOT PEK'!U171&lt;=$B$8,$B$8&lt;='BOBOT PEK'!V171),COUNTIFS($A$17:$A361,$B$8),""),"")</f>
        <v/>
      </c>
    </row>
    <row r="362" spans="1:17" ht="12.75" customHeight="1" x14ac:dyDescent="0.2">
      <c r="A362">
        <f>IFERROR(IF(COUNTIF($C$17:C362,C362)&lt;=('BOBOT PEK'!V175-'BOBOT PEK'!U175+1),'BOBOT PEK'!U175+COUNTIF($C$17:C362,C362)-1,0),0)</f>
        <v>9</v>
      </c>
      <c r="B362" t="str">
        <f>IFERROR(TEXT(INDEX('KALENDER MINGGU'!$B$6:$B$21,$A362),"dd/mm")&amp;" - "&amp;TEXT(INDEX('KALENDER MINGGU'!$C$6:$C$21,$A362),"dd/mm"),"")</f>
        <v>17/09 - 23/09</v>
      </c>
      <c r="C362" t="s">
        <v>516</v>
      </c>
      <c r="D362" t="str">
        <f>'BOBOT PEK'!C175</f>
        <v>perbaikan area tidak rata</v>
      </c>
      <c r="E362" s="241">
        <f>'BOBOT PEK'!J175</f>
        <v>0.13815223000056856</v>
      </c>
      <c r="F362">
        <f>100/('BOBOT PEK'!V175-'BOBOT PEK'!U175+1)</f>
        <v>25</v>
      </c>
      <c r="G362">
        <f t="shared" si="10"/>
        <v>3.453805750014214E-2</v>
      </c>
      <c r="H362">
        <f>MIN(100,($A362-'BOBOT PEK'!U175+1)/('BOBOT PEK'!V175-'BOBOT PEK'!U175+1)*100)</f>
        <v>25</v>
      </c>
      <c r="I362">
        <f>IFERROR(SUM(INDEX(TS!$M:$AB,56,1):INDEX(TS!$M:$AB,56,$A362))/TS!$L$46*100,0)</f>
        <v>24.30819316332067</v>
      </c>
      <c r="J362">
        <f t="shared" si="11"/>
        <v>75.691806836679334</v>
      </c>
      <c r="O362" t="str">
        <f ca="1">IF(I362&gt;=99.9,"COMPLETED",IF('BOBOT PEK'!U175&gt;$J$7,"NOT STARTED",IF('BOBOT PEK'!V175&lt;$J$7,"CRITICAL",IF(I362+1&lt;H362,"DELAYED","ON SCHEDULE"))))</f>
        <v>ON SCHEDULE</v>
      </c>
      <c r="Q362" t="str">
        <f>IFERROR(IF(AND($A362=$B$8,'BOBOT PEK'!U175&lt;=$B$8,$B$8&lt;='BOBOT PEK'!V175),COUNTIFS($A$17:$A362,$B$8),""),"")</f>
        <v/>
      </c>
    </row>
    <row r="363" spans="1:17" ht="12.75" customHeight="1" x14ac:dyDescent="0.2">
      <c r="A363">
        <f>IFERROR(IF(COUNTIF($C$17:C363,C363)&lt;=('BOBOT PEK'!V176-'BOBOT PEK'!U176+1),'BOBOT PEK'!U176+COUNTIF($C$17:C363,C363)-1,0),0)</f>
        <v>9</v>
      </c>
      <c r="B363" t="str">
        <f>IFERROR(TEXT(INDEX('KALENDER MINGGU'!$B$6:$B$21,$A363),"dd/mm")&amp;" - "&amp;TEXT(INDEX('KALENDER MINGGU'!$C$6:$C$21,$A363),"dd/mm"),"")</f>
        <v>17/09 - 23/09</v>
      </c>
      <c r="C363" t="s">
        <v>517</v>
      </c>
      <c r="D363" t="str">
        <f>'BOBOT PEK'!C176</f>
        <v>Pengacian ulang lantai kurang rata</v>
      </c>
      <c r="E363" s="241">
        <f>'BOBOT PEK'!J176</f>
        <v>0</v>
      </c>
      <c r="F363">
        <f>100/('BOBOT PEK'!V176-'BOBOT PEK'!U176+1)</f>
        <v>25</v>
      </c>
      <c r="G363">
        <f t="shared" si="10"/>
        <v>0</v>
      </c>
      <c r="H363">
        <f>MIN(100,($A363-'BOBOT PEK'!U176+1)/('BOBOT PEK'!V176-'BOBOT PEK'!U176+1)*100)</f>
        <v>25</v>
      </c>
      <c r="I363">
        <f>IFERROR(SUM(INDEX(TS!$M:$AB,56,1):INDEX(TS!$M:$AB,56,$A363))/TS!$L$46*100,0)</f>
        <v>24.30819316332067</v>
      </c>
      <c r="J363">
        <f t="shared" si="11"/>
        <v>75.691806836679334</v>
      </c>
      <c r="O363" t="str">
        <f ca="1">IF(I363&gt;=99.9,"COMPLETED",IF('BOBOT PEK'!U176&gt;$J$7,"NOT STARTED",IF('BOBOT PEK'!V176&lt;$J$7,"CRITICAL",IF(I363+1&lt;H363,"DELAYED","ON SCHEDULE"))))</f>
        <v>ON SCHEDULE</v>
      </c>
      <c r="Q363" t="str">
        <f>IFERROR(IF(AND($A363=$B$8,'BOBOT PEK'!U176&lt;=$B$8,$B$8&lt;='BOBOT PEK'!V176),COUNTIFS($A$17:$A363,$B$8),""),"")</f>
        <v/>
      </c>
    </row>
    <row r="364" spans="1:17" ht="12.75" customHeight="1" x14ac:dyDescent="0.2">
      <c r="A364">
        <f>IFERROR(IF(COUNTIF($C$17:C364,C364)&lt;=('BOBOT PEK'!V177-'BOBOT PEK'!U177+1),'BOBOT PEK'!U177+COUNTIF($C$17:C364,C364)-1,0),0)</f>
        <v>9</v>
      </c>
      <c r="B364" t="str">
        <f>IFERROR(TEXT(INDEX('KALENDER MINGGU'!$B$6:$B$21,$A364),"dd/mm")&amp;" - "&amp;TEXT(INDEX('KALENDER MINGGU'!$C$6:$C$21,$A364),"dd/mm"),"")</f>
        <v>17/09 - 23/09</v>
      </c>
      <c r="C364" t="s">
        <v>518</v>
      </c>
      <c r="D364" t="str">
        <f>'BOBOT PEK'!C177</f>
        <v>leveling MU410</v>
      </c>
      <c r="E364" s="241">
        <f>'BOBOT PEK'!J177</f>
        <v>1.0775873940044347</v>
      </c>
      <c r="F364">
        <f>100/('BOBOT PEK'!V177-'BOBOT PEK'!U177+1)</f>
        <v>25</v>
      </c>
      <c r="G364">
        <f t="shared" si="10"/>
        <v>0.26939684850110868</v>
      </c>
      <c r="H364">
        <f>MIN(100,($A364-'BOBOT PEK'!U177+1)/('BOBOT PEK'!V177-'BOBOT PEK'!U177+1)*100)</f>
        <v>25</v>
      </c>
      <c r="I364">
        <f>IFERROR(SUM(INDEX(TS!$M:$AB,56,1):INDEX(TS!$M:$AB,56,$A364))/TS!$L$46*100,0)</f>
        <v>24.30819316332067</v>
      </c>
      <c r="J364">
        <f t="shared" si="11"/>
        <v>75.691806836679334</v>
      </c>
      <c r="O364" t="str">
        <f ca="1">IF(I364&gt;=99.9,"COMPLETED",IF('BOBOT PEK'!U177&gt;$J$7,"NOT STARTED",IF('BOBOT PEK'!V177&lt;$J$7,"CRITICAL",IF(I364+1&lt;H364,"DELAYED","ON SCHEDULE"))))</f>
        <v>ON SCHEDULE</v>
      </c>
      <c r="Q364" t="str">
        <f>IFERROR(IF(AND($A364=$B$8,'BOBOT PEK'!U177&lt;=$B$8,$B$8&lt;='BOBOT PEK'!V177),COUNTIFS($A$17:$A364,$B$8),""),"")</f>
        <v/>
      </c>
    </row>
    <row r="365" spans="1:17" ht="12.75" customHeight="1" x14ac:dyDescent="0.2">
      <c r="A365">
        <f>IFERROR(IF(COUNTIF($C$17:C365,C365)&lt;=('BOBOT PEK'!V178-'BOBOT PEK'!U178+1),'BOBOT PEK'!U178+COUNTIF($C$17:C365,C365)-1,0),0)</f>
        <v>9</v>
      </c>
      <c r="B365" t="str">
        <f>IFERROR(TEXT(INDEX('KALENDER MINGGU'!$B$6:$B$21,$A365),"dd/mm")&amp;" - "&amp;TEXT(INDEX('KALENDER MINGGU'!$C$6:$C$21,$A365),"dd/mm"),"")</f>
        <v>17/09 - 23/09</v>
      </c>
      <c r="C365" t="s">
        <v>519</v>
      </c>
      <c r="D365" t="str">
        <f>'BOBOT PEK'!C178</f>
        <v>cat permukaan lapangan</v>
      </c>
      <c r="E365" s="241">
        <f>'BOBOT PEK'!J178</f>
        <v>0.17959789900073914</v>
      </c>
      <c r="F365">
        <f>100/('BOBOT PEK'!V178-'BOBOT PEK'!U178+1)</f>
        <v>25</v>
      </c>
      <c r="G365">
        <f t="shared" si="10"/>
        <v>4.4899474750184784E-2</v>
      </c>
      <c r="H365">
        <f>MIN(100,($A365-'BOBOT PEK'!U178+1)/('BOBOT PEK'!V178-'BOBOT PEK'!U178+1)*100)</f>
        <v>25</v>
      </c>
      <c r="I365">
        <f>IFERROR(SUM(INDEX(TS!$M:$AB,56,1):INDEX(TS!$M:$AB,56,$A365))/TS!$L$46*100,0)</f>
        <v>24.30819316332067</v>
      </c>
      <c r="J365">
        <f t="shared" si="11"/>
        <v>75.691806836679334</v>
      </c>
      <c r="O365" t="str">
        <f ca="1">IF(I365&gt;=99.9,"COMPLETED",IF('BOBOT PEK'!U178&gt;$J$7,"NOT STARTED",IF('BOBOT PEK'!V178&lt;$J$7,"CRITICAL",IF(I365+1&lt;H365,"DELAYED","ON SCHEDULE"))))</f>
        <v>ON SCHEDULE</v>
      </c>
      <c r="Q365" t="str">
        <f>IFERROR(IF(AND($A365=$B$8,'BOBOT PEK'!U178&lt;=$B$8,$B$8&lt;='BOBOT PEK'!V178),COUNTIFS($A$17:$A365,$B$8),""),"")</f>
        <v/>
      </c>
    </row>
    <row r="366" spans="1:17" ht="12.75" customHeight="1" x14ac:dyDescent="0.2">
      <c r="A366">
        <f>IFERROR(IF(COUNTIF($C$17:C366,C366)&lt;=('BOBOT PEK'!V179-'BOBOT PEK'!U179+1),'BOBOT PEK'!U179+COUNTIF($C$17:C366,C366)-1,0),0)</f>
        <v>9</v>
      </c>
      <c r="B366" t="str">
        <f>IFERROR(TEXT(INDEX('KALENDER MINGGU'!$B$6:$B$21,$A366),"dd/mm")&amp;" - "&amp;TEXT(INDEX('KALENDER MINGGU'!$C$6:$C$21,$A366),"dd/mm"),"")</f>
        <v>17/09 - 23/09</v>
      </c>
      <c r="C366" t="s">
        <v>520</v>
      </c>
      <c r="D366" t="str">
        <f>'BOBOT PEK'!C179</f>
        <v>marking garis</v>
      </c>
      <c r="E366" s="241">
        <f>'BOBOT PEK'!J179</f>
        <v>1.9187809722301191E-2</v>
      </c>
      <c r="F366">
        <f>100/('BOBOT PEK'!V179-'BOBOT PEK'!U179+1)</f>
        <v>25</v>
      </c>
      <c r="G366">
        <f t="shared" si="10"/>
        <v>4.7969524305752978E-3</v>
      </c>
      <c r="H366">
        <f>MIN(100,($A366-'BOBOT PEK'!U179+1)/('BOBOT PEK'!V179-'BOBOT PEK'!U179+1)*100)</f>
        <v>25</v>
      </c>
      <c r="I366">
        <f>IFERROR(SUM(INDEX(TS!$M:$AB,56,1):INDEX(TS!$M:$AB,56,$A366))/TS!$L$46*100,0)</f>
        <v>24.30819316332067</v>
      </c>
      <c r="J366">
        <f t="shared" si="11"/>
        <v>75.691806836679334</v>
      </c>
      <c r="O366" t="str">
        <f ca="1">IF(I366&gt;=99.9,"COMPLETED",IF('BOBOT PEK'!U179&gt;$J$7,"NOT STARTED",IF('BOBOT PEK'!V179&lt;$J$7,"CRITICAL",IF(I366+1&lt;H366,"DELAYED","ON SCHEDULE"))))</f>
        <v>ON SCHEDULE</v>
      </c>
      <c r="Q366" t="str">
        <f>IFERROR(IF(AND($A366=$B$8,'BOBOT PEK'!U179&lt;=$B$8,$B$8&lt;='BOBOT PEK'!V179),COUNTIFS($A$17:$A366,$B$8),""),"")</f>
        <v/>
      </c>
    </row>
    <row r="367" spans="1:17" ht="12.75" customHeight="1" x14ac:dyDescent="0.2">
      <c r="A367">
        <f>IFERROR(IF(COUNTIF($C$17:C367,C367)&lt;=('BOBOT PEK'!V193-'BOBOT PEK'!U193+1),'BOBOT PEK'!U193+COUNTIF($C$17:C367,C367)-1,0),0)</f>
        <v>9</v>
      </c>
      <c r="B367" t="str">
        <f>IFERROR(TEXT(INDEX('KALENDER MINGGU'!$B$6:$B$21,$A367),"dd/mm")&amp;" - "&amp;TEXT(INDEX('KALENDER MINGGU'!$C$6:$C$21,$A367),"dd/mm"),"")</f>
        <v>17/09 - 23/09</v>
      </c>
      <c r="C367" t="s">
        <v>523</v>
      </c>
      <c r="D367" t="str">
        <f>'BOBOT PEK'!C193</f>
        <v>Pembuatan partisi gudang</v>
      </c>
      <c r="E367" s="241">
        <f>'BOBOT PEK'!J193</f>
        <v>0.34921813694588166</v>
      </c>
      <c r="F367">
        <f>100/('BOBOT PEK'!V193-'BOBOT PEK'!U193+1)</f>
        <v>16.666666666666668</v>
      </c>
      <c r="G367">
        <f t="shared" si="10"/>
        <v>5.8203022824313617E-2</v>
      </c>
      <c r="H367">
        <f>MIN(100,($A367-'BOBOT PEK'!U193+1)/('BOBOT PEK'!V193-'BOBOT PEK'!U193+1)*100)</f>
        <v>16.666666666666664</v>
      </c>
      <c r="I367">
        <f>IFERROR(SUM(INDEX(TS!$M:$AB,58,1):INDEX(TS!$M:$AB,58,$A367))/TS!$L$48*100,0)</f>
        <v>9.0365448504983412</v>
      </c>
      <c r="J367">
        <f t="shared" si="11"/>
        <v>90.963455149501655</v>
      </c>
      <c r="O367" t="str">
        <f ca="1">IF(I367&gt;=99.9,"COMPLETED",IF('BOBOT PEK'!U193&gt;$J$7,"NOT STARTED",IF('BOBOT PEK'!V193&lt;$J$7,"CRITICAL",IF(I367+1&lt;H367,"DELAYED","ON SCHEDULE"))))</f>
        <v>DELAYED</v>
      </c>
      <c r="Q367" t="str">
        <f>IFERROR(IF(AND($A367=$B$8,'BOBOT PEK'!U193&lt;=$B$8,$B$8&lt;='BOBOT PEK'!V193),COUNTIFS($A$17:$A367,$B$8),""),"")</f>
        <v/>
      </c>
    </row>
    <row r="368" spans="1:17" ht="12.75" customHeight="1" x14ac:dyDescent="0.2">
      <c r="A368">
        <f>IFERROR(IF(COUNTIF($C$17:C368,C368)&lt;=('BOBOT PEK'!V194-'BOBOT PEK'!U194+1),'BOBOT PEK'!U194+COUNTIF($C$17:C368,C368)-1,0),0)</f>
        <v>9</v>
      </c>
      <c r="B368" t="str">
        <f>IFERROR(TEXT(INDEX('KALENDER MINGGU'!$B$6:$B$21,$A368),"dd/mm")&amp;" - "&amp;TEXT(INDEX('KALENDER MINGGU'!$C$6:$C$21,$A368),"dd/mm"),"")</f>
        <v>17/09 - 23/09</v>
      </c>
      <c r="C368" t="s">
        <v>524</v>
      </c>
      <c r="D368" t="str">
        <f>'BOBOT PEK'!C194</f>
        <v>Pembuatan pintu gudang (kupu tarung)</v>
      </c>
      <c r="E368" s="241">
        <f>'BOBOT PEK'!J194</f>
        <v>7.6751238889204765E-2</v>
      </c>
      <c r="F368">
        <f>100/('BOBOT PEK'!V194-'BOBOT PEK'!U194+1)</f>
        <v>16.666666666666668</v>
      </c>
      <c r="G368">
        <f t="shared" si="10"/>
        <v>1.2791873148200796E-2</v>
      </c>
      <c r="H368">
        <f>MIN(100,($A368-'BOBOT PEK'!U194+1)/('BOBOT PEK'!V194-'BOBOT PEK'!U194+1)*100)</f>
        <v>16.666666666666664</v>
      </c>
      <c r="I368">
        <f>IFERROR(SUM(INDEX(TS!$M:$AB,58,1):INDEX(TS!$M:$AB,58,$A368))/TS!$L$48*100,0)</f>
        <v>9.0365448504983412</v>
      </c>
      <c r="J368">
        <f t="shared" si="11"/>
        <v>90.963455149501655</v>
      </c>
      <c r="O368" t="str">
        <f ca="1">IF(I368&gt;=99.9,"COMPLETED",IF('BOBOT PEK'!U194&gt;$J$7,"NOT STARTED",IF('BOBOT PEK'!V194&lt;$J$7,"CRITICAL",IF(I368+1&lt;H368,"DELAYED","ON SCHEDULE"))))</f>
        <v>DELAYED</v>
      </c>
      <c r="Q368" t="str">
        <f>IFERROR(IF(AND($A368=$B$8,'BOBOT PEK'!U194&lt;=$B$8,$B$8&lt;='BOBOT PEK'!V194),COUNTIFS($A$17:$A368,$B$8),""),"")</f>
        <v/>
      </c>
    </row>
    <row r="369" spans="1:17" ht="12.75" customHeight="1" x14ac:dyDescent="0.2">
      <c r="A369">
        <f>IFERROR(IF(COUNTIF($C$17:C369,C369)&lt;=('BOBOT PEK'!V195-'BOBOT PEK'!U195+1),'BOBOT PEK'!U195+COUNTIF($C$17:C369,C369)-1,0),0)</f>
        <v>6</v>
      </c>
      <c r="B369" t="str">
        <f>IFERROR(TEXT(INDEX('KALENDER MINGGU'!$B$6:$B$21,$A369),"dd/mm")&amp;" - "&amp;TEXT(INDEX('KALENDER MINGGU'!$C$6:$C$21,$A369),"dd/mm"),"")</f>
        <v>27/08 - 02/09</v>
      </c>
      <c r="C369" t="s">
        <v>525</v>
      </c>
      <c r="D369" t="str">
        <f>'BOBOT PEK'!C195</f>
        <v>Pemasangan gypsum 1 sisi</v>
      </c>
      <c r="E369" s="241">
        <f>'BOBOT PEK'!J195</f>
        <v>0.52062923713177223</v>
      </c>
      <c r="F369">
        <f>100/('BOBOT PEK'!V195-'BOBOT PEK'!U195+1)</f>
        <v>33.333333333333336</v>
      </c>
      <c r="G369">
        <f t="shared" si="10"/>
        <v>0.1735430790439241</v>
      </c>
      <c r="H369">
        <f>MIN(100,($A369-'BOBOT PEK'!U195+1)/('BOBOT PEK'!V195-'BOBOT PEK'!U195+1)*100)</f>
        <v>33.333333333333329</v>
      </c>
      <c r="I369">
        <f>IFERROR(SUM(INDEX(TS!$M:$AB,58,1):INDEX(TS!$M:$AB,58,$A369))/TS!$L$48*100,0)</f>
        <v>6.7075384457307266</v>
      </c>
      <c r="J369">
        <f t="shared" si="11"/>
        <v>93.292461554269266</v>
      </c>
      <c r="O369" t="str">
        <f ca="1">IF(I369&gt;=99.9,"COMPLETED",IF('BOBOT PEK'!U195&gt;$J$7,"NOT STARTED",IF('BOBOT PEK'!V195&lt;$J$7,"CRITICAL",IF(I369+1&lt;H369,"DELAYED","ON SCHEDULE"))))</f>
        <v>CRITICAL</v>
      </c>
      <c r="Q369">
        <f>IFERROR(IF(AND($A369=$B$8,'BOBOT PEK'!U195&lt;=$B$8,$B$8&lt;='BOBOT PEK'!V195),COUNTIFS($A$17:$A369,$B$8),""),"")</f>
        <v>29</v>
      </c>
    </row>
    <row r="370" spans="1:17" ht="12.75" customHeight="1" x14ac:dyDescent="0.2">
      <c r="A370">
        <f>IFERROR(IF(COUNTIF($C$17:C370,C370)&lt;=('BOBOT PEK'!V198-'BOBOT PEK'!U198+1),'BOBOT PEK'!U198+COUNTIF($C$17:C370,C370)-1,0),0)</f>
        <v>9</v>
      </c>
      <c r="B370" t="str">
        <f>IFERROR(TEXT(INDEX('KALENDER MINGGU'!$B$6:$B$21,$A370),"dd/mm")&amp;" - "&amp;TEXT(INDEX('KALENDER MINGGU'!$C$6:$C$21,$A370),"dd/mm"),"")</f>
        <v>17/09 - 23/09</v>
      </c>
      <c r="C370" t="s">
        <v>526</v>
      </c>
      <c r="D370" t="str">
        <f>'BOBOT PEK'!C198</f>
        <v>penggantian lighting</v>
      </c>
      <c r="E370" s="241">
        <f>'BOBOT PEK'!J198</f>
        <v>4.5283230944630805E-2</v>
      </c>
      <c r="F370">
        <f>100/('BOBOT PEK'!V198-'BOBOT PEK'!U198+1)</f>
        <v>16.666666666666668</v>
      </c>
      <c r="G370">
        <f t="shared" si="10"/>
        <v>7.5472051574384681E-3</v>
      </c>
      <c r="H370">
        <f>MIN(100,($A370-'BOBOT PEK'!U198+1)/('BOBOT PEK'!V198-'BOBOT PEK'!U198+1)*100)</f>
        <v>16.666666666666664</v>
      </c>
      <c r="I370">
        <f>IFERROR(SUM(INDEX(TS!$M:$AB,58,1):INDEX(TS!$M:$AB,58,$A370))/TS!$L$48*100,0)</f>
        <v>9.0365448504983412</v>
      </c>
      <c r="J370">
        <f t="shared" si="11"/>
        <v>90.963455149501655</v>
      </c>
      <c r="O370" t="str">
        <f ca="1">IF(I370&gt;=99.9,"COMPLETED",IF('BOBOT PEK'!U198&gt;$J$7,"NOT STARTED",IF('BOBOT PEK'!V198&lt;$J$7,"CRITICAL",IF(I370+1&lt;H370,"DELAYED","ON SCHEDULE"))))</f>
        <v>DELAYED</v>
      </c>
      <c r="Q370" t="str">
        <f>IFERROR(IF(AND($A370=$B$8,'BOBOT PEK'!U198&lt;=$B$8,$B$8&lt;='BOBOT PEK'!V198),COUNTIFS($A$17:$A370,$B$8),""),"")</f>
        <v/>
      </c>
    </row>
    <row r="371" spans="1:17" ht="12.75" customHeight="1" x14ac:dyDescent="0.2">
      <c r="A371">
        <f>IFERROR(IF(COUNTIF($C$17:C371,C371)&lt;=('BOBOT PEK'!V199-'BOBOT PEK'!U199+1),'BOBOT PEK'!U199+COUNTIF($C$17:C371,C371)-1,0),0)</f>
        <v>9</v>
      </c>
      <c r="B371" t="str">
        <f>IFERROR(TEXT(INDEX('KALENDER MINGGU'!$B$6:$B$21,$A371),"dd/mm")&amp;" - "&amp;TEXT(INDEX('KALENDER MINGGU'!$C$6:$C$21,$A371),"dd/mm"),"")</f>
        <v>17/09 - 23/09</v>
      </c>
      <c r="C371" t="s">
        <v>527</v>
      </c>
      <c r="D371" t="str">
        <f>'BOBOT PEK'!C199</f>
        <v>penggantian lighting</v>
      </c>
      <c r="E371" s="241">
        <f>'BOBOT PEK'!J199</f>
        <v>0.16373597629697018</v>
      </c>
      <c r="F371">
        <f>100/('BOBOT PEK'!V199-'BOBOT PEK'!U199+1)</f>
        <v>16.666666666666668</v>
      </c>
      <c r="G371">
        <f t="shared" si="10"/>
        <v>2.7289329382828367E-2</v>
      </c>
      <c r="H371">
        <f>MIN(100,($A371-'BOBOT PEK'!U199+1)/('BOBOT PEK'!V199-'BOBOT PEK'!U199+1)*100)</f>
        <v>16.666666666666664</v>
      </c>
      <c r="I371">
        <f>IFERROR(SUM(INDEX(TS!$M:$AB,58,1):INDEX(TS!$M:$AB,58,$A371))/TS!$L$48*100,0)</f>
        <v>9.0365448504983412</v>
      </c>
      <c r="J371">
        <f t="shared" si="11"/>
        <v>90.963455149501655</v>
      </c>
      <c r="O371" t="str">
        <f ca="1">IF(I371&gt;=99.9,"COMPLETED",IF('BOBOT PEK'!U199&gt;$J$7,"NOT STARTED",IF('BOBOT PEK'!V199&lt;$J$7,"CRITICAL",IF(I371+1&lt;H371,"DELAYED","ON SCHEDULE"))))</f>
        <v>DELAYED</v>
      </c>
      <c r="Q371" t="str">
        <f>IFERROR(IF(AND($A371=$B$8,'BOBOT PEK'!U199&lt;=$B$8,$B$8&lt;='BOBOT PEK'!V199),COUNTIFS($A$17:$A371,$B$8),""),"")</f>
        <v/>
      </c>
    </row>
    <row r="372" spans="1:17" ht="12.75" customHeight="1" x14ac:dyDescent="0.2">
      <c r="A372">
        <f>IFERROR(IF(COUNTIF($C$17:C372,C372)&lt;=('BOBOT PEK'!V201-'BOBOT PEK'!U201+1),'BOBOT PEK'!U201+COUNTIF($C$17:C372,C372)-1,0),0)</f>
        <v>9</v>
      </c>
      <c r="B372" t="str">
        <f>IFERROR(TEXT(INDEX('KALENDER MINGGU'!$B$6:$B$21,$A372),"dd/mm")&amp;" - "&amp;TEXT(INDEX('KALENDER MINGGU'!$C$6:$C$21,$A372),"dd/mm"),"")</f>
        <v>17/09 - 23/09</v>
      </c>
      <c r="C372" t="s">
        <v>528</v>
      </c>
      <c r="D372" t="str">
        <f>'BOBOT PEK'!C201</f>
        <v>Pengadaan dan pemasangan turbin ventilator 32"</v>
      </c>
      <c r="E372" s="241">
        <f>'BOBOT PEK'!J201</f>
        <v>0.38375619444602382</v>
      </c>
      <c r="F372">
        <f>100/('BOBOT PEK'!V201-'BOBOT PEK'!U201+1)</f>
        <v>16.666666666666668</v>
      </c>
      <c r="G372">
        <f t="shared" si="10"/>
        <v>6.3959365741003985E-2</v>
      </c>
      <c r="H372">
        <f>MIN(100,($A372-'BOBOT PEK'!U201+1)/('BOBOT PEK'!V201-'BOBOT PEK'!U201+1)*100)</f>
        <v>16.666666666666664</v>
      </c>
      <c r="I372">
        <f>IFERROR(SUM(INDEX(TS!$M:$AB,58,1):INDEX(TS!$M:$AB,58,$A372))/TS!$L$48*100,0)</f>
        <v>9.0365448504983412</v>
      </c>
      <c r="J372">
        <f t="shared" si="11"/>
        <v>90.963455149501655</v>
      </c>
      <c r="O372" t="str">
        <f ca="1">IF(I372&gt;=99.9,"COMPLETED",IF('BOBOT PEK'!U201&gt;$J$7,"NOT STARTED",IF('BOBOT PEK'!V201&lt;$J$7,"CRITICAL",IF(I372+1&lt;H372,"DELAYED","ON SCHEDULE"))))</f>
        <v>DELAYED</v>
      </c>
      <c r="Q372" t="str">
        <f>IFERROR(IF(AND($A372=$B$8,'BOBOT PEK'!U201&lt;=$B$8,$B$8&lt;='BOBOT PEK'!V201),COUNTIFS($A$17:$A372,$B$8),""),"")</f>
        <v/>
      </c>
    </row>
    <row r="373" spans="1:17" ht="12.75" customHeight="1" x14ac:dyDescent="0.2">
      <c r="A373">
        <f>IFERROR(IF(COUNTIF($C$17:C373,C373)&lt;=('BOBOT PEK'!V202-'BOBOT PEK'!U202+1),'BOBOT PEK'!U202+COUNTIF($C$17:C373,C373)-1,0),0)</f>
        <v>9</v>
      </c>
      <c r="B373" t="str">
        <f>IFERROR(TEXT(INDEX('KALENDER MINGGU'!$B$6:$B$21,$A373),"dd/mm")&amp;" - "&amp;TEXT(INDEX('KALENDER MINGGU'!$C$6:$C$21,$A373),"dd/mm"),"")</f>
        <v>17/09 - 23/09</v>
      </c>
      <c r="C373" t="s">
        <v>529</v>
      </c>
      <c r="D373" t="str">
        <f>'BOBOT PEK'!C202</f>
        <v>Pasang aluminium bubble dibawah atap+plat strip</v>
      </c>
      <c r="E373" s="241">
        <f>'BOBOT PEK'!J202</f>
        <v>4.789277306686377</v>
      </c>
      <c r="F373">
        <f>100/('BOBOT PEK'!V202-'BOBOT PEK'!U202+1)</f>
        <v>16.666666666666668</v>
      </c>
      <c r="G373">
        <f t="shared" si="10"/>
        <v>0.79821288444772953</v>
      </c>
      <c r="H373">
        <f>MIN(100,($A373-'BOBOT PEK'!U202+1)/('BOBOT PEK'!V202-'BOBOT PEK'!U202+1)*100)</f>
        <v>16.666666666666664</v>
      </c>
      <c r="I373">
        <f>IFERROR(SUM(INDEX(TS!$M:$AB,58,1):INDEX(TS!$M:$AB,58,$A373))/TS!$L$48*100,0)</f>
        <v>9.0365448504983412</v>
      </c>
      <c r="J373">
        <f t="shared" si="11"/>
        <v>90.963455149501655</v>
      </c>
      <c r="O373" t="str">
        <f ca="1">IF(I373&gt;=99.9,"COMPLETED",IF('BOBOT PEK'!U202&gt;$J$7,"NOT STARTED",IF('BOBOT PEK'!V202&lt;$J$7,"CRITICAL",IF(I373+1&lt;H373,"DELAYED","ON SCHEDULE"))))</f>
        <v>DELAYED</v>
      </c>
      <c r="Q373" t="str">
        <f>IFERROR(IF(AND($A373=$B$8,'BOBOT PEK'!U202&lt;=$B$8,$B$8&lt;='BOBOT PEK'!V202),COUNTIFS($A$17:$A373,$B$8),""),"")</f>
        <v/>
      </c>
    </row>
    <row r="374" spans="1:17" ht="12.75" customHeight="1" x14ac:dyDescent="0.2">
      <c r="A374">
        <f>IFERROR(IF(COUNTIF($C$17:C374,C374)&lt;=('BOBOT PEK'!V203-'BOBOT PEK'!U203+1),'BOBOT PEK'!U203+COUNTIF($C$17:C374,C374)-1,0),0)</f>
        <v>9</v>
      </c>
      <c r="B374" t="str">
        <f>IFERROR(TEXT(INDEX('KALENDER MINGGU'!$B$6:$B$21,$A374),"dd/mm")&amp;" - "&amp;TEXT(INDEX('KALENDER MINGGU'!$C$6:$C$21,$A374),"dd/mm"),"")</f>
        <v>17/09 - 23/09</v>
      </c>
      <c r="C374" t="s">
        <v>530</v>
      </c>
      <c r="D374" t="str">
        <f>'BOBOT PEK'!C203</f>
        <v>Pekerjaan finishing cat dinding dan partisi</v>
      </c>
      <c r="E374" s="241">
        <f>'BOBOT PEK'!J203</f>
        <v>1.0131163533375029</v>
      </c>
      <c r="F374">
        <f>100/('BOBOT PEK'!V203-'BOBOT PEK'!U203+1)</f>
        <v>16.666666666666668</v>
      </c>
      <c r="G374">
        <f t="shared" si="10"/>
        <v>0.1688527255562505</v>
      </c>
      <c r="H374">
        <f>MIN(100,($A374-'BOBOT PEK'!U203+1)/('BOBOT PEK'!V203-'BOBOT PEK'!U203+1)*100)</f>
        <v>16.666666666666664</v>
      </c>
      <c r="I374">
        <f>IFERROR(SUM(INDEX(TS!$M:$AB,58,1):INDEX(TS!$M:$AB,58,$A374))/TS!$L$48*100,0)</f>
        <v>9.0365448504983412</v>
      </c>
      <c r="J374">
        <f t="shared" si="11"/>
        <v>90.963455149501655</v>
      </c>
      <c r="O374" t="str">
        <f ca="1">IF(I374&gt;=99.9,"COMPLETED",IF('BOBOT PEK'!U203&gt;$J$7,"NOT STARTED",IF('BOBOT PEK'!V203&lt;$J$7,"CRITICAL",IF(I374+1&lt;H374,"DELAYED","ON SCHEDULE"))))</f>
        <v>DELAYED</v>
      </c>
      <c r="Q374" t="str">
        <f>IFERROR(IF(AND($A374=$B$8,'BOBOT PEK'!U203&lt;=$B$8,$B$8&lt;='BOBOT PEK'!V203),COUNTIFS($A$17:$A374,$B$8),""),"")</f>
        <v/>
      </c>
    </row>
    <row r="375" spans="1:17" ht="12.75" customHeight="1" x14ac:dyDescent="0.2">
      <c r="A375">
        <f>IFERROR(IF(COUNTIF($C$17:C375,C375)&lt;=('BOBOT PEK'!V212-'BOBOT PEK'!U212+1),'BOBOT PEK'!U212+COUNTIF($C$17:C375,C375)-1,0),0)</f>
        <v>5</v>
      </c>
      <c r="B375" t="str">
        <f>IFERROR(TEXT(INDEX('KALENDER MINGGU'!$B$6:$B$21,$A375),"dd/mm")&amp;" - "&amp;TEXT(INDEX('KALENDER MINGGU'!$C$6:$C$21,$A375),"dd/mm"),"")</f>
        <v>20/08 - 26/08</v>
      </c>
      <c r="C375" t="s">
        <v>531</v>
      </c>
      <c r="D375" t="str">
        <f>'BOBOT PEK'!C212</f>
        <v>Pekerjaan Persiapan</v>
      </c>
      <c r="E375" s="241">
        <f>'BOBOT PEK'!J212</f>
        <v>4.3236531240918682E-2</v>
      </c>
      <c r="F375">
        <f>100/('BOBOT PEK'!V212-'BOBOT PEK'!U212+1)</f>
        <v>50</v>
      </c>
      <c r="G375">
        <f t="shared" si="10"/>
        <v>2.1618265620459341E-2</v>
      </c>
      <c r="H375">
        <f>MIN(100,($A375-'BOBOT PEK'!U212+1)/('BOBOT PEK'!V212-'BOBOT PEK'!U212+1)*100)</f>
        <v>50</v>
      </c>
      <c r="I375">
        <f>IFERROR(SUM(INDEX(TS!$M:$AB,61,1):INDEX(TS!$M:$AB,61,$A375))/TS!$L$51*100,0)</f>
        <v>0</v>
      </c>
      <c r="J375">
        <f t="shared" si="11"/>
        <v>100</v>
      </c>
      <c r="O375" t="str">
        <f ca="1">IF(I375&gt;=99.9,"COMPLETED",IF('BOBOT PEK'!U212&gt;$J$7,"NOT STARTED",IF('BOBOT PEK'!V212&lt;$J$7,"CRITICAL",IF(I375+1&lt;H375,"DELAYED","ON SCHEDULE"))))</f>
        <v>CRITICAL</v>
      </c>
      <c r="Q375" t="str">
        <f>IFERROR(IF(AND($A375=$B$8,'BOBOT PEK'!U212&lt;=$B$8,$B$8&lt;='BOBOT PEK'!V212),COUNTIFS($A$17:$A375,$B$8),""),"")</f>
        <v/>
      </c>
    </row>
    <row r="376" spans="1:17" ht="23.25" customHeight="1" x14ac:dyDescent="0.2">
      <c r="A376">
        <f>IFERROR(IF(COUNTIF($C$17:C376,C376)&lt;=('BOBOT PEK'!V213-'BOBOT PEK'!U213+1),'BOBOT PEK'!U213+COUNTIF($C$17:C376,C376)-1,0),0)</f>
        <v>5</v>
      </c>
      <c r="B376" t="str">
        <f>IFERROR(TEXT(INDEX('KALENDER MINGGU'!$B$6:$B$21,$A376),"dd/mm")&amp;" - "&amp;TEXT(INDEX('KALENDER MINGGU'!$C$6:$C$21,$A376),"dd/mm"),"")</f>
        <v>20/08 - 26/08</v>
      </c>
      <c r="C376" t="s">
        <v>532</v>
      </c>
      <c r="D376" s="228" t="str">
        <f>'BOBOT PEK'!C213</f>
        <v>Pembersihan Lahan
tebang pohon dan buang puing</v>
      </c>
      <c r="E376" s="241">
        <f>'BOBOT PEK'!J213</f>
        <v>0.1662943509266103</v>
      </c>
      <c r="F376">
        <f>100/('BOBOT PEK'!V213-'BOBOT PEK'!U213+1)</f>
        <v>50</v>
      </c>
      <c r="G376">
        <f t="shared" si="10"/>
        <v>8.3147175463305148E-2</v>
      </c>
      <c r="H376">
        <f>MIN(100,($A376-'BOBOT PEK'!U213+1)/('BOBOT PEK'!V213-'BOBOT PEK'!U213+1)*100)</f>
        <v>50</v>
      </c>
      <c r="I376">
        <f>IFERROR(SUM(INDEX(TS!$M:$AB,61,1):INDEX(TS!$M:$AB,61,$A376))/TS!$L$51*100,0)</f>
        <v>0</v>
      </c>
      <c r="J376">
        <f t="shared" si="11"/>
        <v>100</v>
      </c>
      <c r="O376" t="str">
        <f ca="1">IF(I376&gt;=99.9,"COMPLETED",IF('BOBOT PEK'!U213&gt;$J$7,"NOT STARTED",IF('BOBOT PEK'!V213&lt;$J$7,"CRITICAL",IF(I376+1&lt;H376,"DELAYED","ON SCHEDULE"))))</f>
        <v>CRITICAL</v>
      </c>
      <c r="Q376" t="str">
        <f>IFERROR(IF(AND($A376=$B$8,'BOBOT PEK'!U213&lt;=$B$8,$B$8&lt;='BOBOT PEK'!V213),COUNTIFS($A$17:$A376,$B$8),""),"")</f>
        <v/>
      </c>
    </row>
    <row r="377" spans="1:17" ht="23.25" customHeight="1" x14ac:dyDescent="0.2">
      <c r="A377">
        <f>IFERROR(IF(COUNTIF($C$17:C377,C377)&lt;=('BOBOT PEK'!V214-'BOBOT PEK'!U214+1),'BOBOT PEK'!U214+COUNTIF($C$17:C377,C377)-1,0),0)</f>
        <v>5</v>
      </c>
      <c r="B377" t="str">
        <f>IFERROR(TEXT(INDEX('KALENDER MINGGU'!$B$6:$B$21,$A377),"dd/mm")&amp;" - "&amp;TEXT(INDEX('KALENDER MINGGU'!$C$6:$C$21,$A377),"dd/mm"),"")</f>
        <v>20/08 - 26/08</v>
      </c>
      <c r="C377" t="s">
        <v>533</v>
      </c>
      <c r="D377" s="228" t="str">
        <f>'BOBOT PEK'!C214</f>
        <v xml:space="preserve">Skafolding dan Alat Bantu Pekerjaan
</v>
      </c>
      <c r="E377" s="241">
        <f>'BOBOT PEK'!J214</f>
        <v>6.6517740370644132E-2</v>
      </c>
      <c r="F377">
        <f>100/('BOBOT PEK'!V214-'BOBOT PEK'!U214+1)</f>
        <v>33.333333333333336</v>
      </c>
      <c r="G377">
        <f t="shared" si="10"/>
        <v>2.2172580123548048E-2</v>
      </c>
      <c r="H377">
        <f>MIN(100,($A377-'BOBOT PEK'!U214+1)/('BOBOT PEK'!V214-'BOBOT PEK'!U214+1)*100)</f>
        <v>33.333333333333329</v>
      </c>
      <c r="I377">
        <f>IFERROR(SUM(INDEX(TS!$M:$AB,61,1):INDEX(TS!$M:$AB,61,$A377))/TS!$L$51*100,0)</f>
        <v>0</v>
      </c>
      <c r="J377">
        <f t="shared" si="11"/>
        <v>100</v>
      </c>
      <c r="O377" t="str">
        <f ca="1">IF(I377&gt;=99.9,"COMPLETED",IF('BOBOT PEK'!U214&gt;$J$7,"NOT STARTED",IF('BOBOT PEK'!V214&lt;$J$7,"CRITICAL",IF(I377+1&lt;H377,"DELAYED","ON SCHEDULE"))))</f>
        <v>CRITICAL</v>
      </c>
      <c r="Q377" t="str">
        <f>IFERROR(IF(AND($A377=$B$8,'BOBOT PEK'!U214&lt;=$B$8,$B$8&lt;='BOBOT PEK'!V214),COUNTIFS($A$17:$A377,$B$8),""),"")</f>
        <v/>
      </c>
    </row>
    <row r="378" spans="1:17" ht="23.25" customHeight="1" x14ac:dyDescent="0.2">
      <c r="A378">
        <f>IFERROR(IF(COUNTIF($C$17:C378,C378)&lt;=('BOBOT PEK'!V215-'BOBOT PEK'!U215+1),'BOBOT PEK'!U215+COUNTIF($C$17:C378,C378)-1,0),0)</f>
        <v>5</v>
      </c>
      <c r="B378" t="str">
        <f>IFERROR(TEXT(INDEX('KALENDER MINGGU'!$B$6:$B$21,$A378),"dd/mm")&amp;" - "&amp;TEXT(INDEX('KALENDER MINGGU'!$C$6:$C$21,$A378),"dd/mm"),"")</f>
        <v>20/08 - 26/08</v>
      </c>
      <c r="C378" t="s">
        <v>534</v>
      </c>
      <c r="D378" s="228" t="str">
        <f>'BOBOT PEK'!C215</f>
        <v xml:space="preserve">Biaya gambar
</v>
      </c>
      <c r="E378" s="241">
        <f>'BOBOT PEK'!J215</f>
        <v>3.6584757203854269E-2</v>
      </c>
      <c r="F378">
        <f>100/('BOBOT PEK'!V215-'BOBOT PEK'!U215+1)</f>
        <v>50</v>
      </c>
      <c r="G378">
        <f t="shared" si="10"/>
        <v>1.8292378601927135E-2</v>
      </c>
      <c r="H378">
        <f>MIN(100,($A378-'BOBOT PEK'!U215+1)/('BOBOT PEK'!V215-'BOBOT PEK'!U215+1)*100)</f>
        <v>50</v>
      </c>
      <c r="I378">
        <f>IFERROR(SUM(INDEX(TS!$M:$AB,61,1):INDEX(TS!$M:$AB,61,$A378))/TS!$L$51*100,0)</f>
        <v>0</v>
      </c>
      <c r="J378">
        <f t="shared" si="11"/>
        <v>100</v>
      </c>
      <c r="O378" t="str">
        <f ca="1">IF(I378&gt;=99.9,"COMPLETED",IF('BOBOT PEK'!U215&gt;$J$7,"NOT STARTED",IF('BOBOT PEK'!V215&lt;$J$7,"CRITICAL",IF(I378+1&lt;H378,"DELAYED","ON SCHEDULE"))))</f>
        <v>CRITICAL</v>
      </c>
      <c r="Q378" t="str">
        <f>IFERROR(IF(AND($A378=$B$8,'BOBOT PEK'!U215&lt;=$B$8,$B$8&lt;='BOBOT PEK'!V215),COUNTIFS($A$17:$A378,$B$8),""),"")</f>
        <v/>
      </c>
    </row>
    <row r="379" spans="1:17" ht="23.25" customHeight="1" x14ac:dyDescent="0.2">
      <c r="A379">
        <f>IFERROR(IF(COUNTIF($C$17:C379,C379)&lt;=('BOBOT PEK'!V226-'BOBOT PEK'!U226+1),'BOBOT PEK'!U226+COUNTIF($C$17:C379,C379)-1,0),0)</f>
        <v>5</v>
      </c>
      <c r="B379" t="str">
        <f>IFERROR(TEXT(INDEX('KALENDER MINGGU'!$B$6:$B$21,$A379),"dd/mm")&amp;" - "&amp;TEXT(INDEX('KALENDER MINGGU'!$C$6:$C$21,$A379),"dd/mm"),"")</f>
        <v>20/08 - 26/08</v>
      </c>
      <c r="C379" t="s">
        <v>542</v>
      </c>
      <c r="D379" s="228" t="str">
        <f>'BOBOT PEK'!C226</f>
        <v>ring balok
CNP 150 double</v>
      </c>
      <c r="E379" s="241">
        <f>'BOBOT PEK'!J226</f>
        <v>0.17192277511181867</v>
      </c>
      <c r="F379">
        <f>100/('BOBOT PEK'!V226-'BOBOT PEK'!U226+1)</f>
        <v>16.666666666666668</v>
      </c>
      <c r="G379">
        <f t="shared" si="10"/>
        <v>2.8653795851969782E-2</v>
      </c>
      <c r="H379">
        <f>MIN(100,($A379-'BOBOT PEK'!U226+1)/('BOBOT PEK'!V226-'BOBOT PEK'!U226+1)*100)</f>
        <v>16.666666666666664</v>
      </c>
      <c r="I379">
        <f>IFERROR(SUM(INDEX(TS!$M:$AB,65,1):INDEX(TS!$M:$AB,65,$A379))/TS!$L$55*100,0)</f>
        <v>0</v>
      </c>
      <c r="J379">
        <f t="shared" si="11"/>
        <v>100</v>
      </c>
      <c r="O379" t="str">
        <f ca="1">IF(I379&gt;=99.9,"COMPLETED",IF('BOBOT PEK'!U226&gt;$J$7,"NOT STARTED",IF('BOBOT PEK'!V226&lt;$J$7,"CRITICAL",IF(I379+1&lt;H379,"DELAYED","ON SCHEDULE"))))</f>
        <v>DELAYED</v>
      </c>
      <c r="Q379" t="str">
        <f>IFERROR(IF(AND($A379=$B$8,'BOBOT PEK'!U226&lt;=$B$8,$B$8&lt;='BOBOT PEK'!V226),COUNTIFS($A$17:$A379,$B$8),""),"")</f>
        <v/>
      </c>
    </row>
    <row r="380" spans="1:17" ht="23.25" customHeight="1" x14ac:dyDescent="0.2">
      <c r="A380">
        <f>IFERROR(IF(COUNTIF($C$17:C380,C380)&lt;=('BOBOT PEK'!V248-'BOBOT PEK'!U248+1),'BOBOT PEK'!U248+COUNTIF($C$17:C380,C380)-1,0),0)</f>
        <v>9</v>
      </c>
      <c r="B380" t="str">
        <f>IFERROR(TEXT(INDEX('KALENDER MINGGU'!$B$6:$B$21,$A380),"dd/mm")&amp;" - "&amp;TEXT(INDEX('KALENDER MINGGU'!$C$6:$C$21,$A380),"dd/mm"),"")</f>
        <v>17/09 - 23/09</v>
      </c>
      <c r="C380" t="s">
        <v>560</v>
      </c>
      <c r="D380" s="228" t="str">
        <f>'BOBOT PEK'!C248</f>
        <v>Pemasangan paving area parkir
K150 6cm</v>
      </c>
      <c r="E380" s="241">
        <f>'BOBOT PEK'!J248</f>
        <v>9.4659861296685868E-2</v>
      </c>
      <c r="F380">
        <f>100/('BOBOT PEK'!V248-'BOBOT PEK'!U248+1)</f>
        <v>50</v>
      </c>
      <c r="G380">
        <f t="shared" si="10"/>
        <v>4.7329930648342934E-2</v>
      </c>
      <c r="H380">
        <f>MIN(100,($A380-'BOBOT PEK'!U248+1)/('BOBOT PEK'!V248-'BOBOT PEK'!U248+1)*100)</f>
        <v>50</v>
      </c>
      <c r="I380">
        <f>IFERROR(SUM(INDEX(TS!$M:$AB,71,1):INDEX(TS!$M:$AB,71,$A380))/TS!$L$61*100,0)</f>
        <v>22268.526906697643</v>
      </c>
      <c r="J380">
        <f t="shared" si="11"/>
        <v>0</v>
      </c>
      <c r="O380" t="str">
        <f>IF(I380&gt;=99.9,"COMPLETED",IF('BOBOT PEK'!U248&gt;$J$7,"NOT STARTED",IF('BOBOT PEK'!V248&lt;$J$7,"CRITICAL",IF(I380+1&lt;H380,"DELAYED","ON SCHEDULE"))))</f>
        <v>COMPLETED</v>
      </c>
      <c r="Q380" t="str">
        <f>IFERROR(IF(AND($A380=$B$8,'BOBOT PEK'!U248&lt;=$B$8,$B$8&lt;='BOBOT PEK'!V248),COUNTIFS($A$17:$A380,$B$8),""),"")</f>
        <v/>
      </c>
    </row>
    <row r="381" spans="1:17" ht="12.75" customHeight="1" x14ac:dyDescent="0.2">
      <c r="A381">
        <f>IFERROR(IF(COUNTIF($C$17:C381,C381)&lt;=('BOBOT PEK'!V249-'BOBOT PEK'!U249+1),'BOBOT PEK'!U249+COUNTIF($C$17:C381,C381)-1,0),0)</f>
        <v>9</v>
      </c>
      <c r="B381" t="str">
        <f>IFERROR(TEXT(INDEX('KALENDER MINGGU'!$B$6:$B$21,$A381),"dd/mm")&amp;" - "&amp;TEXT(INDEX('KALENDER MINGGU'!$C$6:$C$21,$A381),"dd/mm"),"")</f>
        <v>17/09 - 23/09</v>
      </c>
      <c r="C381" t="s">
        <v>561</v>
      </c>
      <c r="D381" t="str">
        <f>'BOBOT PEK'!C249</f>
        <v>cat garis parkir</v>
      </c>
      <c r="E381" s="241">
        <f>'BOBOT PEK'!J249</f>
        <v>9.9776610555966198E-3</v>
      </c>
      <c r="F381">
        <f>100/('BOBOT PEK'!V249-'BOBOT PEK'!U249+1)</f>
        <v>50</v>
      </c>
      <c r="G381">
        <f t="shared" si="10"/>
        <v>4.9888305277983099E-3</v>
      </c>
      <c r="H381">
        <f>MIN(100,($A381-'BOBOT PEK'!U249+1)/('BOBOT PEK'!V249-'BOBOT PEK'!U249+1)*100)</f>
        <v>50</v>
      </c>
      <c r="I381">
        <f>IFERROR(SUM(INDEX(TS!$M:$AB,71,1):INDEX(TS!$M:$AB,71,$A381))/TS!$L$61*100,0)</f>
        <v>22268.526906697643</v>
      </c>
      <c r="J381">
        <f t="shared" si="11"/>
        <v>0</v>
      </c>
      <c r="O381" t="str">
        <f>IF(I381&gt;=99.9,"COMPLETED",IF('BOBOT PEK'!U249&gt;$J$7,"NOT STARTED",IF('BOBOT PEK'!V249&lt;$J$7,"CRITICAL",IF(I381+1&lt;H381,"DELAYED","ON SCHEDULE"))))</f>
        <v>COMPLETED</v>
      </c>
      <c r="Q381" t="str">
        <f>IFERROR(IF(AND($A381=$B$8,'BOBOT PEK'!U249&lt;=$B$8,$B$8&lt;='BOBOT PEK'!V249),COUNTIFS($A$17:$A381,$B$8),""),"")</f>
        <v/>
      </c>
    </row>
    <row r="382" spans="1:17" ht="12.75" customHeight="1" x14ac:dyDescent="0.2">
      <c r="A382">
        <f>IFERROR(IF(COUNTIF($C$17:C382,C382)&lt;=('BOBOT PEK'!V250-'BOBOT PEK'!U250+1),'BOBOT PEK'!U250+COUNTIF($C$17:C382,C382)-1,0),0)</f>
        <v>9</v>
      </c>
      <c r="B382" t="str">
        <f>IFERROR(TEXT(INDEX('KALENDER MINGGU'!$B$6:$B$21,$A382),"dd/mm")&amp;" - "&amp;TEXT(INDEX('KALENDER MINGGU'!$C$6:$C$21,$A382),"dd/mm"),"")</f>
        <v>17/09 - 23/09</v>
      </c>
      <c r="C382" t="s">
        <v>562</v>
      </c>
      <c r="D382" t="str">
        <f>'BOBOT PEK'!C250</f>
        <v>penggantian atap rg tunggu driver</v>
      </c>
      <c r="E382" s="241">
        <f>'BOBOT PEK'!J250</f>
        <v>0.19955322111193238</v>
      </c>
      <c r="F382">
        <f>100/('BOBOT PEK'!V250-'BOBOT PEK'!U250+1)</f>
        <v>50</v>
      </c>
      <c r="G382">
        <f t="shared" si="10"/>
        <v>9.9776610555966191E-2</v>
      </c>
      <c r="H382">
        <f>MIN(100,($A382-'BOBOT PEK'!U250+1)/('BOBOT PEK'!V250-'BOBOT PEK'!U250+1)*100)</f>
        <v>50</v>
      </c>
      <c r="I382">
        <f>IFERROR(SUM(INDEX(TS!$M:$AB,71,1):INDEX(TS!$M:$AB,71,$A382))/TS!$L$61*100,0)</f>
        <v>22268.526906697643</v>
      </c>
      <c r="J382">
        <f t="shared" si="11"/>
        <v>0</v>
      </c>
      <c r="O382" t="str">
        <f>IF(I382&gt;=99.9,"COMPLETED",IF('BOBOT PEK'!U250&gt;$J$7,"NOT STARTED",IF('BOBOT PEK'!V250&lt;$J$7,"CRITICAL",IF(I382+1&lt;H382,"DELAYED","ON SCHEDULE"))))</f>
        <v>COMPLETED</v>
      </c>
      <c r="Q382" t="str">
        <f>IFERROR(IF(AND($A382=$B$8,'BOBOT PEK'!U250&lt;=$B$8,$B$8&lt;='BOBOT PEK'!V250),COUNTIFS($A$17:$A382,$B$8),""),"")</f>
        <v/>
      </c>
    </row>
    <row r="383" spans="1:17" ht="12.75" customHeight="1" x14ac:dyDescent="0.2">
      <c r="A383">
        <f>IFERROR(IF(COUNTIF($C$17:C383,C383)&lt;=('BOBOT PEK'!V26-'BOBOT PEK'!U26+1),'BOBOT PEK'!U26+COUNTIF($C$17:C383,C383)-1,0),0)</f>
        <v>10</v>
      </c>
      <c r="B383" t="str">
        <f>IFERROR(TEXT(INDEX('KALENDER MINGGU'!$B$6:$B$21,$A383),"dd/mm")&amp;" - "&amp;TEXT(INDEX('KALENDER MINGGU'!$C$6:$C$21,$A383),"dd/mm"),"")</f>
        <v>24/09 - 30/09</v>
      </c>
      <c r="C383" t="s">
        <v>433</v>
      </c>
      <c r="D383" t="str">
        <f>'BOBOT PEK'!C26</f>
        <v>Cor ulang lantai gudang utama sisi pintu dalam (4mx5m)</v>
      </c>
      <c r="E383" s="241">
        <f>'BOBOT PEK'!J26</f>
        <v>1.6885272555625046</v>
      </c>
      <c r="F383">
        <f>100/('BOBOT PEK'!V26-'BOBOT PEK'!U26+1)</f>
        <v>33.333333333333336</v>
      </c>
      <c r="G383">
        <f t="shared" si="10"/>
        <v>0.56284241852083494</v>
      </c>
      <c r="H383">
        <f>MIN(100,($A383-'BOBOT PEK'!U26+1)/('BOBOT PEK'!V26-'BOBOT PEK'!U26+1)*100)</f>
        <v>66.666666666666657</v>
      </c>
      <c r="I383">
        <f>IFERROR(SUM(INDEX(TS!$M:$AB,25,1):INDEX(TS!$M:$AB,25,$A383))/TS!$L$15*100,0)</f>
        <v>6.3585114450039812</v>
      </c>
      <c r="J383">
        <f t="shared" si="11"/>
        <v>93.641488554996016</v>
      </c>
      <c r="O383" t="str">
        <f ca="1">IF(I383&gt;=99.9,"COMPLETED",IF('BOBOT PEK'!U26&gt;$J$7,"NOT STARTED",IF('BOBOT PEK'!V26&lt;$J$7,"CRITICAL",IF(I383+1&lt;H383,"DELAYED","ON SCHEDULE"))))</f>
        <v>DELAYED</v>
      </c>
      <c r="Q383" t="str">
        <f>IFERROR(IF(AND($A383=$B$8,'BOBOT PEK'!U26&lt;=$B$8,$B$8&lt;='BOBOT PEK'!V26),COUNTIFS($A$17:$A383,$B$8),""),"")</f>
        <v/>
      </c>
    </row>
    <row r="384" spans="1:17" ht="12.75" customHeight="1" x14ac:dyDescent="0.2">
      <c r="A384">
        <f>IFERROR(IF(COUNTIF($C$17:C384,C384)&lt;=('BOBOT PEK'!V49-'BOBOT PEK'!U49+1),'BOBOT PEK'!U49+COUNTIF($C$17:C384,C384)-1,0),0)</f>
        <v>10</v>
      </c>
      <c r="B384" t="str">
        <f>IFERROR(TEXT(INDEX('KALENDER MINGGU'!$B$6:$B$21,$A384),"dd/mm")&amp;" - "&amp;TEXT(INDEX('KALENDER MINGGU'!$C$6:$C$21,$A384),"dd/mm"),"")</f>
        <v>24/09 - 30/09</v>
      </c>
      <c r="C384" t="s">
        <v>450</v>
      </c>
      <c r="D384" t="str">
        <f>'BOBOT PEK'!C49</f>
        <v>Pasang kawat razor (diameter gulungan 45-50 cm)</v>
      </c>
      <c r="E384" s="241">
        <f>'BOBOT PEK'!J49</f>
        <v>1.1481985337825031</v>
      </c>
      <c r="F384">
        <f>100/('BOBOT PEK'!V49-'BOBOT PEK'!U49+1)</f>
        <v>14.285714285714286</v>
      </c>
      <c r="G384">
        <f t="shared" si="10"/>
        <v>0.16402836196892903</v>
      </c>
      <c r="H384">
        <f>MIN(100,($A384-'BOBOT PEK'!U49+1)/('BOBOT PEK'!V49-'BOBOT PEK'!U49+1)*100)</f>
        <v>57.142857142857139</v>
      </c>
      <c r="I384">
        <f>IFERROR(SUM(INDEX(TS!$M:$AB,29,1):INDEX(TS!$M:$AB,29,$A384))/TS!$L$19*100,0)</f>
        <v>0</v>
      </c>
      <c r="J384">
        <f t="shared" si="11"/>
        <v>100</v>
      </c>
      <c r="O384" t="str">
        <f ca="1">IF(I384&gt;=99.9,"COMPLETED",IF('BOBOT PEK'!U49&gt;$J$7,"NOT STARTED",IF('BOBOT PEK'!V49&lt;$J$7,"CRITICAL",IF(I384+1&lt;H384,"DELAYED","ON SCHEDULE"))))</f>
        <v>DELAYED</v>
      </c>
      <c r="Q384" t="str">
        <f>IFERROR(IF(AND($A384=$B$8,'BOBOT PEK'!U49&lt;=$B$8,$B$8&lt;='BOBOT PEK'!V49),COUNTIFS($A$17:$A384,$B$8),""),"")</f>
        <v/>
      </c>
    </row>
    <row r="385" spans="1:17" ht="12.75" customHeight="1" x14ac:dyDescent="0.2">
      <c r="A385">
        <f>IFERROR(IF(COUNTIF($C$17:C385,C385)&lt;=('BOBOT PEK'!V67-'BOBOT PEK'!U67+1),'BOBOT PEK'!U67+COUNTIF($C$17:C385,C385)-1,0),0)</f>
        <v>10</v>
      </c>
      <c r="B385" t="str">
        <f>IFERROR(TEXT(INDEX('KALENDER MINGGU'!$B$6:$B$21,$A385),"dd/mm")&amp;" - "&amp;TEXT(INDEX('KALENDER MINGGU'!$C$6:$C$21,$A385),"dd/mm"),"")</f>
        <v>24/09 - 30/09</v>
      </c>
      <c r="C385" t="s">
        <v>459</v>
      </c>
      <c r="D385" t="str">
        <f>'BOBOT PEK'!C67</f>
        <v>Kansteen dan ban-banan area dalam taman</v>
      </c>
      <c r="E385" s="241">
        <f>'BOBOT PEK'!J67</f>
        <v>0.81867988148485082</v>
      </c>
      <c r="F385">
        <f>100/('BOBOT PEK'!V67-'BOBOT PEK'!U67+1)</f>
        <v>14.285714285714286</v>
      </c>
      <c r="G385">
        <f t="shared" si="10"/>
        <v>0.11695426878355013</v>
      </c>
      <c r="H385">
        <f>MIN(100,($A385-'BOBOT PEK'!U67+1)/('BOBOT PEK'!V67-'BOBOT PEK'!U67+1)*100)</f>
        <v>100</v>
      </c>
      <c r="I385">
        <f>IFERROR(SUM(INDEX(TS!$M:$AB,35,1):INDEX(TS!$M:$AB,35,$A385))/TS!$L$25*100,0)</f>
        <v>0</v>
      </c>
      <c r="J385">
        <f t="shared" si="11"/>
        <v>100</v>
      </c>
      <c r="O385" t="str">
        <f ca="1">IF(I385&gt;=99.9,"COMPLETED",IF('BOBOT PEK'!U67&gt;$J$7,"NOT STARTED",IF('BOBOT PEK'!V67&lt;$J$7,"CRITICAL",IF(I385+1&lt;H385,"DELAYED","ON SCHEDULE"))))</f>
        <v>DELAYED</v>
      </c>
      <c r="Q385" t="str">
        <f>IFERROR(IF(AND($A385=$B$8,'BOBOT PEK'!U67&lt;=$B$8,$B$8&lt;='BOBOT PEK'!V67),COUNTIFS($A$17:$A385,$B$8),""),"")</f>
        <v/>
      </c>
    </row>
    <row r="386" spans="1:17" ht="12.75" customHeight="1" x14ac:dyDescent="0.2">
      <c r="A386">
        <f>IFERROR(IF(COUNTIF($C$17:C386,C386)&lt;=('BOBOT PEK'!V71-'BOBOT PEK'!U71+1),'BOBOT PEK'!U71+COUNTIF($C$17:C386,C386)-1,0),0)</f>
        <v>10</v>
      </c>
      <c r="B386" t="str">
        <f>IFERROR(TEXT(INDEX('KALENDER MINGGU'!$B$6:$B$21,$A386),"dd/mm")&amp;" - "&amp;TEXT(INDEX('KALENDER MINGGU'!$C$6:$C$21,$A386),"dd/mm"),"")</f>
        <v>24/09 - 30/09</v>
      </c>
      <c r="C386" t="s">
        <v>463</v>
      </c>
      <c r="D386" t="str">
        <f>'BOBOT PEK'!C71</f>
        <v>Cat paving untuk jalur truk sampah</v>
      </c>
      <c r="E386" s="241">
        <f>'BOBOT PEK'!J71</f>
        <v>6.3959365741003971E-3</v>
      </c>
      <c r="F386">
        <f>100/('BOBOT PEK'!V71-'BOBOT PEK'!U71+1)</f>
        <v>50</v>
      </c>
      <c r="G386">
        <f t="shared" si="10"/>
        <v>3.1979682870501985E-3</v>
      </c>
      <c r="H386">
        <f>MIN(100,($A386-'BOBOT PEK'!U71+1)/('BOBOT PEK'!V71-'BOBOT PEK'!U71+1)*100)</f>
        <v>100</v>
      </c>
      <c r="I386">
        <f>IFERROR(SUM(INDEX(TS!$M:$AB,35,1):INDEX(TS!$M:$AB,35,$A386))/TS!$L$25*100,0)</f>
        <v>0</v>
      </c>
      <c r="J386">
        <f t="shared" si="11"/>
        <v>100</v>
      </c>
      <c r="O386" t="str">
        <f ca="1">IF(I386&gt;=99.9,"COMPLETED",IF('BOBOT PEK'!U71&gt;$J$7,"NOT STARTED",IF('BOBOT PEK'!V71&lt;$J$7,"CRITICAL",IF(I386+1&lt;H386,"DELAYED","ON SCHEDULE"))))</f>
        <v>DELAYED</v>
      </c>
      <c r="Q386" t="str">
        <f>IFERROR(IF(AND($A386=$B$8,'BOBOT PEK'!U71&lt;=$B$8,$B$8&lt;='BOBOT PEK'!V71),COUNTIFS($A$17:$A386,$B$8),""),"")</f>
        <v/>
      </c>
    </row>
    <row r="387" spans="1:17" ht="12.75" customHeight="1" x14ac:dyDescent="0.2">
      <c r="A387">
        <f>IFERROR(IF(COUNTIF($C$17:C387,C387)&lt;=('BOBOT PEK'!V77-'BOBOT PEK'!U77+1),'BOBOT PEK'!U77+COUNTIF($C$17:C387,C387)-1,0),0)</f>
        <v>10</v>
      </c>
      <c r="B387" t="str">
        <f>IFERROR(TEXT(INDEX('KALENDER MINGGU'!$B$6:$B$21,$A387),"dd/mm")&amp;" - "&amp;TEXT(INDEX('KALENDER MINGGU'!$C$6:$C$21,$A387),"dd/mm"),"")</f>
        <v>24/09 - 30/09</v>
      </c>
      <c r="C387" t="s">
        <v>464</v>
      </c>
      <c r="D387" t="str">
        <f>'BOBOT PEK'!C77</f>
        <v xml:space="preserve">Pengupasan aspal existing </v>
      </c>
      <c r="E387" s="241">
        <f>'BOBOT PEK'!J77</f>
        <v>3.3576108639397444</v>
      </c>
      <c r="F387">
        <f>100/('BOBOT PEK'!V77-'BOBOT PEK'!U77+1)</f>
        <v>6.25</v>
      </c>
      <c r="G387">
        <f t="shared" si="10"/>
        <v>0.20985067899623402</v>
      </c>
      <c r="H387">
        <f>MIN(100,($A387-'BOBOT PEK'!U77+1)/('BOBOT PEK'!V77-'BOBOT PEK'!U77+1)*100)</f>
        <v>62.5</v>
      </c>
      <c r="I387">
        <f>IFERROR(SUM(INDEX(TS!$M:$AB,37,1):INDEX(TS!$M:$AB,37,$A387))/TS!$L$27*100,0)</f>
        <v>0</v>
      </c>
      <c r="J387">
        <f t="shared" si="11"/>
        <v>100</v>
      </c>
      <c r="O387" t="str">
        <f ca="1">IF(I387&gt;=99.9,"COMPLETED",IF('BOBOT PEK'!U77&gt;$J$7,"NOT STARTED",IF('BOBOT PEK'!V77&lt;$J$7,"CRITICAL",IF(I387+1&lt;H387,"DELAYED","ON SCHEDULE"))))</f>
        <v>DELAYED</v>
      </c>
      <c r="Q387" t="str">
        <f>IFERROR(IF(AND($A387=$B$8,'BOBOT PEK'!U77&lt;=$B$8,$B$8&lt;='BOBOT PEK'!V77),COUNTIFS($A$17:$A387,$B$8),""),"")</f>
        <v/>
      </c>
    </row>
    <row r="388" spans="1:17" ht="12.75" customHeight="1" x14ac:dyDescent="0.2">
      <c r="A388">
        <f>IFERROR(IF(COUNTIF($C$17:C388,C388)&lt;=('BOBOT PEK'!V78-'BOBOT PEK'!U78+1),'BOBOT PEK'!U78+COUNTIF($C$17:C388,C388)-1,0),0)</f>
        <v>10</v>
      </c>
      <c r="B388" t="str">
        <f>IFERROR(TEXT(INDEX('KALENDER MINGGU'!$B$6:$B$21,$A388),"dd/mm")&amp;" - "&amp;TEXT(INDEX('KALENDER MINGGU'!$C$6:$C$21,$A388),"dd/mm"),"")</f>
        <v>24/09 - 30/09</v>
      </c>
      <c r="C388" t="s">
        <v>465</v>
      </c>
      <c r="D388" t="str">
        <f>'BOBOT PEK'!C78</f>
        <v xml:space="preserve">Pengupasan beton existing </v>
      </c>
      <c r="E388" s="241">
        <f>'BOBOT PEK'!J78</f>
        <v>1.9430855312117006</v>
      </c>
      <c r="F388">
        <f>100/('BOBOT PEK'!V78-'BOBOT PEK'!U78+1)</f>
        <v>6.25</v>
      </c>
      <c r="G388">
        <f t="shared" si="10"/>
        <v>0.12144284570073129</v>
      </c>
      <c r="H388">
        <f>MIN(100,($A388-'BOBOT PEK'!U78+1)/('BOBOT PEK'!V78-'BOBOT PEK'!U78+1)*100)</f>
        <v>62.5</v>
      </c>
      <c r="I388">
        <f>IFERROR(SUM(INDEX(TS!$M:$AB,37,1):INDEX(TS!$M:$AB,37,$A388))/TS!$L$27*100,0)</f>
        <v>0</v>
      </c>
      <c r="J388">
        <f t="shared" si="11"/>
        <v>100</v>
      </c>
      <c r="O388" t="str">
        <f ca="1">IF(I388&gt;=99.9,"COMPLETED",IF('BOBOT PEK'!U78&gt;$J$7,"NOT STARTED",IF('BOBOT PEK'!V78&lt;$J$7,"CRITICAL",IF(I388+1&lt;H388,"DELAYED","ON SCHEDULE"))))</f>
        <v>DELAYED</v>
      </c>
      <c r="Q388" t="str">
        <f>IFERROR(IF(AND($A388=$B$8,'BOBOT PEK'!U78&lt;=$B$8,$B$8&lt;='BOBOT PEK'!V78),COUNTIFS($A$17:$A388,$B$8),""),"")</f>
        <v/>
      </c>
    </row>
    <row r="389" spans="1:17" ht="12.75" customHeight="1" x14ac:dyDescent="0.2">
      <c r="A389">
        <f>IFERROR(IF(COUNTIF($C$17:C389,C389)&lt;=('BOBOT PEK'!V79-'BOBOT PEK'!U79+1),'BOBOT PEK'!U79+COUNTIF($C$17:C389,C389)-1,0),0)</f>
        <v>10</v>
      </c>
      <c r="B389" t="str">
        <f>IFERROR(TEXT(INDEX('KALENDER MINGGU'!$B$6:$B$21,$A389),"dd/mm")&amp;" - "&amp;TEXT(INDEX('KALENDER MINGGU'!$C$6:$C$21,$A389),"dd/mm"),"")</f>
        <v>24/09 - 30/09</v>
      </c>
      <c r="C389" t="s">
        <v>466</v>
      </c>
      <c r="D389" t="str">
        <f>'BOBOT PEK'!C79</f>
        <v>Pembuangan puing sewa truk</v>
      </c>
      <c r="E389" s="241">
        <f>'BOBOT PEK'!J79</f>
        <v>3.3766707549305637</v>
      </c>
      <c r="F389">
        <f>100/('BOBOT PEK'!V79-'BOBOT PEK'!U79+1)</f>
        <v>6.25</v>
      </c>
      <c r="G389">
        <f t="shared" si="10"/>
        <v>0.21104192218316023</v>
      </c>
      <c r="H389">
        <f>MIN(100,($A389-'BOBOT PEK'!U79+1)/('BOBOT PEK'!V79-'BOBOT PEK'!U79+1)*100)</f>
        <v>62.5</v>
      </c>
      <c r="I389">
        <f>IFERROR(SUM(INDEX(TS!$M:$AB,37,1):INDEX(TS!$M:$AB,37,$A389))/TS!$L$27*100,0)</f>
        <v>0</v>
      </c>
      <c r="J389">
        <f t="shared" si="11"/>
        <v>100</v>
      </c>
      <c r="O389" t="str">
        <f ca="1">IF(I389&gt;=99.9,"COMPLETED",IF('BOBOT PEK'!U79&gt;$J$7,"NOT STARTED",IF('BOBOT PEK'!V79&lt;$J$7,"CRITICAL",IF(I389+1&lt;H389,"DELAYED","ON SCHEDULE"))))</f>
        <v>DELAYED</v>
      </c>
      <c r="Q389" t="str">
        <f>IFERROR(IF(AND($A389=$B$8,'BOBOT PEK'!U79&lt;=$B$8,$B$8&lt;='BOBOT PEK'!V79),COUNTIFS($A$17:$A389,$B$8),""),"")</f>
        <v/>
      </c>
    </row>
    <row r="390" spans="1:17" ht="12.75" customHeight="1" x14ac:dyDescent="0.2">
      <c r="A390">
        <f>IFERROR(IF(COUNTIF($C$17:C390,C390)&lt;=('BOBOT PEK'!V80-'BOBOT PEK'!U80+1),'BOBOT PEK'!U80+COUNTIF($C$17:C390,C390)-1,0),0)</f>
        <v>10</v>
      </c>
      <c r="B390" t="str">
        <f>IFERROR(TEXT(INDEX('KALENDER MINGGU'!$B$6:$B$21,$A390),"dd/mm")&amp;" - "&amp;TEXT(INDEX('KALENDER MINGGU'!$C$6:$C$21,$A390),"dd/mm"),"")</f>
        <v>24/09 - 30/09</v>
      </c>
      <c r="C390" t="s">
        <v>467</v>
      </c>
      <c r="D390" t="str">
        <f>'BOBOT PEK'!C80</f>
        <v>Besi 13 ulir , kotak 30x30cm</v>
      </c>
      <c r="E390" s="241">
        <f>'BOBOT PEK'!J80</f>
        <v>15.224105695407308</v>
      </c>
      <c r="F390">
        <f>100/('BOBOT PEK'!V80-'BOBOT PEK'!U80+1)</f>
        <v>6.25</v>
      </c>
      <c r="G390">
        <f t="shared" si="10"/>
        <v>0.95150660596295678</v>
      </c>
      <c r="H390">
        <f>MIN(100,($A390-'BOBOT PEK'!U80+1)/('BOBOT PEK'!V80-'BOBOT PEK'!U80+1)*100)</f>
        <v>62.5</v>
      </c>
      <c r="I390">
        <f>IFERROR(SUM(INDEX(TS!$M:$AB,37,1):INDEX(TS!$M:$AB,37,$A390))/TS!$L$27*100,0)</f>
        <v>0</v>
      </c>
      <c r="J390">
        <f t="shared" si="11"/>
        <v>100</v>
      </c>
      <c r="O390" t="str">
        <f ca="1">IF(I390&gt;=99.9,"COMPLETED",IF('BOBOT PEK'!U80&gt;$J$7,"NOT STARTED",IF('BOBOT PEK'!V80&lt;$J$7,"CRITICAL",IF(I390+1&lt;H390,"DELAYED","ON SCHEDULE"))))</f>
        <v>DELAYED</v>
      </c>
      <c r="Q390" t="str">
        <f>IFERROR(IF(AND($A390=$B$8,'BOBOT PEK'!U80&lt;=$B$8,$B$8&lt;='BOBOT PEK'!V80),COUNTIFS($A$17:$A390,$B$8),""),"")</f>
        <v/>
      </c>
    </row>
    <row r="391" spans="1:17" ht="12.75" customHeight="1" x14ac:dyDescent="0.2">
      <c r="A391">
        <f>IFERROR(IF(COUNTIF($C$17:C391,C391)&lt;=('BOBOT PEK'!V81-'BOBOT PEK'!U81+1),'BOBOT PEK'!U81+COUNTIF($C$17:C391,C391)-1,0),0)</f>
        <v>10</v>
      </c>
      <c r="B391" t="str">
        <f>IFERROR(TEXT(INDEX('KALENDER MINGGU'!$B$6:$B$21,$A391),"dd/mm")&amp;" - "&amp;TEXT(INDEX('KALENDER MINGGU'!$C$6:$C$21,$A391),"dd/mm"),"")</f>
        <v>24/09 - 30/09</v>
      </c>
      <c r="C391" t="s">
        <v>468</v>
      </c>
      <c r="D391" t="str">
        <f>'BOBOT PEK'!C81</f>
        <v>Cor ready mix K-350 (tanpa trowel dan line cutting)</v>
      </c>
      <c r="E391" s="241">
        <f>'BOBOT PEK'!J81</f>
        <v>18.885237150790225</v>
      </c>
      <c r="F391">
        <f>100/('BOBOT PEK'!V81-'BOBOT PEK'!U81+1)</f>
        <v>6.25</v>
      </c>
      <c r="G391">
        <f t="shared" si="10"/>
        <v>1.1803273219243891</v>
      </c>
      <c r="H391">
        <f>MIN(100,($A391-'BOBOT PEK'!U81+1)/('BOBOT PEK'!V81-'BOBOT PEK'!U81+1)*100)</f>
        <v>62.5</v>
      </c>
      <c r="I391">
        <f>IFERROR(SUM(INDEX(TS!$M:$AB,37,1):INDEX(TS!$M:$AB,37,$A391))/TS!$L$27*100,0)</f>
        <v>0</v>
      </c>
      <c r="J391">
        <f t="shared" si="11"/>
        <v>100</v>
      </c>
      <c r="O391" t="str">
        <f ca="1">IF(I391&gt;=99.9,"COMPLETED",IF('BOBOT PEK'!U81&gt;$J$7,"NOT STARTED",IF('BOBOT PEK'!V81&lt;$J$7,"CRITICAL",IF(I391+1&lt;H391,"DELAYED","ON SCHEDULE"))))</f>
        <v>DELAYED</v>
      </c>
      <c r="Q391" t="str">
        <f>IFERROR(IF(AND($A391=$B$8,'BOBOT PEK'!U81&lt;=$B$8,$B$8&lt;='BOBOT PEK'!V81),COUNTIFS($A$17:$A391,$B$8),""),"")</f>
        <v/>
      </c>
    </row>
    <row r="392" spans="1:17" ht="12.75" customHeight="1" x14ac:dyDescent="0.2">
      <c r="A392">
        <f>IFERROR(IF(COUNTIF($C$17:C392,C392)&lt;=('BOBOT PEK'!V85-'BOBOT PEK'!U85+1),'BOBOT PEK'!U85+COUNTIF($C$17:C392,C392)-1,0),0)</f>
        <v>10</v>
      </c>
      <c r="B392" t="str">
        <f>IFERROR(TEXT(INDEX('KALENDER MINGGU'!$B$6:$B$21,$A392),"dd/mm")&amp;" - "&amp;TEXT(INDEX('KALENDER MINGGU'!$C$6:$C$21,$A392),"dd/mm"),"")</f>
        <v>24/09 - 30/09</v>
      </c>
      <c r="C392" t="s">
        <v>469</v>
      </c>
      <c r="D392" t="str">
        <f>'BOBOT PEK'!C85</f>
        <v>Pekerjaan refinishing dinding pagar timur &amp; utara</v>
      </c>
      <c r="E392" s="241">
        <f>'BOBOT PEK'!J85</f>
        <v>1.0803504386044462</v>
      </c>
      <c r="F392">
        <f>100/('BOBOT PEK'!V85-'BOBOT PEK'!U85+1)</f>
        <v>10</v>
      </c>
      <c r="G392">
        <f t="shared" si="10"/>
        <v>0.10803504386044463</v>
      </c>
      <c r="H392">
        <f>MIN(100,($A392-'BOBOT PEK'!U85+1)/('BOBOT PEK'!V85-'BOBOT PEK'!U85+1)*100)</f>
        <v>60</v>
      </c>
      <c r="I392">
        <f>IFERROR(SUM(INDEX(TS!$M:$AB,39,1):INDEX(TS!$M:$AB,39,$A392))/TS!$L$29*100,0)</f>
        <v>26.078611366101978</v>
      </c>
      <c r="J392">
        <f t="shared" si="11"/>
        <v>73.921388633898019</v>
      </c>
      <c r="O392" t="str">
        <f ca="1">IF(I392&gt;=99.9,"COMPLETED",IF('BOBOT PEK'!U85&gt;$J$7,"NOT STARTED",IF('BOBOT PEK'!V85&lt;$J$7,"CRITICAL",IF(I392+1&lt;H392,"DELAYED","ON SCHEDULE"))))</f>
        <v>DELAYED</v>
      </c>
      <c r="Q392" t="str">
        <f>IFERROR(IF(AND($A392=$B$8,'BOBOT PEK'!U85&lt;=$B$8,$B$8&lt;='BOBOT PEK'!V85),COUNTIFS($A$17:$A392,$B$8),""),"")</f>
        <v/>
      </c>
    </row>
    <row r="393" spans="1:17" ht="12.75" customHeight="1" x14ac:dyDescent="0.2">
      <c r="A393">
        <f>IFERROR(IF(COUNTIF($C$17:C393,C393)&lt;=('BOBOT PEK'!V86-'BOBOT PEK'!U86+1),'BOBOT PEK'!U86+COUNTIF($C$17:C393,C393)-1,0),0)</f>
        <v>10</v>
      </c>
      <c r="B393" t="str">
        <f>IFERROR(TEXT(INDEX('KALENDER MINGGU'!$B$6:$B$21,$A393),"dd/mm")&amp;" - "&amp;TEXT(INDEX('KALENDER MINGGU'!$C$6:$C$21,$A393),"dd/mm"),"")</f>
        <v>24/09 - 30/09</v>
      </c>
      <c r="C393" t="s">
        <v>470</v>
      </c>
      <c r="D393" t="str">
        <f>'BOBOT PEK'!C86</f>
        <v>Pekerjaan refinishing dinding barat</v>
      </c>
      <c r="E393" s="241">
        <f>'BOBOT PEK'!J86</f>
        <v>0.75906975261423504</v>
      </c>
      <c r="F393">
        <f>100/('BOBOT PEK'!V86-'BOBOT PEK'!U86+1)</f>
        <v>10</v>
      </c>
      <c r="G393">
        <f t="shared" si="10"/>
        <v>7.5906975261423509E-2</v>
      </c>
      <c r="H393">
        <f>MIN(100,($A393-'BOBOT PEK'!U86+1)/('BOBOT PEK'!V86-'BOBOT PEK'!U86+1)*100)</f>
        <v>60</v>
      </c>
      <c r="I393">
        <f>IFERROR(SUM(INDEX(TS!$M:$AB,39,1):INDEX(TS!$M:$AB,39,$A393))/TS!$L$29*100,0)</f>
        <v>26.078611366101978</v>
      </c>
      <c r="J393">
        <f t="shared" si="11"/>
        <v>73.921388633898019</v>
      </c>
      <c r="O393" t="str">
        <f ca="1">IF(I393&gt;=99.9,"COMPLETED",IF('BOBOT PEK'!U86&gt;$J$7,"NOT STARTED",IF('BOBOT PEK'!V86&lt;$J$7,"CRITICAL",IF(I393+1&lt;H393,"DELAYED","ON SCHEDULE"))))</f>
        <v>DELAYED</v>
      </c>
      <c r="Q393" t="str">
        <f>IFERROR(IF(AND($A393=$B$8,'BOBOT PEK'!U86&lt;=$B$8,$B$8&lt;='BOBOT PEK'!V86),COUNTIFS($A$17:$A393,$B$8),""),"")</f>
        <v/>
      </c>
    </row>
    <row r="394" spans="1:17" ht="12.75" customHeight="1" x14ac:dyDescent="0.2">
      <c r="A394">
        <f>IFERROR(IF(COUNTIF($C$17:C394,C394)&lt;=('BOBOT PEK'!V91-'BOBOT PEK'!U91+1),'BOBOT PEK'!U91+COUNTIF($C$17:C394,C394)-1,0),0)</f>
        <v>0</v>
      </c>
      <c r="B394" t="str">
        <f>IFERROR(TEXT(INDEX('KALENDER MINGGU'!$B$6:$B$21,$A394),"dd/mm")&amp;" - "&amp;TEXT(INDEX('KALENDER MINGGU'!$C$6:$C$21,$A394),"dd/mm"),"")</f>
        <v/>
      </c>
      <c r="C394" t="s">
        <v>471</v>
      </c>
      <c r="D394" t="str">
        <f>'BOBOT PEK'!C91</f>
        <v>Ganti rangka atap toilet ( rangka lama sudah lapuk )</v>
      </c>
      <c r="E394" s="241">
        <f>'BOBOT PEK'!J91</f>
        <v>0.92235801335101819</v>
      </c>
      <c r="F394">
        <f>100/('BOBOT PEK'!V91-'BOBOT PEK'!U91+1)</f>
        <v>50</v>
      </c>
      <c r="G394">
        <f t="shared" si="10"/>
        <v>0.4611790066755091</v>
      </c>
      <c r="H394">
        <f>MIN(100,($A394-'BOBOT PEK'!U91+1)/('BOBOT PEK'!V91-'BOBOT PEK'!U91+1)*100)</f>
        <v>-250</v>
      </c>
      <c r="I394">
        <f>IFERROR(SUM(INDEX(TS!$M:$AB,41,1):INDEX(TS!$M:$AB,41,$A394))/TS!$L$31*100,0)</f>
        <v>21.294065245273501</v>
      </c>
      <c r="J394">
        <f t="shared" si="11"/>
        <v>78.705934754726499</v>
      </c>
      <c r="O394" t="str">
        <f ca="1">IF(I394&gt;=99.9,"COMPLETED",IF('BOBOT PEK'!U91&gt;$J$7,"NOT STARTED",IF('BOBOT PEK'!V91&lt;$J$7,"CRITICAL",IF(I394+1&lt;H394,"DELAYED","ON SCHEDULE"))))</f>
        <v>CRITICAL</v>
      </c>
      <c r="Q394" t="str">
        <f>IFERROR(IF(AND($A394=$B$8,'BOBOT PEK'!U91&lt;=$B$8,$B$8&lt;='BOBOT PEK'!V91),COUNTIFS($A$17:$A394,$B$8),""),"")</f>
        <v/>
      </c>
    </row>
    <row r="395" spans="1:17" ht="12.75" customHeight="1" x14ac:dyDescent="0.2">
      <c r="A395">
        <f>IFERROR(IF(COUNTIF($C$17:C395,C395)&lt;=('BOBOT PEK'!V92-'BOBOT PEK'!U92+1),'BOBOT PEK'!U92+COUNTIF($C$17:C395,C395)-1,0),0)</f>
        <v>0</v>
      </c>
      <c r="B395" t="str">
        <f>IFERROR(TEXT(INDEX('KALENDER MINGGU'!$B$6:$B$21,$A395),"dd/mm")&amp;" - "&amp;TEXT(INDEX('KALENDER MINGGU'!$C$6:$C$21,$A395),"dd/mm"),"")</f>
        <v/>
      </c>
      <c r="C395" t="s">
        <v>472</v>
      </c>
      <c r="D395" t="str">
        <f>'BOBOT PEK'!C92</f>
        <v>Perbaikan plafond + refinishing cat</v>
      </c>
      <c r="E395" s="241">
        <f>'BOBOT PEK'!J92</f>
        <v>0.49755269797241802</v>
      </c>
      <c r="F395">
        <f>100/('BOBOT PEK'!V92-'BOBOT PEK'!U92+1)</f>
        <v>50</v>
      </c>
      <c r="G395">
        <f t="shared" si="10"/>
        <v>0.24877634898620901</v>
      </c>
      <c r="H395">
        <f>MIN(100,($A395-'BOBOT PEK'!U92+1)/('BOBOT PEK'!V92-'BOBOT PEK'!U92+1)*100)</f>
        <v>-300</v>
      </c>
      <c r="I395">
        <f>IFERROR(SUM(INDEX(TS!$M:$AB,41,1):INDEX(TS!$M:$AB,41,$A395))/TS!$L$31*100,0)</f>
        <v>21.294065245273501</v>
      </c>
      <c r="J395">
        <f t="shared" si="11"/>
        <v>78.705934754726499</v>
      </c>
      <c r="O395" t="str">
        <f ca="1">IF(I395&gt;=99.9,"COMPLETED",IF('BOBOT PEK'!U92&gt;$J$7,"NOT STARTED",IF('BOBOT PEK'!V92&lt;$J$7,"CRITICAL",IF(I395+1&lt;H395,"DELAYED","ON SCHEDULE"))))</f>
        <v>CRITICAL</v>
      </c>
      <c r="Q395" t="str">
        <f>IFERROR(IF(AND($A395=$B$8,'BOBOT PEK'!U92&lt;=$B$8,$B$8&lt;='BOBOT PEK'!V92),COUNTIFS($A$17:$A395,$B$8),""),"")</f>
        <v/>
      </c>
    </row>
    <row r="396" spans="1:17" ht="12.75" customHeight="1" x14ac:dyDescent="0.2">
      <c r="A396">
        <f>IFERROR(IF(COUNTIF($C$17:C396,C396)&lt;=('BOBOT PEK'!V93-'BOBOT PEK'!U93+1),'BOBOT PEK'!U93+COUNTIF($C$17:C396,C396)-1,0),0)</f>
        <v>0</v>
      </c>
      <c r="B396" t="str">
        <f>IFERROR(TEXT(INDEX('KALENDER MINGGU'!$B$6:$B$21,$A396),"dd/mm")&amp;" - "&amp;TEXT(INDEX('KALENDER MINGGU'!$C$6:$C$21,$A396),"dd/mm"),"")</f>
        <v/>
      </c>
      <c r="C396" t="s">
        <v>473</v>
      </c>
      <c r="D396" t="str">
        <f>'BOBOT PEK'!C93</f>
        <v>Cat ulang exterior musholla</v>
      </c>
      <c r="E396" s="241">
        <f>'BOBOT PEK'!J93</f>
        <v>0.17417414478590201</v>
      </c>
      <c r="F396">
        <f>100/('BOBOT PEK'!V93-'BOBOT PEK'!U93+1)</f>
        <v>50</v>
      </c>
      <c r="G396">
        <f t="shared" si="10"/>
        <v>8.7087072392951007E-2</v>
      </c>
      <c r="H396">
        <f>MIN(100,($A396-'BOBOT PEK'!U93+1)/('BOBOT PEK'!V93-'BOBOT PEK'!U93+1)*100)</f>
        <v>-350</v>
      </c>
      <c r="I396">
        <f>IFERROR(SUM(INDEX(TS!$M:$AB,41,1):INDEX(TS!$M:$AB,41,$A396))/TS!$L$31*100,0)</f>
        <v>21.294065245273501</v>
      </c>
      <c r="J396">
        <f t="shared" si="11"/>
        <v>78.705934754726499</v>
      </c>
      <c r="O396" t="str">
        <f ca="1">IF(I396&gt;=99.9,"COMPLETED",IF('BOBOT PEK'!U93&gt;$J$7,"NOT STARTED",IF('BOBOT PEK'!V93&lt;$J$7,"CRITICAL",IF(I396+1&lt;H396,"DELAYED","ON SCHEDULE"))))</f>
        <v>CRITICAL</v>
      </c>
      <c r="Q396" t="str">
        <f>IFERROR(IF(AND($A396=$B$8,'BOBOT PEK'!U93&lt;=$B$8,$B$8&lt;='BOBOT PEK'!V93),COUNTIFS($A$17:$A396,$B$8),""),"")</f>
        <v/>
      </c>
    </row>
    <row r="397" spans="1:17" ht="12.75" customHeight="1" x14ac:dyDescent="0.2">
      <c r="A397">
        <f>IFERROR(IF(COUNTIF($C$17:C397,C397)&lt;=('BOBOT PEK'!V94-'BOBOT PEK'!U94+1),'BOBOT PEK'!U94+COUNTIF($C$17:C397,C397)-1,0),0)</f>
        <v>0</v>
      </c>
      <c r="B397" t="str">
        <f>IFERROR(TEXT(INDEX('KALENDER MINGGU'!$B$6:$B$21,$A397),"dd/mm")&amp;" - "&amp;TEXT(INDEX('KALENDER MINGGU'!$C$6:$C$21,$A397),"dd/mm"),"")</f>
        <v/>
      </c>
      <c r="C397" t="s">
        <v>474</v>
      </c>
      <c r="D397" t="str">
        <f>'BOBOT PEK'!C94</f>
        <v>Penggantian pintu  musholla</v>
      </c>
      <c r="E397" s="241">
        <f>'BOBOT PEK'!J94</f>
        <v>9.9776610555966191E-2</v>
      </c>
      <c r="F397">
        <f>100/('BOBOT PEK'!V94-'BOBOT PEK'!U94+1)</f>
        <v>50</v>
      </c>
      <c r="G397">
        <f t="shared" si="10"/>
        <v>4.9888305277983096E-2</v>
      </c>
      <c r="H397">
        <f>MIN(100,($A397-'BOBOT PEK'!U94+1)/('BOBOT PEK'!V94-'BOBOT PEK'!U94+1)*100)</f>
        <v>-350</v>
      </c>
      <c r="I397">
        <f>IFERROR(SUM(INDEX(TS!$M:$AB,41,1):INDEX(TS!$M:$AB,41,$A397))/TS!$L$31*100,0)</f>
        <v>21.294065245273501</v>
      </c>
      <c r="J397">
        <f t="shared" si="11"/>
        <v>78.705934754726499</v>
      </c>
      <c r="O397" t="str">
        <f ca="1">IF(I397&gt;=99.9,"COMPLETED",IF('BOBOT PEK'!U94&gt;$J$7,"NOT STARTED",IF('BOBOT PEK'!V94&lt;$J$7,"CRITICAL",IF(I397+1&lt;H397,"DELAYED","ON SCHEDULE"))))</f>
        <v>CRITICAL</v>
      </c>
      <c r="Q397" t="str">
        <f>IFERROR(IF(AND($A397=$B$8,'BOBOT PEK'!U94&lt;=$B$8,$B$8&lt;='BOBOT PEK'!V94),COUNTIFS($A$17:$A397,$B$8),""),"")</f>
        <v/>
      </c>
    </row>
    <row r="398" spans="1:17" ht="12.75" customHeight="1" x14ac:dyDescent="0.2">
      <c r="A398">
        <f>IFERROR(IF(COUNTIF($C$17:C398,C398)&lt;=('BOBOT PEK'!V95-'BOBOT PEK'!U95+1),'BOBOT PEK'!U95+COUNTIF($C$17:C398,C398)-1,0),0)</f>
        <v>0</v>
      </c>
      <c r="B398" t="str">
        <f>IFERROR(TEXT(INDEX('KALENDER MINGGU'!$B$6:$B$21,$A398),"dd/mm")&amp;" - "&amp;TEXT(INDEX('KALENDER MINGGU'!$C$6:$C$21,$A398),"dd/mm"),"")</f>
        <v/>
      </c>
      <c r="C398" t="s">
        <v>475</v>
      </c>
      <c r="D398" t="str">
        <f>'BOBOT PEK'!C95</f>
        <v>Penggantian keramik teras</v>
      </c>
      <c r="E398" s="241">
        <f>'BOBOT PEK'!J95</f>
        <v>6.1400991111363809E-2</v>
      </c>
      <c r="F398">
        <f>100/('BOBOT PEK'!V95-'BOBOT PEK'!U95+1)</f>
        <v>50</v>
      </c>
      <c r="G398">
        <f t="shared" si="10"/>
        <v>3.0700495555681905E-2</v>
      </c>
      <c r="H398">
        <f>MIN(100,($A398-'BOBOT PEK'!U95+1)/('BOBOT PEK'!V95-'BOBOT PEK'!U95+1)*100)</f>
        <v>-300</v>
      </c>
      <c r="I398">
        <f>IFERROR(SUM(INDEX(TS!$M:$AB,41,1):INDEX(TS!$M:$AB,41,$A398))/TS!$L$31*100,0)</f>
        <v>21.294065245273501</v>
      </c>
      <c r="J398">
        <f t="shared" si="11"/>
        <v>78.705934754726499</v>
      </c>
      <c r="O398" t="str">
        <f ca="1">IF(I398&gt;=99.9,"COMPLETED",IF('BOBOT PEK'!U95&gt;$J$7,"NOT STARTED",IF('BOBOT PEK'!V95&lt;$J$7,"CRITICAL",IF(I398+1&lt;H398,"DELAYED","ON SCHEDULE"))))</f>
        <v>CRITICAL</v>
      </c>
      <c r="Q398" t="str">
        <f>IFERROR(IF(AND($A398=$B$8,'BOBOT PEK'!U95&lt;=$B$8,$B$8&lt;='BOBOT PEK'!V95),COUNTIFS($A$17:$A398,$B$8),""),"")</f>
        <v/>
      </c>
    </row>
    <row r="399" spans="1:17" ht="12.75" customHeight="1" x14ac:dyDescent="0.2">
      <c r="A399">
        <f>IFERROR(IF(COUNTIF($C$17:C399,C399)&lt;=('BOBOT PEK'!V96-'BOBOT PEK'!U96+1),'BOBOT PEK'!U96+COUNTIF($C$17:C399,C399)-1,0),0)</f>
        <v>0</v>
      </c>
      <c r="B399" t="str">
        <f>IFERROR(TEXT(INDEX('KALENDER MINGGU'!$B$6:$B$21,$A399),"dd/mm")&amp;" - "&amp;TEXT(INDEX('KALENDER MINGGU'!$C$6:$C$21,$A399),"dd/mm"),"")</f>
        <v/>
      </c>
      <c r="C399" t="s">
        <v>476</v>
      </c>
      <c r="D399" t="str">
        <f>'BOBOT PEK'!C96</f>
        <v>Pembuatan tempat wudhu</v>
      </c>
      <c r="E399" s="241">
        <f>'BOBOT PEK'!J96</f>
        <v>6.907611500028428E-2</v>
      </c>
      <c r="F399">
        <f>100/('BOBOT PEK'!V96-'BOBOT PEK'!U96+1)</f>
        <v>50</v>
      </c>
      <c r="G399">
        <f t="shared" si="10"/>
        <v>3.453805750014214E-2</v>
      </c>
      <c r="H399">
        <f>MIN(100,($A399-'BOBOT PEK'!U96+1)/('BOBOT PEK'!V96-'BOBOT PEK'!U96+1)*100)</f>
        <v>-350</v>
      </c>
      <c r="I399">
        <f>IFERROR(SUM(INDEX(TS!$M:$AB,41,1):INDEX(TS!$M:$AB,41,$A399))/TS!$L$31*100,0)</f>
        <v>21.294065245273501</v>
      </c>
      <c r="J399">
        <f t="shared" si="11"/>
        <v>78.705934754726499</v>
      </c>
      <c r="O399" t="str">
        <f ca="1">IF(I399&gt;=99.9,"COMPLETED",IF('BOBOT PEK'!U96&gt;$J$7,"NOT STARTED",IF('BOBOT PEK'!V96&lt;$J$7,"CRITICAL",IF(I399+1&lt;H399,"DELAYED","ON SCHEDULE"))))</f>
        <v>CRITICAL</v>
      </c>
      <c r="Q399" t="str">
        <f>IFERROR(IF(AND($A399=$B$8,'BOBOT PEK'!U96&lt;=$B$8,$B$8&lt;='BOBOT PEK'!V96),COUNTIFS($A$17:$A399,$B$8),""),"")</f>
        <v/>
      </c>
    </row>
    <row r="400" spans="1:17" ht="12.75" customHeight="1" x14ac:dyDescent="0.2">
      <c r="A400">
        <f>IFERROR(IF(COUNTIF($C$17:C400,C400)&lt;=('BOBOT PEK'!V97-'BOBOT PEK'!U97+1),'BOBOT PEK'!U97+COUNTIF($C$17:C400,C400)-1,0),0)</f>
        <v>0</v>
      </c>
      <c r="B400" t="str">
        <f>IFERROR(TEXT(INDEX('KALENDER MINGGU'!$B$6:$B$21,$A400),"dd/mm")&amp;" - "&amp;TEXT(INDEX('KALENDER MINGGU'!$C$6:$C$21,$A400),"dd/mm"),"")</f>
        <v/>
      </c>
      <c r="C400" t="s">
        <v>477</v>
      </c>
      <c r="D400" t="str">
        <f>'BOBOT PEK'!C97</f>
        <v>Pembuatan instalasi wastafel</v>
      </c>
      <c r="E400" s="241">
        <f>'BOBOT PEK'!J97</f>
        <v>5.116749259280318E-3</v>
      </c>
      <c r="F400">
        <f>100/('BOBOT PEK'!V97-'BOBOT PEK'!U97+1)</f>
        <v>50</v>
      </c>
      <c r="G400">
        <f t="shared" si="10"/>
        <v>2.558374629640159E-3</v>
      </c>
      <c r="H400">
        <f>MIN(100,($A400-'BOBOT PEK'!U97+1)/('BOBOT PEK'!V97-'BOBOT PEK'!U97+1)*100)</f>
        <v>-350</v>
      </c>
      <c r="I400">
        <f>IFERROR(SUM(INDEX(TS!$M:$AB,41,1):INDEX(TS!$M:$AB,41,$A400))/TS!$L$31*100,0)</f>
        <v>21.294065245273501</v>
      </c>
      <c r="J400">
        <f t="shared" si="11"/>
        <v>78.705934754726499</v>
      </c>
      <c r="O400" t="str">
        <f ca="1">IF(I400&gt;=99.9,"COMPLETED",IF('BOBOT PEK'!U97&gt;$J$7,"NOT STARTED",IF('BOBOT PEK'!V97&lt;$J$7,"CRITICAL",IF(I400+1&lt;H400,"DELAYED","ON SCHEDULE"))))</f>
        <v>CRITICAL</v>
      </c>
      <c r="Q400" t="str">
        <f>IFERROR(IF(AND($A400=$B$8,'BOBOT PEK'!U97&lt;=$B$8,$B$8&lt;='BOBOT PEK'!V97),COUNTIFS($A$17:$A400,$B$8),""),"")</f>
        <v/>
      </c>
    </row>
    <row r="401" spans="1:17" ht="12.75" customHeight="1" x14ac:dyDescent="0.2">
      <c r="A401">
        <f>IFERROR(IF(COUNTIF($C$17:C401,C401)&lt;=('BOBOT PEK'!V98-'BOBOT PEK'!U98+1),'BOBOT PEK'!U98+COUNTIF($C$17:C401,C401)-1,0),0)</f>
        <v>0</v>
      </c>
      <c r="B401" t="str">
        <f>IFERROR(TEXT(INDEX('KALENDER MINGGU'!$B$6:$B$21,$A401),"dd/mm")&amp;" - "&amp;TEXT(INDEX('KALENDER MINGGU'!$C$6:$C$21,$A401),"dd/mm"),"")</f>
        <v/>
      </c>
      <c r="C401" t="s">
        <v>478</v>
      </c>
      <c r="D401" t="str">
        <f>'BOBOT PEK'!C98</f>
        <v>Pekerjaan lantai bengkel</v>
      </c>
      <c r="E401" s="241">
        <f>'BOBOT PEK'!J98</f>
        <v>0</v>
      </c>
      <c r="F401">
        <f>100/('BOBOT PEK'!V98-'BOBOT PEK'!U98+1)</f>
        <v>33.333333333333336</v>
      </c>
      <c r="G401">
        <f t="shared" ref="G401:G464" si="12">F401/100*E401</f>
        <v>0</v>
      </c>
      <c r="H401">
        <f>MIN(100,($A401-'BOBOT PEK'!U98+1)/('BOBOT PEK'!V98-'BOBOT PEK'!U98+1)*100)</f>
        <v>-200</v>
      </c>
      <c r="I401">
        <f>IFERROR(SUM(INDEX(TS!$M:$AB,41,1):INDEX(TS!$M:$AB,41,$A401))/TS!$L$31*100,0)</f>
        <v>21.294065245273501</v>
      </c>
      <c r="J401">
        <f t="shared" ref="J401:J464" si="13">MAX(0,100-I401)</f>
        <v>78.705934754726499</v>
      </c>
      <c r="O401" t="str">
        <f ca="1">IF(I401&gt;=99.9,"COMPLETED",IF('BOBOT PEK'!U98&gt;$J$7,"NOT STARTED",IF('BOBOT PEK'!V98&lt;$J$7,"CRITICAL",IF(I401+1&lt;H401,"DELAYED","ON SCHEDULE"))))</f>
        <v>CRITICAL</v>
      </c>
      <c r="Q401" t="str">
        <f>IFERROR(IF(AND($A401=$B$8,'BOBOT PEK'!U98&lt;=$B$8,$B$8&lt;='BOBOT PEK'!V98),COUNTIFS($A$17:$A401,$B$8),""),"")</f>
        <v/>
      </c>
    </row>
    <row r="402" spans="1:17" ht="12.75" customHeight="1" x14ac:dyDescent="0.2">
      <c r="A402">
        <f>IFERROR(IF(COUNTIF($C$17:C402,C402)&lt;=('BOBOT PEK'!V101-'BOBOT PEK'!U101+1),'BOBOT PEK'!U101+COUNTIF($C$17:C402,C402)-1,0),0)</f>
        <v>0</v>
      </c>
      <c r="B402" t="str">
        <f>IFERROR(TEXT(INDEX('KALENDER MINGGU'!$B$6:$B$21,$A402),"dd/mm")&amp;" - "&amp;TEXT(INDEX('KALENDER MINGGU'!$C$6:$C$21,$A402),"dd/mm"),"")</f>
        <v/>
      </c>
      <c r="C402" t="s">
        <v>481</v>
      </c>
      <c r="D402" t="str">
        <f>'BOBOT PEK'!C101</f>
        <v xml:space="preserve">Finishing paving </v>
      </c>
      <c r="E402" s="241">
        <f>'BOBOT PEK'!J101</f>
        <v>2.7016436089000075</v>
      </c>
      <c r="F402">
        <f>100/('BOBOT PEK'!V101-'BOBOT PEK'!U101+1)</f>
        <v>25</v>
      </c>
      <c r="G402">
        <f t="shared" si="12"/>
        <v>0.67541090222500189</v>
      </c>
      <c r="H402">
        <f>MIN(100,($A402-'BOBOT PEK'!U101+1)/('BOBOT PEK'!V101-'BOBOT PEK'!U101+1)*100)</f>
        <v>-125</v>
      </c>
      <c r="I402">
        <f>IFERROR(SUM(INDEX(TS!$M:$AB,41,1):INDEX(TS!$M:$AB,41,$A402))/TS!$L$31*100,0)</f>
        <v>21.294065245273501</v>
      </c>
      <c r="J402">
        <f t="shared" si="13"/>
        <v>78.705934754726499</v>
      </c>
      <c r="O402" t="str">
        <f ca="1">IF(I402&gt;=99.9,"COMPLETED",IF('BOBOT PEK'!U101&gt;$J$7,"NOT STARTED",IF('BOBOT PEK'!V101&lt;$J$7,"CRITICAL",IF(I402+1&lt;H402,"DELAYED","ON SCHEDULE"))))</f>
        <v>CRITICAL</v>
      </c>
      <c r="Q402" t="str">
        <f>IFERROR(IF(AND($A402=$B$8,'BOBOT PEK'!U101&lt;=$B$8,$B$8&lt;='BOBOT PEK'!V101),COUNTIFS($A$17:$A402,$B$8),""),"")</f>
        <v/>
      </c>
    </row>
    <row r="403" spans="1:17" ht="12.75" customHeight="1" x14ac:dyDescent="0.2">
      <c r="A403">
        <f>IFERROR(IF(COUNTIF($C$17:C403,C403)&lt;=('BOBOT PEK'!V102-'BOBOT PEK'!U102+1),'BOBOT PEK'!U102+COUNTIF($C$17:C403,C403)-1,0),0)</f>
        <v>0</v>
      </c>
      <c r="B403" t="str">
        <f>IFERROR(TEXT(INDEX('KALENDER MINGGU'!$B$6:$B$21,$A403),"dd/mm")&amp;" - "&amp;TEXT(INDEX('KALENDER MINGGU'!$C$6:$C$21,$A403),"dd/mm"),"")</f>
        <v/>
      </c>
      <c r="C403" t="s">
        <v>482</v>
      </c>
      <c r="D403" t="str">
        <f>'BOBOT PEK'!C102</f>
        <v>Terminasi cor keliling</v>
      </c>
      <c r="E403" s="241">
        <f>'BOBOT PEK'!J102</f>
        <v>0.33770545111250094</v>
      </c>
      <c r="F403">
        <f>100/('BOBOT PEK'!V102-'BOBOT PEK'!U102+1)</f>
        <v>33.333333333333336</v>
      </c>
      <c r="G403">
        <f t="shared" si="12"/>
        <v>0.112568483704167</v>
      </c>
      <c r="H403">
        <f>MIN(100,($A403-'BOBOT PEK'!U102+1)/('BOBOT PEK'!V102-'BOBOT PEK'!U102+1)*100)</f>
        <v>-200</v>
      </c>
      <c r="I403">
        <f>IFERROR(SUM(INDEX(TS!$M:$AB,41,1):INDEX(TS!$M:$AB,41,$A403))/TS!$L$31*100,0)</f>
        <v>21.294065245273501</v>
      </c>
      <c r="J403">
        <f t="shared" si="13"/>
        <v>78.705934754726499</v>
      </c>
      <c r="O403" t="str">
        <f ca="1">IF(I403&gt;=99.9,"COMPLETED",IF('BOBOT PEK'!U102&gt;$J$7,"NOT STARTED",IF('BOBOT PEK'!V102&lt;$J$7,"CRITICAL",IF(I403+1&lt;H403,"DELAYED","ON SCHEDULE"))))</f>
        <v>CRITICAL</v>
      </c>
      <c r="Q403" t="str">
        <f>IFERROR(IF(AND($A403=$B$8,'BOBOT PEK'!U102&lt;=$B$8,$B$8&lt;='BOBOT PEK'!V102),COUNTIFS($A$17:$A403,$B$8),""),"")</f>
        <v/>
      </c>
    </row>
    <row r="404" spans="1:17" ht="12.75" customHeight="1" x14ac:dyDescent="0.2">
      <c r="A404">
        <f>IFERROR(IF(COUNTIF($C$17:C404,C404)&lt;=('BOBOT PEK'!V103-'BOBOT PEK'!U103+1),'BOBOT PEK'!U103+COUNTIF($C$17:C404,C404)-1,0),0)</f>
        <v>10</v>
      </c>
      <c r="B404" t="str">
        <f>IFERROR(TEXT(INDEX('KALENDER MINGGU'!$B$6:$B$21,$A404),"dd/mm")&amp;" - "&amp;TEXT(INDEX('KALENDER MINGGU'!$C$6:$C$21,$A404),"dd/mm"),"")</f>
        <v>24/09 - 30/09</v>
      </c>
      <c r="C404" t="s">
        <v>483</v>
      </c>
      <c r="D404" t="str">
        <f>'BOBOT PEK'!C103</f>
        <v>Pondasi Struktur bengkel</v>
      </c>
      <c r="E404" s="241">
        <f>'BOBOT PEK'!J103</f>
        <v>0.19955322111193238</v>
      </c>
      <c r="F404">
        <f>100/('BOBOT PEK'!V103-'BOBOT PEK'!U103+1)</f>
        <v>14.285714285714286</v>
      </c>
      <c r="G404">
        <f t="shared" si="12"/>
        <v>2.8507603015990344E-2</v>
      </c>
      <c r="H404">
        <f>MIN(100,($A404-'BOBOT PEK'!U103+1)/('BOBOT PEK'!V103-'BOBOT PEK'!U103+1)*100)</f>
        <v>100</v>
      </c>
      <c r="I404">
        <f>IFERROR(SUM(INDEX(TS!$M:$AB,41,1):INDEX(TS!$M:$AB,41,$A404))/TS!$L$31*100,0)</f>
        <v>21.294065245273501</v>
      </c>
      <c r="J404">
        <f t="shared" si="13"/>
        <v>78.705934754726499</v>
      </c>
      <c r="O404" t="str">
        <f ca="1">IF(I404&gt;=99.9,"COMPLETED",IF('BOBOT PEK'!U103&gt;$J$7,"NOT STARTED",IF('BOBOT PEK'!V103&lt;$J$7,"CRITICAL",IF(I404+1&lt;H404,"DELAYED","ON SCHEDULE"))))</f>
        <v>DELAYED</v>
      </c>
      <c r="Q404" t="str">
        <f>IFERROR(IF(AND($A404=$B$8,'BOBOT PEK'!U103&lt;=$B$8,$B$8&lt;='BOBOT PEK'!V103),COUNTIFS($A$17:$A404,$B$8),""),"")</f>
        <v/>
      </c>
    </row>
    <row r="405" spans="1:17" ht="12.75" customHeight="1" x14ac:dyDescent="0.2">
      <c r="A405">
        <f>IFERROR(IF(COUNTIF($C$17:C405,C405)&lt;=('BOBOT PEK'!V104-'BOBOT PEK'!U104+1),'BOBOT PEK'!U104+COUNTIF($C$17:C405,C405)-1,0),0)</f>
        <v>10</v>
      </c>
      <c r="B405" t="str">
        <f>IFERROR(TEXT(INDEX('KALENDER MINGGU'!$B$6:$B$21,$A405),"dd/mm")&amp;" - "&amp;TEXT(INDEX('KALENDER MINGGU'!$C$6:$C$21,$A405),"dd/mm"),"")</f>
        <v>24/09 - 30/09</v>
      </c>
      <c r="C405" t="s">
        <v>484</v>
      </c>
      <c r="D405" t="str">
        <f>'BOBOT PEK'!C104</f>
        <v>Atap bengkel dan cucian mobil</v>
      </c>
      <c r="E405" s="241">
        <f>'BOBOT PEK'!J104</f>
        <v>1.4215864467058505</v>
      </c>
      <c r="F405">
        <f>100/('BOBOT PEK'!V104-'BOBOT PEK'!U104+1)</f>
        <v>14.285714285714286</v>
      </c>
      <c r="G405">
        <f t="shared" si="12"/>
        <v>0.20308377810083583</v>
      </c>
      <c r="H405">
        <f>MIN(100,($A405-'BOBOT PEK'!U104+1)/('BOBOT PEK'!V104-'BOBOT PEK'!U104+1)*100)</f>
        <v>100</v>
      </c>
      <c r="I405">
        <f>IFERROR(SUM(INDEX(TS!$M:$AB,41,1):INDEX(TS!$M:$AB,41,$A405))/TS!$L$31*100,0)</f>
        <v>21.294065245273501</v>
      </c>
      <c r="J405">
        <f t="shared" si="13"/>
        <v>78.705934754726499</v>
      </c>
      <c r="O405" t="str">
        <f ca="1">IF(I405&gt;=99.9,"COMPLETED",IF('BOBOT PEK'!U104&gt;$J$7,"NOT STARTED",IF('BOBOT PEK'!V104&lt;$J$7,"CRITICAL",IF(I405+1&lt;H405,"DELAYED","ON SCHEDULE"))))</f>
        <v>DELAYED</v>
      </c>
      <c r="Q405" t="str">
        <f>IFERROR(IF(AND($A405=$B$8,'BOBOT PEK'!U104&lt;=$B$8,$B$8&lt;='BOBOT PEK'!V104),COUNTIFS($A$17:$A405,$B$8),""),"")</f>
        <v/>
      </c>
    </row>
    <row r="406" spans="1:17" ht="12.75" customHeight="1" x14ac:dyDescent="0.2">
      <c r="A406">
        <f>IFERROR(IF(COUNTIF($C$17:C406,C406)&lt;=('BOBOT PEK'!V105-'BOBOT PEK'!U105+1),'BOBOT PEK'!U105+COUNTIF($C$17:C406,C406)-1,0),0)</f>
        <v>10</v>
      </c>
      <c r="B406" t="str">
        <f>IFERROR(TEXT(INDEX('KALENDER MINGGU'!$B$6:$B$21,$A406),"dd/mm")&amp;" - "&amp;TEXT(INDEX('KALENDER MINGGU'!$C$6:$C$21,$A406),"dd/mm"),"")</f>
        <v>24/09 - 30/09</v>
      </c>
      <c r="C406" t="s">
        <v>485</v>
      </c>
      <c r="D406" t="str">
        <f>'BOBOT PEK'!C105</f>
        <v>Instalasi air bersih ke arah bengkel</v>
      </c>
      <c r="E406" s="241">
        <f>'BOBOT PEK'!J105</f>
        <v>0.14531567896356101</v>
      </c>
      <c r="F406">
        <f>100/('BOBOT PEK'!V105-'BOBOT PEK'!U105+1)</f>
        <v>14.285714285714286</v>
      </c>
      <c r="G406">
        <f t="shared" si="12"/>
        <v>2.0759382709080149E-2</v>
      </c>
      <c r="H406">
        <f>MIN(100,($A406-'BOBOT PEK'!U105+1)/('BOBOT PEK'!V105-'BOBOT PEK'!U105+1)*100)</f>
        <v>100</v>
      </c>
      <c r="I406">
        <f>IFERROR(SUM(INDEX(TS!$M:$AB,41,1):INDEX(TS!$M:$AB,41,$A406))/TS!$L$31*100,0)</f>
        <v>21.294065245273501</v>
      </c>
      <c r="J406">
        <f t="shared" si="13"/>
        <v>78.705934754726499</v>
      </c>
      <c r="O406" t="str">
        <f ca="1">IF(I406&gt;=99.9,"COMPLETED",IF('BOBOT PEK'!U105&gt;$J$7,"NOT STARTED",IF('BOBOT PEK'!V105&lt;$J$7,"CRITICAL",IF(I406+1&lt;H406,"DELAYED","ON SCHEDULE"))))</f>
        <v>DELAYED</v>
      </c>
      <c r="Q406" t="str">
        <f>IFERROR(IF(AND($A406=$B$8,'BOBOT PEK'!U105&lt;=$B$8,$B$8&lt;='BOBOT PEK'!V105),COUNTIFS($A$17:$A406,$B$8),""),"")</f>
        <v/>
      </c>
    </row>
    <row r="407" spans="1:17" ht="12.75" customHeight="1" x14ac:dyDescent="0.2">
      <c r="A407">
        <f>IFERROR(IF(COUNTIF($C$17:C407,C407)&lt;=('BOBOT PEK'!V113-'BOBOT PEK'!U113+1),'BOBOT PEK'!U113+COUNTIF($C$17:C407,C407)-1,0),0)</f>
        <v>10</v>
      </c>
      <c r="B407" t="str">
        <f>IFERROR(TEXT(INDEX('KALENDER MINGGU'!$B$6:$B$21,$A407),"dd/mm")&amp;" - "&amp;TEXT(INDEX('KALENDER MINGGU'!$C$6:$C$21,$A407),"dd/mm"),"")</f>
        <v>24/09 - 30/09</v>
      </c>
      <c r="C407" t="s">
        <v>489</v>
      </c>
      <c r="D407" t="str">
        <f>'BOBOT PEK'!C113</f>
        <v>Refinishing saluran</v>
      </c>
      <c r="E407" s="241">
        <f>'BOBOT PEK'!J113</f>
        <v>0.85193875167017286</v>
      </c>
      <c r="F407">
        <f>100/('BOBOT PEK'!V113-'BOBOT PEK'!U113+1)</f>
        <v>14.285714285714286</v>
      </c>
      <c r="G407">
        <f t="shared" si="12"/>
        <v>0.12170553595288186</v>
      </c>
      <c r="H407">
        <f>MIN(100,($A407-'BOBOT PEK'!U113+1)/('BOBOT PEK'!V113-'BOBOT PEK'!U113+1)*100)</f>
        <v>100</v>
      </c>
      <c r="I407">
        <f>IFERROR(SUM(INDEX(TS!$M:$AB,43,1):INDEX(TS!$M:$AB,43,$A407))/TS!$L$33*100,0)</f>
        <v>0</v>
      </c>
      <c r="J407">
        <f t="shared" si="13"/>
        <v>100</v>
      </c>
      <c r="O407" t="str">
        <f ca="1">IF(I407&gt;=99.9,"COMPLETED",IF('BOBOT PEK'!U113&gt;$J$7,"NOT STARTED",IF('BOBOT PEK'!V113&lt;$J$7,"CRITICAL",IF(I407+1&lt;H407,"DELAYED","ON SCHEDULE"))))</f>
        <v>DELAYED</v>
      </c>
      <c r="Q407" t="str">
        <f>IFERROR(IF(AND($A407=$B$8,'BOBOT PEK'!U113&lt;=$B$8,$B$8&lt;='BOBOT PEK'!V113),COUNTIFS($A$17:$A407,$B$8),""),"")</f>
        <v/>
      </c>
    </row>
    <row r="408" spans="1:17" ht="12.75" customHeight="1" x14ac:dyDescent="0.2">
      <c r="A408">
        <f>IFERROR(IF(COUNTIF($C$17:C408,C408)&lt;=('BOBOT PEK'!V114-'BOBOT PEK'!U114+1),'BOBOT PEK'!U114+COUNTIF($C$17:C408,C408)-1,0),0)</f>
        <v>10</v>
      </c>
      <c r="B408" t="str">
        <f>IFERROR(TEXT(INDEX('KALENDER MINGGU'!$B$6:$B$21,$A408),"dd/mm")&amp;" - "&amp;TEXT(INDEX('KALENDER MINGGU'!$C$6:$C$21,$A408),"dd/mm"),"")</f>
        <v>24/09 - 30/09</v>
      </c>
      <c r="C408" t="s">
        <v>490</v>
      </c>
      <c r="D408" t="str">
        <f>'BOBOT PEK'!C114</f>
        <v>Pembuatan dinding batu kali</v>
      </c>
      <c r="E408" s="241">
        <f>'BOBOT PEK'!J114</f>
        <v>0.61400991111363812</v>
      </c>
      <c r="F408">
        <f>100/('BOBOT PEK'!V114-'BOBOT PEK'!U114+1)</f>
        <v>14.285714285714286</v>
      </c>
      <c r="G408">
        <f t="shared" si="12"/>
        <v>8.7715701587662606E-2</v>
      </c>
      <c r="H408">
        <f>MIN(100,($A408-'BOBOT PEK'!U114+1)/('BOBOT PEK'!V114-'BOBOT PEK'!U114+1)*100)</f>
        <v>100</v>
      </c>
      <c r="I408">
        <f>IFERROR(SUM(INDEX(TS!$M:$AB,43,1):INDEX(TS!$M:$AB,43,$A408))/TS!$L$33*100,0)</f>
        <v>0</v>
      </c>
      <c r="J408">
        <f t="shared" si="13"/>
        <v>100</v>
      </c>
      <c r="O408" t="str">
        <f ca="1">IF(I408&gt;=99.9,"COMPLETED",IF('BOBOT PEK'!U114&gt;$J$7,"NOT STARTED",IF('BOBOT PEK'!V114&lt;$J$7,"CRITICAL",IF(I408+1&lt;H408,"DELAYED","ON SCHEDULE"))))</f>
        <v>DELAYED</v>
      </c>
      <c r="Q408" t="str">
        <f>IFERROR(IF(AND($A408=$B$8,'BOBOT PEK'!U114&lt;=$B$8,$B$8&lt;='BOBOT PEK'!V114),COUNTIFS($A$17:$A408,$B$8),""),"")</f>
        <v/>
      </c>
    </row>
    <row r="409" spans="1:17" ht="12.75" customHeight="1" x14ac:dyDescent="0.2">
      <c r="A409">
        <f>IFERROR(IF(COUNTIF($C$17:C409,C409)&lt;=('BOBOT PEK'!V124-'BOBOT PEK'!U124+1),'BOBOT PEK'!U124+COUNTIF($C$17:C409,C409)-1,0),0)</f>
        <v>10</v>
      </c>
      <c r="B409" t="str">
        <f>IFERROR(TEXT(INDEX('KALENDER MINGGU'!$B$6:$B$21,$A409),"dd/mm")&amp;" - "&amp;TEXT(INDEX('KALENDER MINGGU'!$C$6:$C$21,$A409),"dd/mm"),"")</f>
        <v>24/09 - 30/09</v>
      </c>
      <c r="C409" t="s">
        <v>494</v>
      </c>
      <c r="D409" t="str">
        <f>'BOBOT PEK'!C124</f>
        <v>Perbaikan dan leveling dasar got</v>
      </c>
      <c r="E409" s="241">
        <f>'BOBOT PEK'!J124</f>
        <v>0.49120792889091047</v>
      </c>
      <c r="F409">
        <f>100/('BOBOT PEK'!V124-'BOBOT PEK'!U124+1)</f>
        <v>33.333333333333336</v>
      </c>
      <c r="G409">
        <f t="shared" si="12"/>
        <v>0.16373597629697018</v>
      </c>
      <c r="H409">
        <f>MIN(100,($A409-'BOBOT PEK'!U124+1)/('BOBOT PEK'!V124-'BOBOT PEK'!U124+1)*100)</f>
        <v>33.333333333333329</v>
      </c>
      <c r="I409">
        <f>IFERROR(SUM(INDEX(TS!$M:$AB,47,1):INDEX(TS!$M:$AB,47,$A409))/TS!$L$37*100,0)</f>
        <v>30.051546391752581</v>
      </c>
      <c r="J409">
        <f t="shared" si="13"/>
        <v>69.948453608247419</v>
      </c>
      <c r="O409" t="str">
        <f ca="1">IF(I409&gt;=99.9,"COMPLETED",IF('BOBOT PEK'!U124&gt;$J$7,"NOT STARTED",IF('BOBOT PEK'!V124&lt;$J$7,"CRITICAL",IF(I409+1&lt;H409,"DELAYED","ON SCHEDULE"))))</f>
        <v>DELAYED</v>
      </c>
      <c r="Q409" t="str">
        <f>IFERROR(IF(AND($A409=$B$8,'BOBOT PEK'!U124&lt;=$B$8,$B$8&lt;='BOBOT PEK'!V124),COUNTIFS($A$17:$A409,$B$8),""),"")</f>
        <v/>
      </c>
    </row>
    <row r="410" spans="1:17" ht="12.75" customHeight="1" x14ac:dyDescent="0.2">
      <c r="A410">
        <f>IFERROR(IF(COUNTIF($C$17:C410,C410)&lt;=('BOBOT PEK'!V126-'BOBOT PEK'!U126+1),'BOBOT PEK'!U126+COUNTIF($C$17:C410,C410)-1,0),0)</f>
        <v>10</v>
      </c>
      <c r="B410" t="str">
        <f>IFERROR(TEXT(INDEX('KALENDER MINGGU'!$B$6:$B$21,$A410),"dd/mm")&amp;" - "&amp;TEXT(INDEX('KALENDER MINGGU'!$C$6:$C$21,$A410),"dd/mm"),"")</f>
        <v>24/09 - 30/09</v>
      </c>
      <c r="C410" t="s">
        <v>496</v>
      </c>
      <c r="D410" t="str">
        <f>'BOBOT PEK'!C126</f>
        <v>Pembuatan selokan tepi teras sisi selatan office &amp; loading dock</v>
      </c>
      <c r="E410" s="241">
        <f>'BOBOT PEK'!J126</f>
        <v>0.629360158891479</v>
      </c>
      <c r="F410">
        <f>100/('BOBOT PEK'!V126-'BOBOT PEK'!U126+1)</f>
        <v>33.333333333333336</v>
      </c>
      <c r="G410">
        <f t="shared" si="12"/>
        <v>0.20978671963049303</v>
      </c>
      <c r="H410">
        <f>MIN(100,($A410-'BOBOT PEK'!U126+1)/('BOBOT PEK'!V126-'BOBOT PEK'!U126+1)*100)</f>
        <v>33.333333333333329</v>
      </c>
      <c r="I410">
        <f>IFERROR(SUM(INDEX(TS!$M:$AB,47,1):INDEX(TS!$M:$AB,47,$A410))/TS!$L$37*100,0)</f>
        <v>30.051546391752581</v>
      </c>
      <c r="J410">
        <f t="shared" si="13"/>
        <v>69.948453608247419</v>
      </c>
      <c r="O410" t="str">
        <f ca="1">IF(I410&gt;=99.9,"COMPLETED",IF('BOBOT PEK'!U126&gt;$J$7,"NOT STARTED",IF('BOBOT PEK'!V126&lt;$J$7,"CRITICAL",IF(I410+1&lt;H410,"DELAYED","ON SCHEDULE"))))</f>
        <v>DELAYED</v>
      </c>
      <c r="Q410" t="str">
        <f>IFERROR(IF(AND($A410=$B$8,'BOBOT PEK'!U126&lt;=$B$8,$B$8&lt;='BOBOT PEK'!V126),COUNTIFS($A$17:$A410,$B$8),""),"")</f>
        <v/>
      </c>
    </row>
    <row r="411" spans="1:17" ht="12.75" customHeight="1" x14ac:dyDescent="0.2">
      <c r="A411">
        <f>IFERROR(IF(COUNTIF($C$17:C411,C411)&lt;=('BOBOT PEK'!V130-'BOBOT PEK'!U130+1),'BOBOT PEK'!U130+COUNTIF($C$17:C411,C411)-1,0),0)</f>
        <v>10</v>
      </c>
      <c r="B411" t="str">
        <f>IFERROR(TEXT(INDEX('KALENDER MINGGU'!$B$6:$B$21,$A411),"dd/mm")&amp;" - "&amp;TEXT(INDEX('KALENDER MINGGU'!$C$6:$C$21,$A411),"dd/mm"),"")</f>
        <v>24/09 - 30/09</v>
      </c>
      <c r="C411" t="s">
        <v>498</v>
      </c>
      <c r="D411" t="str">
        <f>'BOBOT PEK'!C130</f>
        <v>Barrier parkir motor</v>
      </c>
      <c r="E411" s="241">
        <f>'BOBOT PEK'!J130</f>
        <v>0.13303548074128826</v>
      </c>
      <c r="F411">
        <f>100/('BOBOT PEK'!V130-'BOBOT PEK'!U130+1)</f>
        <v>33.333333333333336</v>
      </c>
      <c r="G411">
        <f t="shared" si="12"/>
        <v>4.4345160247096095E-2</v>
      </c>
      <c r="H411">
        <f>MIN(100,($A411-'BOBOT PEK'!U130+1)/('BOBOT PEK'!V130-'BOBOT PEK'!U130+1)*100)</f>
        <v>33.333333333333329</v>
      </c>
      <c r="I411">
        <f>IFERROR(SUM(INDEX(TS!$M:$AB,49,1):INDEX(TS!$M:$AB,49,$A411))/TS!$L$39*100,0)</f>
        <v>1149.4933333333331</v>
      </c>
      <c r="J411">
        <f t="shared" si="13"/>
        <v>0</v>
      </c>
      <c r="O411" t="str">
        <f>IF(I411&gt;=99.9,"COMPLETED",IF('BOBOT PEK'!U130&gt;$J$7,"NOT STARTED",IF('BOBOT PEK'!V130&lt;$J$7,"CRITICAL",IF(I411+1&lt;H411,"DELAYED","ON SCHEDULE"))))</f>
        <v>COMPLETED</v>
      </c>
      <c r="Q411" t="str">
        <f>IFERROR(IF(AND($A411=$B$8,'BOBOT PEK'!U130&lt;=$B$8,$B$8&lt;='BOBOT PEK'!V130),COUNTIFS($A$17:$A411,$B$8),""),"")</f>
        <v/>
      </c>
    </row>
    <row r="412" spans="1:17" ht="12.75" customHeight="1" x14ac:dyDescent="0.2">
      <c r="A412">
        <f>IFERROR(IF(COUNTIF($C$17:C412,C412)&lt;=('BOBOT PEK'!V136-'BOBOT PEK'!U136+1),'BOBOT PEK'!U136+COUNTIF($C$17:C412,C412)-1,0),0)</f>
        <v>10</v>
      </c>
      <c r="B412" t="str">
        <f>IFERROR(TEXT(INDEX('KALENDER MINGGU'!$B$6:$B$21,$A412),"dd/mm")&amp;" - "&amp;TEXT(INDEX('KALENDER MINGGU'!$C$6:$C$21,$A412),"dd/mm"),"")</f>
        <v>24/09 - 30/09</v>
      </c>
      <c r="C412" t="s">
        <v>502</v>
      </c>
      <c r="D412" t="str">
        <f>'BOBOT PEK'!C136</f>
        <v>Neon Box Artaboga Facade</v>
      </c>
      <c r="E412" s="241">
        <f>'BOBOT PEK'!J136</f>
        <v>0.47329930648342938</v>
      </c>
      <c r="F412">
        <f>100/('BOBOT PEK'!V136-'BOBOT PEK'!U136+1)</f>
        <v>25</v>
      </c>
      <c r="G412">
        <f t="shared" si="12"/>
        <v>0.11832482662085735</v>
      </c>
      <c r="H412">
        <f>MIN(100,($A412-'BOBOT PEK'!U136+1)/('BOBOT PEK'!V136-'BOBOT PEK'!U136+1)*100)</f>
        <v>100</v>
      </c>
      <c r="I412">
        <f>IFERROR(SUM(INDEX(TS!$M:$AB,51,1):INDEX(TS!$M:$AB,51,$A412))/TS!$L$41*100,0)</f>
        <v>20.53091397849462</v>
      </c>
      <c r="J412">
        <f t="shared" si="13"/>
        <v>79.469086021505376</v>
      </c>
      <c r="O412" t="str">
        <f ca="1">IF(I412&gt;=99.9,"COMPLETED",IF('BOBOT PEK'!U136&gt;$J$7,"NOT STARTED",IF('BOBOT PEK'!V136&lt;$J$7,"CRITICAL",IF(I412+1&lt;H412,"DELAYED","ON SCHEDULE"))))</f>
        <v>DELAYED</v>
      </c>
      <c r="Q412" t="str">
        <f>IFERROR(IF(AND($A412=$B$8,'BOBOT PEK'!U136&lt;=$B$8,$B$8&lt;='BOBOT PEK'!V136),COUNTIFS($A$17:$A412,$B$8),""),"")</f>
        <v/>
      </c>
    </row>
    <row r="413" spans="1:17" ht="12.75" customHeight="1" x14ac:dyDescent="0.2">
      <c r="A413">
        <f>IFERROR(IF(COUNTIF($C$17:C413,C413)&lt;=('BOBOT PEK'!V137-'BOBOT PEK'!U137+1),'BOBOT PEK'!U137+COUNTIF($C$17:C413,C413)-1,0),0)</f>
        <v>10</v>
      </c>
      <c r="B413" t="str">
        <f>IFERROR(TEXT(INDEX('KALENDER MINGGU'!$B$6:$B$21,$A413),"dd/mm")&amp;" - "&amp;TEXT(INDEX('KALENDER MINGGU'!$C$6:$C$21,$A413),"dd/mm"),"")</f>
        <v>24/09 - 30/09</v>
      </c>
      <c r="C413" t="s">
        <v>503</v>
      </c>
      <c r="D413" t="str">
        <f>'BOBOT PEK'!C137</f>
        <v>Huruf timbul dan logo backdrop 55 cm dan 27 cm "artaboga", akrilik warna, timbul 2 cm, dengan lampu</v>
      </c>
      <c r="E413" s="241">
        <f>'BOBOT PEK'!J137</f>
        <v>0.12536035685236779</v>
      </c>
      <c r="F413">
        <f>100/('BOBOT PEK'!V137-'BOBOT PEK'!U137+1)</f>
        <v>25</v>
      </c>
      <c r="G413">
        <f t="shared" si="12"/>
        <v>3.1340089213091948E-2</v>
      </c>
      <c r="H413">
        <f>MIN(100,($A413-'BOBOT PEK'!U137+1)/('BOBOT PEK'!V137-'BOBOT PEK'!U137+1)*100)</f>
        <v>100</v>
      </c>
      <c r="I413">
        <f>IFERROR(SUM(INDEX(TS!$M:$AB,51,1):INDEX(TS!$M:$AB,51,$A413))/TS!$L$41*100,0)</f>
        <v>20.53091397849462</v>
      </c>
      <c r="J413">
        <f t="shared" si="13"/>
        <v>79.469086021505376</v>
      </c>
      <c r="O413" t="str">
        <f ca="1">IF(I413&gt;=99.9,"COMPLETED",IF('BOBOT PEK'!U137&gt;$J$7,"NOT STARTED",IF('BOBOT PEK'!V137&lt;$J$7,"CRITICAL",IF(I413+1&lt;H413,"DELAYED","ON SCHEDULE"))))</f>
        <v>DELAYED</v>
      </c>
      <c r="Q413" t="str">
        <f>IFERROR(IF(AND($A413=$B$8,'BOBOT PEK'!U137&lt;=$B$8,$B$8&lt;='BOBOT PEK'!V137),COUNTIFS($A$17:$A413,$B$8),""),"")</f>
        <v/>
      </c>
    </row>
    <row r="414" spans="1:17" ht="12.75" customHeight="1" x14ac:dyDescent="0.2">
      <c r="A414">
        <f>IFERROR(IF(COUNTIF($C$17:C414,C414)&lt;=('BOBOT PEK'!V138-'BOBOT PEK'!U138+1),'BOBOT PEK'!U138+COUNTIF($C$17:C414,C414)-1,0),0)</f>
        <v>10</v>
      </c>
      <c r="B414" t="str">
        <f>IFERROR(TEXT(INDEX('KALENDER MINGGU'!$B$6:$B$21,$A414),"dd/mm")&amp;" - "&amp;TEXT(INDEX('KALENDER MINGGU'!$C$6:$C$21,$A414),"dd/mm"),"")</f>
        <v>24/09 - 30/09</v>
      </c>
      <c r="C414" t="s">
        <v>504</v>
      </c>
      <c r="D414" t="str">
        <f>'BOBOT PEK'!C138</f>
        <v>Jasa Pasang lokasi tinggi</v>
      </c>
      <c r="E414" s="241">
        <f>'BOBOT PEK'!J138</f>
        <v>3.1979682870501985E-2</v>
      </c>
      <c r="F414">
        <f>100/('BOBOT PEK'!V138-'BOBOT PEK'!U138+1)</f>
        <v>25</v>
      </c>
      <c r="G414">
        <f t="shared" si="12"/>
        <v>7.9949207176254963E-3</v>
      </c>
      <c r="H414">
        <f>MIN(100,($A414-'BOBOT PEK'!U138+1)/('BOBOT PEK'!V138-'BOBOT PEK'!U138+1)*100)</f>
        <v>100</v>
      </c>
      <c r="I414">
        <f>IFERROR(SUM(INDEX(TS!$M:$AB,51,1):INDEX(TS!$M:$AB,51,$A414))/TS!$L$41*100,0)</f>
        <v>20.53091397849462</v>
      </c>
      <c r="J414">
        <f t="shared" si="13"/>
        <v>79.469086021505376</v>
      </c>
      <c r="O414" t="str">
        <f ca="1">IF(I414&gt;=99.9,"COMPLETED",IF('BOBOT PEK'!U138&gt;$J$7,"NOT STARTED",IF('BOBOT PEK'!V138&lt;$J$7,"CRITICAL",IF(I414+1&lt;H414,"DELAYED","ON SCHEDULE"))))</f>
        <v>DELAYED</v>
      </c>
      <c r="Q414" t="str">
        <f>IFERROR(IF(AND($A414=$B$8,'BOBOT PEK'!U138&lt;=$B$8,$B$8&lt;='BOBOT PEK'!V138),COUNTIFS($A$17:$A414,$B$8),""),"")</f>
        <v/>
      </c>
    </row>
    <row r="415" spans="1:17" ht="12.75" customHeight="1" x14ac:dyDescent="0.2">
      <c r="A415">
        <f>IFERROR(IF(COUNTIF($C$17:C415,C415)&lt;=('BOBOT PEK'!V139-'BOBOT PEK'!U139+1),'BOBOT PEK'!U139+COUNTIF($C$17:C415,C415)-1,0),0)</f>
        <v>10</v>
      </c>
      <c r="B415" t="str">
        <f>IFERROR(TEXT(INDEX('KALENDER MINGGU'!$B$6:$B$21,$A415),"dd/mm")&amp;" - "&amp;TEXT(INDEX('KALENDER MINGGU'!$C$6:$C$21,$A415),"dd/mm"),"")</f>
        <v>24/09 - 30/09</v>
      </c>
      <c r="C415" t="s">
        <v>505</v>
      </c>
      <c r="D415" t="str">
        <f>'BOBOT PEK'!C139</f>
        <v>Backdrop WPC, Kombinasi wallboard marble</v>
      </c>
      <c r="E415" s="241">
        <f>'BOBOT PEK'!J139</f>
        <v>0.20722834500085285</v>
      </c>
      <c r="F415">
        <f>100/('BOBOT PEK'!V139-'BOBOT PEK'!U139+1)</f>
        <v>25</v>
      </c>
      <c r="G415">
        <f t="shared" si="12"/>
        <v>5.1807086250213213E-2</v>
      </c>
      <c r="H415">
        <f>MIN(100,($A415-'BOBOT PEK'!U139+1)/('BOBOT PEK'!V139-'BOBOT PEK'!U139+1)*100)</f>
        <v>100</v>
      </c>
      <c r="I415">
        <f>IFERROR(SUM(INDEX(TS!$M:$AB,51,1):INDEX(TS!$M:$AB,51,$A415))/TS!$L$41*100,0)</f>
        <v>20.53091397849462</v>
      </c>
      <c r="J415">
        <f t="shared" si="13"/>
        <v>79.469086021505376</v>
      </c>
      <c r="O415" t="str">
        <f ca="1">IF(I415&gt;=99.9,"COMPLETED",IF('BOBOT PEK'!U139&gt;$J$7,"NOT STARTED",IF('BOBOT PEK'!V139&lt;$J$7,"CRITICAL",IF(I415+1&lt;H415,"DELAYED","ON SCHEDULE"))))</f>
        <v>DELAYED</v>
      </c>
      <c r="Q415" t="str">
        <f>IFERROR(IF(AND($A415=$B$8,'BOBOT PEK'!U139&lt;=$B$8,$B$8&lt;='BOBOT PEK'!V139),COUNTIFS($A$17:$A415,$B$8),""),"")</f>
        <v/>
      </c>
    </row>
    <row r="416" spans="1:17" ht="12.75" customHeight="1" x14ac:dyDescent="0.2">
      <c r="A416">
        <f>IFERROR(IF(COUNTIF($C$17:C416,C416)&lt;=('BOBOT PEK'!V140-'BOBOT PEK'!U140+1),'BOBOT PEK'!U140+COUNTIF($C$17:C416,C416)-1,0),0)</f>
        <v>10</v>
      </c>
      <c r="B416" t="str">
        <f>IFERROR(TEXT(INDEX('KALENDER MINGGU'!$B$6:$B$21,$A416),"dd/mm")&amp;" - "&amp;TEXT(INDEX('KALENDER MINGGU'!$C$6:$C$21,$A416),"dd/mm"),"")</f>
        <v>24/09 - 30/09</v>
      </c>
      <c r="C416" t="s">
        <v>506</v>
      </c>
      <c r="D416" t="str">
        <f>'BOBOT PEK'!C140</f>
        <v>Repair meja receptionist, lapis hpl, spek taco</v>
      </c>
      <c r="E416" s="241">
        <f>'BOBOT PEK'!J140</f>
        <v>0.1662943509266103</v>
      </c>
      <c r="F416">
        <f>100/('BOBOT PEK'!V140-'BOBOT PEK'!U140+1)</f>
        <v>25</v>
      </c>
      <c r="G416">
        <f t="shared" si="12"/>
        <v>4.1573587731652574E-2</v>
      </c>
      <c r="H416">
        <f>MIN(100,($A416-'BOBOT PEK'!U140+1)/('BOBOT PEK'!V140-'BOBOT PEK'!U140+1)*100)</f>
        <v>100</v>
      </c>
      <c r="I416">
        <f>IFERROR(SUM(INDEX(TS!$M:$AB,51,1):INDEX(TS!$M:$AB,51,$A416))/TS!$L$41*100,0)</f>
        <v>20.53091397849462</v>
      </c>
      <c r="J416">
        <f t="shared" si="13"/>
        <v>79.469086021505376</v>
      </c>
      <c r="O416" t="str">
        <f ca="1">IF(I416&gt;=99.9,"COMPLETED",IF('BOBOT PEK'!U140&gt;$J$7,"NOT STARTED",IF('BOBOT PEK'!V140&lt;$J$7,"CRITICAL",IF(I416+1&lt;H416,"DELAYED","ON SCHEDULE"))))</f>
        <v>DELAYED</v>
      </c>
      <c r="Q416" t="str">
        <f>IFERROR(IF(AND($A416=$B$8,'BOBOT PEK'!U140&lt;=$B$8,$B$8&lt;='BOBOT PEK'!V140),COUNTIFS($A$17:$A416,$B$8),""),"")</f>
        <v/>
      </c>
    </row>
    <row r="417" spans="1:17" ht="12.75" customHeight="1" x14ac:dyDescent="0.2">
      <c r="A417">
        <f>IFERROR(IF(COUNTIF($C$17:C417,C417)&lt;=('BOBOT PEK'!V141-'BOBOT PEK'!U141+1),'BOBOT PEK'!U141+COUNTIF($C$17:C417,C417)-1,0),0)</f>
        <v>10</v>
      </c>
      <c r="B417" t="str">
        <f>IFERROR(TEXT(INDEX('KALENDER MINGGU'!$B$6:$B$21,$A417),"dd/mm")&amp;" - "&amp;TEXT(INDEX('KALENDER MINGGU'!$C$6:$C$21,$A417),"dd/mm"),"")</f>
        <v>24/09 - 30/09</v>
      </c>
      <c r="C417" t="s">
        <v>507</v>
      </c>
      <c r="D417" t="str">
        <f>'BOBOT PEK'!C141</f>
        <v>Repair lemari bawah tangga, lapis hpl, spek taco</v>
      </c>
      <c r="E417" s="241">
        <f>'BOBOT PEK'!J141</f>
        <v>0.12791873148200794</v>
      </c>
      <c r="F417">
        <f>100/('BOBOT PEK'!V141-'BOBOT PEK'!U141+1)</f>
        <v>25</v>
      </c>
      <c r="G417">
        <f t="shared" si="12"/>
        <v>3.1979682870501985E-2</v>
      </c>
      <c r="H417">
        <f>MIN(100,($A417-'BOBOT PEK'!U141+1)/('BOBOT PEK'!V141-'BOBOT PEK'!U141+1)*100)</f>
        <v>100</v>
      </c>
      <c r="I417">
        <f>IFERROR(SUM(INDEX(TS!$M:$AB,51,1):INDEX(TS!$M:$AB,51,$A417))/TS!$L$41*100,0)</f>
        <v>20.53091397849462</v>
      </c>
      <c r="J417">
        <f t="shared" si="13"/>
        <v>79.469086021505376</v>
      </c>
      <c r="O417" t="str">
        <f ca="1">IF(I417&gt;=99.9,"COMPLETED",IF('BOBOT PEK'!U141&gt;$J$7,"NOT STARTED",IF('BOBOT PEK'!V141&lt;$J$7,"CRITICAL",IF(I417+1&lt;H417,"DELAYED","ON SCHEDULE"))))</f>
        <v>DELAYED</v>
      </c>
      <c r="Q417" t="str">
        <f>IFERROR(IF(AND($A417=$B$8,'BOBOT PEK'!U141&lt;=$B$8,$B$8&lt;='BOBOT PEK'!V141),COUNTIFS($A$17:$A417,$B$8),""),"")</f>
        <v/>
      </c>
    </row>
    <row r="418" spans="1:17" ht="12.75" customHeight="1" x14ac:dyDescent="0.2">
      <c r="A418">
        <f>IFERROR(IF(COUNTIF($C$17:C418,C418)&lt;=('BOBOT PEK'!V142-'BOBOT PEK'!U142+1),'BOBOT PEK'!U142+COUNTIF($C$17:C418,C418)-1,0),0)</f>
        <v>10</v>
      </c>
      <c r="B418" t="str">
        <f>IFERROR(TEXT(INDEX('KALENDER MINGGU'!$B$6:$B$21,$A418),"dd/mm")&amp;" - "&amp;TEXT(INDEX('KALENDER MINGGU'!$C$6:$C$21,$A418),"dd/mm"),"")</f>
        <v>24/09 - 30/09</v>
      </c>
      <c r="C418" t="s">
        <v>508</v>
      </c>
      <c r="D418" t="str">
        <f>'BOBOT PEK'!C142</f>
        <v>Neon Box 140 x 30 cm</v>
      </c>
      <c r="E418" s="241">
        <f>'BOBOT PEK'!J142</f>
        <v>0.21106590694531308</v>
      </c>
      <c r="F418">
        <f>100/('BOBOT PEK'!V142-'BOBOT PEK'!U142+1)</f>
        <v>25</v>
      </c>
      <c r="G418">
        <f t="shared" si="12"/>
        <v>5.2766476736328269E-2</v>
      </c>
      <c r="H418">
        <f>MIN(100,($A418-'BOBOT PEK'!U142+1)/('BOBOT PEK'!V142-'BOBOT PEK'!U142+1)*100)</f>
        <v>100</v>
      </c>
      <c r="I418">
        <f>IFERROR(SUM(INDEX(TS!$M:$AB,51,1):INDEX(TS!$M:$AB,51,$A418))/TS!$L$41*100,0)</f>
        <v>20.53091397849462</v>
      </c>
      <c r="J418">
        <f t="shared" si="13"/>
        <v>79.469086021505376</v>
      </c>
      <c r="O418" t="str">
        <f ca="1">IF(I418&gt;=99.9,"COMPLETED",IF('BOBOT PEK'!U142&gt;$J$7,"NOT STARTED",IF('BOBOT PEK'!V142&lt;$J$7,"CRITICAL",IF(I418+1&lt;H418,"DELAYED","ON SCHEDULE"))))</f>
        <v>DELAYED</v>
      </c>
      <c r="Q418" t="str">
        <f>IFERROR(IF(AND($A418=$B$8,'BOBOT PEK'!U142&lt;=$B$8,$B$8&lt;='BOBOT PEK'!V142),COUNTIFS($A$17:$A418,$B$8),""),"")</f>
        <v/>
      </c>
    </row>
    <row r="419" spans="1:17" ht="12.75" customHeight="1" x14ac:dyDescent="0.2">
      <c r="A419">
        <f>IFERROR(IF(COUNTIF($C$17:C419,C419)&lt;=('BOBOT PEK'!V143-'BOBOT PEK'!U143+1),'BOBOT PEK'!U143+COUNTIF($C$17:C419,C419)-1,0),0)</f>
        <v>10</v>
      </c>
      <c r="B419" t="str">
        <f>IFERROR(TEXT(INDEX('KALENDER MINGGU'!$B$6:$B$21,$A419),"dd/mm")&amp;" - "&amp;TEXT(INDEX('KALENDER MINGGU'!$C$6:$C$21,$A419),"dd/mm"),"")</f>
        <v>24/09 - 30/09</v>
      </c>
      <c r="C419" t="s">
        <v>509</v>
      </c>
      <c r="D419" t="str">
        <f>'BOBOT PEK'!C143</f>
        <v xml:space="preserve">Cover Meja kantor </v>
      </c>
      <c r="E419" s="241">
        <f>'BOBOT PEK'!J143</f>
        <v>0.17959789900073914</v>
      </c>
      <c r="F419">
        <f>100/('BOBOT PEK'!V143-'BOBOT PEK'!U143+1)</f>
        <v>25</v>
      </c>
      <c r="G419">
        <f t="shared" si="12"/>
        <v>4.4899474750184784E-2</v>
      </c>
      <c r="H419">
        <f>MIN(100,($A419-'BOBOT PEK'!U143+1)/('BOBOT PEK'!V143-'BOBOT PEK'!U143+1)*100)</f>
        <v>100</v>
      </c>
      <c r="I419">
        <f>IFERROR(SUM(INDEX(TS!$M:$AB,51,1):INDEX(TS!$M:$AB,51,$A419))/TS!$L$41*100,0)</f>
        <v>20.53091397849462</v>
      </c>
      <c r="J419">
        <f t="shared" si="13"/>
        <v>79.469086021505376</v>
      </c>
      <c r="O419" t="str">
        <f ca="1">IF(I419&gt;=99.9,"COMPLETED",IF('BOBOT PEK'!U143&gt;$J$7,"NOT STARTED",IF('BOBOT PEK'!V143&lt;$J$7,"CRITICAL",IF(I419+1&lt;H419,"DELAYED","ON SCHEDULE"))))</f>
        <v>DELAYED</v>
      </c>
      <c r="Q419" t="str">
        <f>IFERROR(IF(AND($A419=$B$8,'BOBOT PEK'!U143&lt;=$B$8,$B$8&lt;='BOBOT PEK'!V143),COUNTIFS($A$17:$A419,$B$8),""),"")</f>
        <v/>
      </c>
    </row>
    <row r="420" spans="1:17" ht="12.75" customHeight="1" x14ac:dyDescent="0.2">
      <c r="A420">
        <f>IFERROR(IF(COUNTIF($C$17:C420,C420)&lt;=('BOBOT PEK'!V175-'BOBOT PEK'!U175+1),'BOBOT PEK'!U175+COUNTIF($C$17:C420,C420)-1,0),0)</f>
        <v>10</v>
      </c>
      <c r="B420" t="str">
        <f>IFERROR(TEXT(INDEX('KALENDER MINGGU'!$B$6:$B$21,$A420),"dd/mm")&amp;" - "&amp;TEXT(INDEX('KALENDER MINGGU'!$C$6:$C$21,$A420),"dd/mm"),"")</f>
        <v>24/09 - 30/09</v>
      </c>
      <c r="C420" t="s">
        <v>516</v>
      </c>
      <c r="D420" t="str">
        <f>'BOBOT PEK'!C175</f>
        <v>perbaikan area tidak rata</v>
      </c>
      <c r="E420" s="241">
        <f>'BOBOT PEK'!J175</f>
        <v>0.13815223000056856</v>
      </c>
      <c r="F420">
        <f>100/('BOBOT PEK'!V175-'BOBOT PEK'!U175+1)</f>
        <v>25</v>
      </c>
      <c r="G420">
        <f t="shared" si="12"/>
        <v>3.453805750014214E-2</v>
      </c>
      <c r="H420">
        <f>MIN(100,($A420-'BOBOT PEK'!U175+1)/('BOBOT PEK'!V175-'BOBOT PEK'!U175+1)*100)</f>
        <v>50</v>
      </c>
      <c r="I420">
        <f>IFERROR(SUM(INDEX(TS!$M:$AB,56,1):INDEX(TS!$M:$AB,56,$A420))/TS!$L$46*100,0)</f>
        <v>24.30819316332067</v>
      </c>
      <c r="J420">
        <f t="shared" si="13"/>
        <v>75.691806836679334</v>
      </c>
      <c r="O420" t="str">
        <f ca="1">IF(I420&gt;=99.9,"COMPLETED",IF('BOBOT PEK'!U175&gt;$J$7,"NOT STARTED",IF('BOBOT PEK'!V175&lt;$J$7,"CRITICAL",IF(I420+1&lt;H420,"DELAYED","ON SCHEDULE"))))</f>
        <v>DELAYED</v>
      </c>
      <c r="Q420" t="str">
        <f>IFERROR(IF(AND($A420=$B$8,'BOBOT PEK'!U175&lt;=$B$8,$B$8&lt;='BOBOT PEK'!V175),COUNTIFS($A$17:$A420,$B$8),""),"")</f>
        <v/>
      </c>
    </row>
    <row r="421" spans="1:17" ht="12.75" customHeight="1" x14ac:dyDescent="0.2">
      <c r="A421">
        <f>IFERROR(IF(COUNTIF($C$17:C421,C421)&lt;=('BOBOT PEK'!V176-'BOBOT PEK'!U176+1),'BOBOT PEK'!U176+COUNTIF($C$17:C421,C421)-1,0),0)</f>
        <v>10</v>
      </c>
      <c r="B421" t="str">
        <f>IFERROR(TEXT(INDEX('KALENDER MINGGU'!$B$6:$B$21,$A421),"dd/mm")&amp;" - "&amp;TEXT(INDEX('KALENDER MINGGU'!$C$6:$C$21,$A421),"dd/mm"),"")</f>
        <v>24/09 - 30/09</v>
      </c>
      <c r="C421" t="s">
        <v>517</v>
      </c>
      <c r="D421" t="str">
        <f>'BOBOT PEK'!C176</f>
        <v>Pengacian ulang lantai kurang rata</v>
      </c>
      <c r="E421" s="241">
        <f>'BOBOT PEK'!J176</f>
        <v>0</v>
      </c>
      <c r="F421">
        <f>100/('BOBOT PEK'!V176-'BOBOT PEK'!U176+1)</f>
        <v>25</v>
      </c>
      <c r="G421">
        <f t="shared" si="12"/>
        <v>0</v>
      </c>
      <c r="H421">
        <f>MIN(100,($A421-'BOBOT PEK'!U176+1)/('BOBOT PEK'!V176-'BOBOT PEK'!U176+1)*100)</f>
        <v>50</v>
      </c>
      <c r="I421">
        <f>IFERROR(SUM(INDEX(TS!$M:$AB,56,1):INDEX(TS!$M:$AB,56,$A421))/TS!$L$46*100,0)</f>
        <v>24.30819316332067</v>
      </c>
      <c r="J421">
        <f t="shared" si="13"/>
        <v>75.691806836679334</v>
      </c>
      <c r="O421" t="str">
        <f ca="1">IF(I421&gt;=99.9,"COMPLETED",IF('BOBOT PEK'!U176&gt;$J$7,"NOT STARTED",IF('BOBOT PEK'!V176&lt;$J$7,"CRITICAL",IF(I421+1&lt;H421,"DELAYED","ON SCHEDULE"))))</f>
        <v>DELAYED</v>
      </c>
      <c r="Q421" t="str">
        <f>IFERROR(IF(AND($A421=$B$8,'BOBOT PEK'!U176&lt;=$B$8,$B$8&lt;='BOBOT PEK'!V176),COUNTIFS($A$17:$A421,$B$8),""),"")</f>
        <v/>
      </c>
    </row>
    <row r="422" spans="1:17" ht="12.75" customHeight="1" x14ac:dyDescent="0.2">
      <c r="A422">
        <f>IFERROR(IF(COUNTIF($C$17:C422,C422)&lt;=('BOBOT PEK'!V177-'BOBOT PEK'!U177+1),'BOBOT PEK'!U177+COUNTIF($C$17:C422,C422)-1,0),0)</f>
        <v>10</v>
      </c>
      <c r="B422" t="str">
        <f>IFERROR(TEXT(INDEX('KALENDER MINGGU'!$B$6:$B$21,$A422),"dd/mm")&amp;" - "&amp;TEXT(INDEX('KALENDER MINGGU'!$C$6:$C$21,$A422),"dd/mm"),"")</f>
        <v>24/09 - 30/09</v>
      </c>
      <c r="C422" t="s">
        <v>518</v>
      </c>
      <c r="D422" t="str">
        <f>'BOBOT PEK'!C177</f>
        <v>leveling MU410</v>
      </c>
      <c r="E422" s="241">
        <f>'BOBOT PEK'!J177</f>
        <v>1.0775873940044347</v>
      </c>
      <c r="F422">
        <f>100/('BOBOT PEK'!V177-'BOBOT PEK'!U177+1)</f>
        <v>25</v>
      </c>
      <c r="G422">
        <f t="shared" si="12"/>
        <v>0.26939684850110868</v>
      </c>
      <c r="H422">
        <f>MIN(100,($A422-'BOBOT PEK'!U177+1)/('BOBOT PEK'!V177-'BOBOT PEK'!U177+1)*100)</f>
        <v>50</v>
      </c>
      <c r="I422">
        <f>IFERROR(SUM(INDEX(TS!$M:$AB,56,1):INDEX(TS!$M:$AB,56,$A422))/TS!$L$46*100,0)</f>
        <v>24.30819316332067</v>
      </c>
      <c r="J422">
        <f t="shared" si="13"/>
        <v>75.691806836679334</v>
      </c>
      <c r="O422" t="str">
        <f ca="1">IF(I422&gt;=99.9,"COMPLETED",IF('BOBOT PEK'!U177&gt;$J$7,"NOT STARTED",IF('BOBOT PEK'!V177&lt;$J$7,"CRITICAL",IF(I422+1&lt;H422,"DELAYED","ON SCHEDULE"))))</f>
        <v>DELAYED</v>
      </c>
      <c r="Q422" t="str">
        <f>IFERROR(IF(AND($A422=$B$8,'BOBOT PEK'!U177&lt;=$B$8,$B$8&lt;='BOBOT PEK'!V177),COUNTIFS($A$17:$A422,$B$8),""),"")</f>
        <v/>
      </c>
    </row>
    <row r="423" spans="1:17" ht="12.75" customHeight="1" x14ac:dyDescent="0.2">
      <c r="A423">
        <f>IFERROR(IF(COUNTIF($C$17:C423,C423)&lt;=('BOBOT PEK'!V178-'BOBOT PEK'!U178+1),'BOBOT PEK'!U178+COUNTIF($C$17:C423,C423)-1,0),0)</f>
        <v>10</v>
      </c>
      <c r="B423" t="str">
        <f>IFERROR(TEXT(INDEX('KALENDER MINGGU'!$B$6:$B$21,$A423),"dd/mm")&amp;" - "&amp;TEXT(INDEX('KALENDER MINGGU'!$C$6:$C$21,$A423),"dd/mm"),"")</f>
        <v>24/09 - 30/09</v>
      </c>
      <c r="C423" t="s">
        <v>519</v>
      </c>
      <c r="D423" t="str">
        <f>'BOBOT PEK'!C178</f>
        <v>cat permukaan lapangan</v>
      </c>
      <c r="E423" s="241">
        <f>'BOBOT PEK'!J178</f>
        <v>0.17959789900073914</v>
      </c>
      <c r="F423">
        <f>100/('BOBOT PEK'!V178-'BOBOT PEK'!U178+1)</f>
        <v>25</v>
      </c>
      <c r="G423">
        <f t="shared" si="12"/>
        <v>4.4899474750184784E-2</v>
      </c>
      <c r="H423">
        <f>MIN(100,($A423-'BOBOT PEK'!U178+1)/('BOBOT PEK'!V178-'BOBOT PEK'!U178+1)*100)</f>
        <v>50</v>
      </c>
      <c r="I423">
        <f>IFERROR(SUM(INDEX(TS!$M:$AB,56,1):INDEX(TS!$M:$AB,56,$A423))/TS!$L$46*100,0)</f>
        <v>24.30819316332067</v>
      </c>
      <c r="J423">
        <f t="shared" si="13"/>
        <v>75.691806836679334</v>
      </c>
      <c r="O423" t="str">
        <f ca="1">IF(I423&gt;=99.9,"COMPLETED",IF('BOBOT PEK'!U178&gt;$J$7,"NOT STARTED",IF('BOBOT PEK'!V178&lt;$J$7,"CRITICAL",IF(I423+1&lt;H423,"DELAYED","ON SCHEDULE"))))</f>
        <v>DELAYED</v>
      </c>
      <c r="Q423" t="str">
        <f>IFERROR(IF(AND($A423=$B$8,'BOBOT PEK'!U178&lt;=$B$8,$B$8&lt;='BOBOT PEK'!V178),COUNTIFS($A$17:$A423,$B$8),""),"")</f>
        <v/>
      </c>
    </row>
    <row r="424" spans="1:17" ht="12.75" customHeight="1" x14ac:dyDescent="0.2">
      <c r="A424">
        <f>IFERROR(IF(COUNTIF($C$17:C424,C424)&lt;=('BOBOT PEK'!V179-'BOBOT PEK'!U179+1),'BOBOT PEK'!U179+COUNTIF($C$17:C424,C424)-1,0),0)</f>
        <v>10</v>
      </c>
      <c r="B424" t="str">
        <f>IFERROR(TEXT(INDEX('KALENDER MINGGU'!$B$6:$B$21,$A424),"dd/mm")&amp;" - "&amp;TEXT(INDEX('KALENDER MINGGU'!$C$6:$C$21,$A424),"dd/mm"),"")</f>
        <v>24/09 - 30/09</v>
      </c>
      <c r="C424" t="s">
        <v>520</v>
      </c>
      <c r="D424" t="str">
        <f>'BOBOT PEK'!C179</f>
        <v>marking garis</v>
      </c>
      <c r="E424" s="241">
        <f>'BOBOT PEK'!J179</f>
        <v>1.9187809722301191E-2</v>
      </c>
      <c r="F424">
        <f>100/('BOBOT PEK'!V179-'BOBOT PEK'!U179+1)</f>
        <v>25</v>
      </c>
      <c r="G424">
        <f t="shared" si="12"/>
        <v>4.7969524305752978E-3</v>
      </c>
      <c r="H424">
        <f>MIN(100,($A424-'BOBOT PEK'!U179+1)/('BOBOT PEK'!V179-'BOBOT PEK'!U179+1)*100)</f>
        <v>50</v>
      </c>
      <c r="I424">
        <f>IFERROR(SUM(INDEX(TS!$M:$AB,56,1):INDEX(TS!$M:$AB,56,$A424))/TS!$L$46*100,0)</f>
        <v>24.30819316332067</v>
      </c>
      <c r="J424">
        <f t="shared" si="13"/>
        <v>75.691806836679334</v>
      </c>
      <c r="O424" t="str">
        <f ca="1">IF(I424&gt;=99.9,"COMPLETED",IF('BOBOT PEK'!U179&gt;$J$7,"NOT STARTED",IF('BOBOT PEK'!V179&lt;$J$7,"CRITICAL",IF(I424+1&lt;H424,"DELAYED","ON SCHEDULE"))))</f>
        <v>DELAYED</v>
      </c>
      <c r="Q424" t="str">
        <f>IFERROR(IF(AND($A424=$B$8,'BOBOT PEK'!U179&lt;=$B$8,$B$8&lt;='BOBOT PEK'!V179),COUNTIFS($A$17:$A424,$B$8),""),"")</f>
        <v/>
      </c>
    </row>
    <row r="425" spans="1:17" ht="12.75" customHeight="1" x14ac:dyDescent="0.2">
      <c r="A425">
        <f>IFERROR(IF(COUNTIF($C$17:C425,C425)&lt;=('BOBOT PEK'!V193-'BOBOT PEK'!U193+1),'BOBOT PEK'!U193+COUNTIF($C$17:C425,C425)-1,0),0)</f>
        <v>10</v>
      </c>
      <c r="B425" t="str">
        <f>IFERROR(TEXT(INDEX('KALENDER MINGGU'!$B$6:$B$21,$A425),"dd/mm")&amp;" - "&amp;TEXT(INDEX('KALENDER MINGGU'!$C$6:$C$21,$A425),"dd/mm"),"")</f>
        <v>24/09 - 30/09</v>
      </c>
      <c r="C425" t="s">
        <v>523</v>
      </c>
      <c r="D425" t="str">
        <f>'BOBOT PEK'!C193</f>
        <v>Pembuatan partisi gudang</v>
      </c>
      <c r="E425" s="241">
        <f>'BOBOT PEK'!J193</f>
        <v>0.34921813694588166</v>
      </c>
      <c r="F425">
        <f>100/('BOBOT PEK'!V193-'BOBOT PEK'!U193+1)</f>
        <v>16.666666666666668</v>
      </c>
      <c r="G425">
        <f t="shared" si="12"/>
        <v>5.8203022824313617E-2</v>
      </c>
      <c r="H425">
        <f>MIN(100,($A425-'BOBOT PEK'!U193+1)/('BOBOT PEK'!V193-'BOBOT PEK'!U193+1)*100)</f>
        <v>33.333333333333329</v>
      </c>
      <c r="I425">
        <f>IFERROR(SUM(INDEX(TS!$M:$AB,58,1):INDEX(TS!$M:$AB,58,$A425))/TS!$L$48*100,0)</f>
        <v>11.179230742884544</v>
      </c>
      <c r="J425">
        <f t="shared" si="13"/>
        <v>88.820769257115458</v>
      </c>
      <c r="O425" t="str">
        <f ca="1">IF(I425&gt;=99.9,"COMPLETED",IF('BOBOT PEK'!U193&gt;$J$7,"NOT STARTED",IF('BOBOT PEK'!V193&lt;$J$7,"CRITICAL",IF(I425+1&lt;H425,"DELAYED","ON SCHEDULE"))))</f>
        <v>DELAYED</v>
      </c>
      <c r="Q425" t="str">
        <f>IFERROR(IF(AND($A425=$B$8,'BOBOT PEK'!U193&lt;=$B$8,$B$8&lt;='BOBOT PEK'!V193),COUNTIFS($A$17:$A425,$B$8),""),"")</f>
        <v/>
      </c>
    </row>
    <row r="426" spans="1:17" ht="12.75" customHeight="1" x14ac:dyDescent="0.2">
      <c r="A426">
        <f>IFERROR(IF(COUNTIF($C$17:C426,C426)&lt;=('BOBOT PEK'!V194-'BOBOT PEK'!U194+1),'BOBOT PEK'!U194+COUNTIF($C$17:C426,C426)-1,0),0)</f>
        <v>10</v>
      </c>
      <c r="B426" t="str">
        <f>IFERROR(TEXT(INDEX('KALENDER MINGGU'!$B$6:$B$21,$A426),"dd/mm")&amp;" - "&amp;TEXT(INDEX('KALENDER MINGGU'!$C$6:$C$21,$A426),"dd/mm"),"")</f>
        <v>24/09 - 30/09</v>
      </c>
      <c r="C426" t="s">
        <v>524</v>
      </c>
      <c r="D426" t="str">
        <f>'BOBOT PEK'!C194</f>
        <v>Pembuatan pintu gudang (kupu tarung)</v>
      </c>
      <c r="E426" s="241">
        <f>'BOBOT PEK'!J194</f>
        <v>7.6751238889204765E-2</v>
      </c>
      <c r="F426">
        <f>100/('BOBOT PEK'!V194-'BOBOT PEK'!U194+1)</f>
        <v>16.666666666666668</v>
      </c>
      <c r="G426">
        <f t="shared" si="12"/>
        <v>1.2791873148200796E-2</v>
      </c>
      <c r="H426">
        <f>MIN(100,($A426-'BOBOT PEK'!U194+1)/('BOBOT PEK'!V194-'BOBOT PEK'!U194+1)*100)</f>
        <v>33.333333333333329</v>
      </c>
      <c r="I426">
        <f>IFERROR(SUM(INDEX(TS!$M:$AB,58,1):INDEX(TS!$M:$AB,58,$A426))/TS!$L$48*100,0)</f>
        <v>11.179230742884544</v>
      </c>
      <c r="J426">
        <f t="shared" si="13"/>
        <v>88.820769257115458</v>
      </c>
      <c r="O426" t="str">
        <f ca="1">IF(I426&gt;=99.9,"COMPLETED",IF('BOBOT PEK'!U194&gt;$J$7,"NOT STARTED",IF('BOBOT PEK'!V194&lt;$J$7,"CRITICAL",IF(I426+1&lt;H426,"DELAYED","ON SCHEDULE"))))</f>
        <v>DELAYED</v>
      </c>
      <c r="Q426" t="str">
        <f>IFERROR(IF(AND($A426=$B$8,'BOBOT PEK'!U194&lt;=$B$8,$B$8&lt;='BOBOT PEK'!V194),COUNTIFS($A$17:$A426,$B$8),""),"")</f>
        <v/>
      </c>
    </row>
    <row r="427" spans="1:17" ht="12.75" customHeight="1" x14ac:dyDescent="0.2">
      <c r="A427">
        <f>IFERROR(IF(COUNTIF($C$17:C427,C427)&lt;=('BOBOT PEK'!V195-'BOBOT PEK'!U195+1),'BOBOT PEK'!U195+COUNTIF($C$17:C427,C427)-1,0),0)</f>
        <v>7</v>
      </c>
      <c r="B427" t="str">
        <f>IFERROR(TEXT(INDEX('KALENDER MINGGU'!$B$6:$B$21,$A427),"dd/mm")&amp;" - "&amp;TEXT(INDEX('KALENDER MINGGU'!$C$6:$C$21,$A427),"dd/mm"),"")</f>
        <v>03/09 - 09/09</v>
      </c>
      <c r="C427" t="s">
        <v>525</v>
      </c>
      <c r="D427" t="str">
        <f>'BOBOT PEK'!C195</f>
        <v>Pemasangan gypsum 1 sisi</v>
      </c>
      <c r="E427" s="241">
        <f>'BOBOT PEK'!J195</f>
        <v>0.52062923713177223</v>
      </c>
      <c r="F427">
        <f>100/('BOBOT PEK'!V195-'BOBOT PEK'!U195+1)</f>
        <v>33.333333333333336</v>
      </c>
      <c r="G427">
        <f t="shared" si="12"/>
        <v>0.1735430790439241</v>
      </c>
      <c r="H427">
        <f>MIN(100,($A427-'BOBOT PEK'!U195+1)/('BOBOT PEK'!V195-'BOBOT PEK'!U195+1)*100)</f>
        <v>66.666666666666657</v>
      </c>
      <c r="I427">
        <f>IFERROR(SUM(INDEX(TS!$M:$AB,58,1):INDEX(TS!$M:$AB,58,$A427))/TS!$L$48*100,0)</f>
        <v>9.0365448504983412</v>
      </c>
      <c r="J427">
        <f t="shared" si="13"/>
        <v>90.963455149501655</v>
      </c>
      <c r="O427" t="str">
        <f ca="1">IF(I427&gt;=99.9,"COMPLETED",IF('BOBOT PEK'!U195&gt;$J$7,"NOT STARTED",IF('BOBOT PEK'!V195&lt;$J$7,"CRITICAL",IF(I427+1&lt;H427,"DELAYED","ON SCHEDULE"))))</f>
        <v>CRITICAL</v>
      </c>
      <c r="Q427" t="str">
        <f>IFERROR(IF(AND($A427=$B$8,'BOBOT PEK'!U195&lt;=$B$8,$B$8&lt;='BOBOT PEK'!V195),COUNTIFS($A$17:$A427,$B$8),""),"")</f>
        <v/>
      </c>
    </row>
    <row r="428" spans="1:17" ht="12.75" customHeight="1" x14ac:dyDescent="0.2">
      <c r="A428">
        <f>IFERROR(IF(COUNTIF($C$17:C428,C428)&lt;=('BOBOT PEK'!V198-'BOBOT PEK'!U198+1),'BOBOT PEK'!U198+COUNTIF($C$17:C428,C428)-1,0),0)</f>
        <v>10</v>
      </c>
      <c r="B428" t="str">
        <f>IFERROR(TEXT(INDEX('KALENDER MINGGU'!$B$6:$B$21,$A428),"dd/mm")&amp;" - "&amp;TEXT(INDEX('KALENDER MINGGU'!$C$6:$C$21,$A428),"dd/mm"),"")</f>
        <v>24/09 - 30/09</v>
      </c>
      <c r="C428" t="s">
        <v>526</v>
      </c>
      <c r="D428" t="str">
        <f>'BOBOT PEK'!C198</f>
        <v>penggantian lighting</v>
      </c>
      <c r="E428" s="241">
        <f>'BOBOT PEK'!J198</f>
        <v>4.5283230944630805E-2</v>
      </c>
      <c r="F428">
        <f>100/('BOBOT PEK'!V198-'BOBOT PEK'!U198+1)</f>
        <v>16.666666666666668</v>
      </c>
      <c r="G428">
        <f t="shared" si="12"/>
        <v>7.5472051574384681E-3</v>
      </c>
      <c r="H428">
        <f>MIN(100,($A428-'BOBOT PEK'!U198+1)/('BOBOT PEK'!V198-'BOBOT PEK'!U198+1)*100)</f>
        <v>33.333333333333329</v>
      </c>
      <c r="I428">
        <f>IFERROR(SUM(INDEX(TS!$M:$AB,58,1):INDEX(TS!$M:$AB,58,$A428))/TS!$L$48*100,0)</f>
        <v>11.179230742884544</v>
      </c>
      <c r="J428">
        <f t="shared" si="13"/>
        <v>88.820769257115458</v>
      </c>
      <c r="O428" t="str">
        <f ca="1">IF(I428&gt;=99.9,"COMPLETED",IF('BOBOT PEK'!U198&gt;$J$7,"NOT STARTED",IF('BOBOT PEK'!V198&lt;$J$7,"CRITICAL",IF(I428+1&lt;H428,"DELAYED","ON SCHEDULE"))))</f>
        <v>DELAYED</v>
      </c>
      <c r="Q428" t="str">
        <f>IFERROR(IF(AND($A428=$B$8,'BOBOT PEK'!U198&lt;=$B$8,$B$8&lt;='BOBOT PEK'!V198),COUNTIFS($A$17:$A428,$B$8),""),"")</f>
        <v/>
      </c>
    </row>
    <row r="429" spans="1:17" ht="12.75" customHeight="1" x14ac:dyDescent="0.2">
      <c r="A429">
        <f>IFERROR(IF(COUNTIF($C$17:C429,C429)&lt;=('BOBOT PEK'!V199-'BOBOT PEK'!U199+1),'BOBOT PEK'!U199+COUNTIF($C$17:C429,C429)-1,0),0)</f>
        <v>10</v>
      </c>
      <c r="B429" t="str">
        <f>IFERROR(TEXT(INDEX('KALENDER MINGGU'!$B$6:$B$21,$A429),"dd/mm")&amp;" - "&amp;TEXT(INDEX('KALENDER MINGGU'!$C$6:$C$21,$A429),"dd/mm"),"")</f>
        <v>24/09 - 30/09</v>
      </c>
      <c r="C429" t="s">
        <v>527</v>
      </c>
      <c r="D429" t="str">
        <f>'BOBOT PEK'!C199</f>
        <v>penggantian lighting</v>
      </c>
      <c r="E429" s="241">
        <f>'BOBOT PEK'!J199</f>
        <v>0.16373597629697018</v>
      </c>
      <c r="F429">
        <f>100/('BOBOT PEK'!V199-'BOBOT PEK'!U199+1)</f>
        <v>16.666666666666668</v>
      </c>
      <c r="G429">
        <f t="shared" si="12"/>
        <v>2.7289329382828367E-2</v>
      </c>
      <c r="H429">
        <f>MIN(100,($A429-'BOBOT PEK'!U199+1)/('BOBOT PEK'!V199-'BOBOT PEK'!U199+1)*100)</f>
        <v>33.333333333333329</v>
      </c>
      <c r="I429">
        <f>IFERROR(SUM(INDEX(TS!$M:$AB,58,1):INDEX(TS!$M:$AB,58,$A429))/TS!$L$48*100,0)</f>
        <v>11.179230742884544</v>
      </c>
      <c r="J429">
        <f t="shared" si="13"/>
        <v>88.820769257115458</v>
      </c>
      <c r="O429" t="str">
        <f ca="1">IF(I429&gt;=99.9,"COMPLETED",IF('BOBOT PEK'!U199&gt;$J$7,"NOT STARTED",IF('BOBOT PEK'!V199&lt;$J$7,"CRITICAL",IF(I429+1&lt;H429,"DELAYED","ON SCHEDULE"))))</f>
        <v>DELAYED</v>
      </c>
      <c r="Q429" t="str">
        <f>IFERROR(IF(AND($A429=$B$8,'BOBOT PEK'!U199&lt;=$B$8,$B$8&lt;='BOBOT PEK'!V199),COUNTIFS($A$17:$A429,$B$8),""),"")</f>
        <v/>
      </c>
    </row>
    <row r="430" spans="1:17" ht="12.75" customHeight="1" x14ac:dyDescent="0.2">
      <c r="A430">
        <f>IFERROR(IF(COUNTIF($C$17:C430,C430)&lt;=('BOBOT PEK'!V201-'BOBOT PEK'!U201+1),'BOBOT PEK'!U201+COUNTIF($C$17:C430,C430)-1,0),0)</f>
        <v>10</v>
      </c>
      <c r="B430" t="str">
        <f>IFERROR(TEXT(INDEX('KALENDER MINGGU'!$B$6:$B$21,$A430),"dd/mm")&amp;" - "&amp;TEXT(INDEX('KALENDER MINGGU'!$C$6:$C$21,$A430),"dd/mm"),"")</f>
        <v>24/09 - 30/09</v>
      </c>
      <c r="C430" t="s">
        <v>528</v>
      </c>
      <c r="D430" t="str">
        <f>'BOBOT PEK'!C201</f>
        <v>Pengadaan dan pemasangan turbin ventilator 32"</v>
      </c>
      <c r="E430" s="241">
        <f>'BOBOT PEK'!J201</f>
        <v>0.38375619444602382</v>
      </c>
      <c r="F430">
        <f>100/('BOBOT PEK'!V201-'BOBOT PEK'!U201+1)</f>
        <v>16.666666666666668</v>
      </c>
      <c r="G430">
        <f t="shared" si="12"/>
        <v>6.3959365741003985E-2</v>
      </c>
      <c r="H430">
        <f>MIN(100,($A430-'BOBOT PEK'!U201+1)/('BOBOT PEK'!V201-'BOBOT PEK'!U201+1)*100)</f>
        <v>33.333333333333329</v>
      </c>
      <c r="I430">
        <f>IFERROR(SUM(INDEX(TS!$M:$AB,58,1):INDEX(TS!$M:$AB,58,$A430))/TS!$L$48*100,0)</f>
        <v>11.179230742884544</v>
      </c>
      <c r="J430">
        <f t="shared" si="13"/>
        <v>88.820769257115458</v>
      </c>
      <c r="O430" t="str">
        <f ca="1">IF(I430&gt;=99.9,"COMPLETED",IF('BOBOT PEK'!U201&gt;$J$7,"NOT STARTED",IF('BOBOT PEK'!V201&lt;$J$7,"CRITICAL",IF(I430+1&lt;H430,"DELAYED","ON SCHEDULE"))))</f>
        <v>DELAYED</v>
      </c>
      <c r="Q430" t="str">
        <f>IFERROR(IF(AND($A430=$B$8,'BOBOT PEK'!U201&lt;=$B$8,$B$8&lt;='BOBOT PEK'!V201),COUNTIFS($A$17:$A430,$B$8),""),"")</f>
        <v/>
      </c>
    </row>
    <row r="431" spans="1:17" ht="12.75" customHeight="1" x14ac:dyDescent="0.2">
      <c r="A431">
        <f>IFERROR(IF(COUNTIF($C$17:C431,C431)&lt;=('BOBOT PEK'!V202-'BOBOT PEK'!U202+1),'BOBOT PEK'!U202+COUNTIF($C$17:C431,C431)-1,0),0)</f>
        <v>10</v>
      </c>
      <c r="B431" t="str">
        <f>IFERROR(TEXT(INDEX('KALENDER MINGGU'!$B$6:$B$21,$A431),"dd/mm")&amp;" - "&amp;TEXT(INDEX('KALENDER MINGGU'!$C$6:$C$21,$A431),"dd/mm"),"")</f>
        <v>24/09 - 30/09</v>
      </c>
      <c r="C431" t="s">
        <v>529</v>
      </c>
      <c r="D431" t="str">
        <f>'BOBOT PEK'!C202</f>
        <v>Pasang aluminium bubble dibawah atap+plat strip</v>
      </c>
      <c r="E431" s="241">
        <f>'BOBOT PEK'!J202</f>
        <v>4.789277306686377</v>
      </c>
      <c r="F431">
        <f>100/('BOBOT PEK'!V202-'BOBOT PEK'!U202+1)</f>
        <v>16.666666666666668</v>
      </c>
      <c r="G431">
        <f t="shared" si="12"/>
        <v>0.79821288444772953</v>
      </c>
      <c r="H431">
        <f>MIN(100,($A431-'BOBOT PEK'!U202+1)/('BOBOT PEK'!V202-'BOBOT PEK'!U202+1)*100)</f>
        <v>33.333333333333329</v>
      </c>
      <c r="I431">
        <f>IFERROR(SUM(INDEX(TS!$M:$AB,58,1):INDEX(TS!$M:$AB,58,$A431))/TS!$L$48*100,0)</f>
        <v>11.179230742884544</v>
      </c>
      <c r="J431">
        <f t="shared" si="13"/>
        <v>88.820769257115458</v>
      </c>
      <c r="O431" t="str">
        <f ca="1">IF(I431&gt;=99.9,"COMPLETED",IF('BOBOT PEK'!U202&gt;$J$7,"NOT STARTED",IF('BOBOT PEK'!V202&lt;$J$7,"CRITICAL",IF(I431+1&lt;H431,"DELAYED","ON SCHEDULE"))))</f>
        <v>DELAYED</v>
      </c>
      <c r="Q431" t="str">
        <f>IFERROR(IF(AND($A431=$B$8,'BOBOT PEK'!U202&lt;=$B$8,$B$8&lt;='BOBOT PEK'!V202),COUNTIFS($A$17:$A431,$B$8),""),"")</f>
        <v/>
      </c>
    </row>
    <row r="432" spans="1:17" ht="12.75" customHeight="1" x14ac:dyDescent="0.2">
      <c r="A432">
        <f>IFERROR(IF(COUNTIF($C$17:C432,C432)&lt;=('BOBOT PEK'!V203-'BOBOT PEK'!U203+1),'BOBOT PEK'!U203+COUNTIF($C$17:C432,C432)-1,0),0)</f>
        <v>10</v>
      </c>
      <c r="B432" t="str">
        <f>IFERROR(TEXT(INDEX('KALENDER MINGGU'!$B$6:$B$21,$A432),"dd/mm")&amp;" - "&amp;TEXT(INDEX('KALENDER MINGGU'!$C$6:$C$21,$A432),"dd/mm"),"")</f>
        <v>24/09 - 30/09</v>
      </c>
      <c r="C432" t="s">
        <v>530</v>
      </c>
      <c r="D432" t="str">
        <f>'BOBOT PEK'!C203</f>
        <v>Pekerjaan finishing cat dinding dan partisi</v>
      </c>
      <c r="E432" s="241">
        <f>'BOBOT PEK'!J203</f>
        <v>1.0131163533375029</v>
      </c>
      <c r="F432">
        <f>100/('BOBOT PEK'!V203-'BOBOT PEK'!U203+1)</f>
        <v>16.666666666666668</v>
      </c>
      <c r="G432">
        <f t="shared" si="12"/>
        <v>0.1688527255562505</v>
      </c>
      <c r="H432">
        <f>MIN(100,($A432-'BOBOT PEK'!U203+1)/('BOBOT PEK'!V203-'BOBOT PEK'!U203+1)*100)</f>
        <v>33.333333333333329</v>
      </c>
      <c r="I432">
        <f>IFERROR(SUM(INDEX(TS!$M:$AB,58,1):INDEX(TS!$M:$AB,58,$A432))/TS!$L$48*100,0)</f>
        <v>11.179230742884544</v>
      </c>
      <c r="J432">
        <f t="shared" si="13"/>
        <v>88.820769257115458</v>
      </c>
      <c r="O432" t="str">
        <f ca="1">IF(I432&gt;=99.9,"COMPLETED",IF('BOBOT PEK'!U203&gt;$J$7,"NOT STARTED",IF('BOBOT PEK'!V203&lt;$J$7,"CRITICAL",IF(I432+1&lt;H432,"DELAYED","ON SCHEDULE"))))</f>
        <v>DELAYED</v>
      </c>
      <c r="Q432" t="str">
        <f>IFERROR(IF(AND($A432=$B$8,'BOBOT PEK'!U203&lt;=$B$8,$B$8&lt;='BOBOT PEK'!V203),COUNTIFS($A$17:$A432,$B$8),""),"")</f>
        <v/>
      </c>
    </row>
    <row r="433" spans="1:17" ht="23.25" customHeight="1" x14ac:dyDescent="0.2">
      <c r="A433">
        <f>IFERROR(IF(COUNTIF($C$17:C433,C433)&lt;=('BOBOT PEK'!V226-'BOBOT PEK'!U226+1),'BOBOT PEK'!U226+COUNTIF($C$17:C433,C433)-1,0),0)</f>
        <v>6</v>
      </c>
      <c r="B433" t="str">
        <f>IFERROR(TEXT(INDEX('KALENDER MINGGU'!$B$6:$B$21,$A433),"dd/mm")&amp;" - "&amp;TEXT(INDEX('KALENDER MINGGU'!$C$6:$C$21,$A433),"dd/mm"),"")</f>
        <v>27/08 - 02/09</v>
      </c>
      <c r="C433" t="s">
        <v>542</v>
      </c>
      <c r="D433" s="228" t="str">
        <f>'BOBOT PEK'!C226</f>
        <v>ring balok
CNP 150 double</v>
      </c>
      <c r="E433" s="241">
        <f>'BOBOT PEK'!J226</f>
        <v>0.17192277511181867</v>
      </c>
      <c r="F433">
        <f>100/('BOBOT PEK'!V226-'BOBOT PEK'!U226+1)</f>
        <v>16.666666666666668</v>
      </c>
      <c r="G433">
        <f t="shared" si="12"/>
        <v>2.8653795851969782E-2</v>
      </c>
      <c r="H433">
        <f>MIN(100,($A433-'BOBOT PEK'!U226+1)/('BOBOT PEK'!V226-'BOBOT PEK'!U226+1)*100)</f>
        <v>33.333333333333329</v>
      </c>
      <c r="I433">
        <f>IFERROR(SUM(INDEX(TS!$M:$AB,65,1):INDEX(TS!$M:$AB,65,$A433))/TS!$L$55*100,0)</f>
        <v>0</v>
      </c>
      <c r="J433">
        <f t="shared" si="13"/>
        <v>100</v>
      </c>
      <c r="O433" t="str">
        <f ca="1">IF(I433&gt;=99.9,"COMPLETED",IF('BOBOT PEK'!U226&gt;$J$7,"NOT STARTED",IF('BOBOT PEK'!V226&lt;$J$7,"CRITICAL",IF(I433+1&lt;H433,"DELAYED","ON SCHEDULE"))))</f>
        <v>DELAYED</v>
      </c>
      <c r="Q433">
        <f>IFERROR(IF(AND($A433=$B$8,'BOBOT PEK'!U226&lt;=$B$8,$B$8&lt;='BOBOT PEK'!V226),COUNTIFS($A$17:$A433,$B$8),""),"")</f>
        <v>30</v>
      </c>
    </row>
    <row r="434" spans="1:17" ht="23.25" customHeight="1" x14ac:dyDescent="0.2">
      <c r="A434">
        <f>IFERROR(IF(COUNTIF($C$17:C434,C434)&lt;=('BOBOT PEK'!V248-'BOBOT PEK'!U248+1),'BOBOT PEK'!U248+COUNTIF($C$17:C434,C434)-1,0),0)</f>
        <v>10</v>
      </c>
      <c r="B434" t="str">
        <f>IFERROR(TEXT(INDEX('KALENDER MINGGU'!$B$6:$B$21,$A434),"dd/mm")&amp;" - "&amp;TEXT(INDEX('KALENDER MINGGU'!$C$6:$C$21,$A434),"dd/mm"),"")</f>
        <v>24/09 - 30/09</v>
      </c>
      <c r="C434" t="s">
        <v>560</v>
      </c>
      <c r="D434" s="228" t="str">
        <f>'BOBOT PEK'!C248</f>
        <v>Pemasangan paving area parkir
K150 6cm</v>
      </c>
      <c r="E434" s="241">
        <f>'BOBOT PEK'!J248</f>
        <v>9.4659861296685868E-2</v>
      </c>
      <c r="F434">
        <f>100/('BOBOT PEK'!V248-'BOBOT PEK'!U248+1)</f>
        <v>50</v>
      </c>
      <c r="G434">
        <f t="shared" si="12"/>
        <v>4.7329930648342934E-2</v>
      </c>
      <c r="H434">
        <f>MIN(100,($A434-'BOBOT PEK'!U248+1)/('BOBOT PEK'!V248-'BOBOT PEK'!U248+1)*100)</f>
        <v>100</v>
      </c>
      <c r="I434">
        <f>IFERROR(SUM(INDEX(TS!$M:$AB,71,1):INDEX(TS!$M:$AB,71,$A434))/TS!$L$61*100,0)</f>
        <v>23698.230439077797</v>
      </c>
      <c r="J434">
        <f t="shared" si="13"/>
        <v>0</v>
      </c>
      <c r="O434" t="str">
        <f>IF(I434&gt;=99.9,"COMPLETED",IF('BOBOT PEK'!U248&gt;$J$7,"NOT STARTED",IF('BOBOT PEK'!V248&lt;$J$7,"CRITICAL",IF(I434+1&lt;H434,"DELAYED","ON SCHEDULE"))))</f>
        <v>COMPLETED</v>
      </c>
      <c r="Q434" t="str">
        <f>IFERROR(IF(AND($A434=$B$8,'BOBOT PEK'!U248&lt;=$B$8,$B$8&lt;='BOBOT PEK'!V248),COUNTIFS($A$17:$A434,$B$8),""),"")</f>
        <v/>
      </c>
    </row>
    <row r="435" spans="1:17" ht="12.75" customHeight="1" x14ac:dyDescent="0.2">
      <c r="A435">
        <f>IFERROR(IF(COUNTIF($C$17:C435,C435)&lt;=('BOBOT PEK'!V249-'BOBOT PEK'!U249+1),'BOBOT PEK'!U249+COUNTIF($C$17:C435,C435)-1,0),0)</f>
        <v>10</v>
      </c>
      <c r="B435" t="str">
        <f>IFERROR(TEXT(INDEX('KALENDER MINGGU'!$B$6:$B$21,$A435),"dd/mm")&amp;" - "&amp;TEXT(INDEX('KALENDER MINGGU'!$C$6:$C$21,$A435),"dd/mm"),"")</f>
        <v>24/09 - 30/09</v>
      </c>
      <c r="C435" t="s">
        <v>561</v>
      </c>
      <c r="D435" t="str">
        <f>'BOBOT PEK'!C249</f>
        <v>cat garis parkir</v>
      </c>
      <c r="E435" s="241">
        <f>'BOBOT PEK'!J249</f>
        <v>9.9776610555966198E-3</v>
      </c>
      <c r="F435">
        <f>100/('BOBOT PEK'!V249-'BOBOT PEK'!U249+1)</f>
        <v>50</v>
      </c>
      <c r="G435">
        <f t="shared" si="12"/>
        <v>4.9888305277983099E-3</v>
      </c>
      <c r="H435">
        <f>MIN(100,($A435-'BOBOT PEK'!U249+1)/('BOBOT PEK'!V249-'BOBOT PEK'!U249+1)*100)</f>
        <v>100</v>
      </c>
      <c r="I435">
        <f>IFERROR(SUM(INDEX(TS!$M:$AB,71,1):INDEX(TS!$M:$AB,71,$A435))/TS!$L$61*100,0)</f>
        <v>23698.230439077797</v>
      </c>
      <c r="J435">
        <f t="shared" si="13"/>
        <v>0</v>
      </c>
      <c r="O435" t="str">
        <f>IF(I435&gt;=99.9,"COMPLETED",IF('BOBOT PEK'!U249&gt;$J$7,"NOT STARTED",IF('BOBOT PEK'!V249&lt;$J$7,"CRITICAL",IF(I435+1&lt;H435,"DELAYED","ON SCHEDULE"))))</f>
        <v>COMPLETED</v>
      </c>
      <c r="Q435" t="str">
        <f>IFERROR(IF(AND($A435=$B$8,'BOBOT PEK'!U249&lt;=$B$8,$B$8&lt;='BOBOT PEK'!V249),COUNTIFS($A$17:$A435,$B$8),""),"")</f>
        <v/>
      </c>
    </row>
    <row r="436" spans="1:17" ht="12.75" customHeight="1" x14ac:dyDescent="0.2">
      <c r="A436">
        <f>IFERROR(IF(COUNTIF($C$17:C436,C436)&lt;=('BOBOT PEK'!V250-'BOBOT PEK'!U250+1),'BOBOT PEK'!U250+COUNTIF($C$17:C436,C436)-1,0),0)</f>
        <v>10</v>
      </c>
      <c r="B436" t="str">
        <f>IFERROR(TEXT(INDEX('KALENDER MINGGU'!$B$6:$B$21,$A436),"dd/mm")&amp;" - "&amp;TEXT(INDEX('KALENDER MINGGU'!$C$6:$C$21,$A436),"dd/mm"),"")</f>
        <v>24/09 - 30/09</v>
      </c>
      <c r="C436" t="s">
        <v>562</v>
      </c>
      <c r="D436" t="str">
        <f>'BOBOT PEK'!C250</f>
        <v>penggantian atap rg tunggu driver</v>
      </c>
      <c r="E436" s="241">
        <f>'BOBOT PEK'!J250</f>
        <v>0.19955322111193238</v>
      </c>
      <c r="F436">
        <f>100/('BOBOT PEK'!V250-'BOBOT PEK'!U250+1)</f>
        <v>50</v>
      </c>
      <c r="G436">
        <f t="shared" si="12"/>
        <v>9.9776610555966191E-2</v>
      </c>
      <c r="H436">
        <f>MIN(100,($A436-'BOBOT PEK'!U250+1)/('BOBOT PEK'!V250-'BOBOT PEK'!U250+1)*100)</f>
        <v>100</v>
      </c>
      <c r="I436">
        <f>IFERROR(SUM(INDEX(TS!$M:$AB,71,1):INDEX(TS!$M:$AB,71,$A436))/TS!$L$61*100,0)</f>
        <v>23698.230439077797</v>
      </c>
      <c r="J436">
        <f t="shared" si="13"/>
        <v>0</v>
      </c>
      <c r="O436" t="str">
        <f>IF(I436&gt;=99.9,"COMPLETED",IF('BOBOT PEK'!U250&gt;$J$7,"NOT STARTED",IF('BOBOT PEK'!V250&lt;$J$7,"CRITICAL",IF(I436+1&lt;H436,"DELAYED","ON SCHEDULE"))))</f>
        <v>COMPLETED</v>
      </c>
      <c r="Q436" t="str">
        <f>IFERROR(IF(AND($A436=$B$8,'BOBOT PEK'!U250&lt;=$B$8,$B$8&lt;='BOBOT PEK'!V250),COUNTIFS($A$17:$A436,$B$8),""),"")</f>
        <v/>
      </c>
    </row>
    <row r="437" spans="1:17" ht="12.75" customHeight="1" x14ac:dyDescent="0.2">
      <c r="A437">
        <f>IFERROR(IF(COUNTIF($C$17:C437,C437)&lt;=('BOBOT PEK'!V26-'BOBOT PEK'!U26+1),'BOBOT PEK'!U26+COUNTIF($C$17:C437,C437)-1,0),0)</f>
        <v>11</v>
      </c>
      <c r="B437" t="str">
        <f>IFERROR(TEXT(INDEX('KALENDER MINGGU'!$B$6:$B$21,$A437),"dd/mm")&amp;" - "&amp;TEXT(INDEX('KALENDER MINGGU'!$C$6:$C$21,$A437),"dd/mm"),"")</f>
        <v>01/10 - 07/10</v>
      </c>
      <c r="C437" t="s">
        <v>433</v>
      </c>
      <c r="D437" t="str">
        <f>'BOBOT PEK'!C26</f>
        <v>Cor ulang lantai gudang utama sisi pintu dalam (4mx5m)</v>
      </c>
      <c r="E437" s="241">
        <f>'BOBOT PEK'!J26</f>
        <v>1.6885272555625046</v>
      </c>
      <c r="F437">
        <f>100/('BOBOT PEK'!V26-'BOBOT PEK'!U26+1)</f>
        <v>33.333333333333336</v>
      </c>
      <c r="G437">
        <f t="shared" si="12"/>
        <v>0.56284241852083494</v>
      </c>
      <c r="H437">
        <f>MIN(100,($A437-'BOBOT PEK'!U26+1)/('BOBOT PEK'!V26-'BOBOT PEK'!U26+1)*100)</f>
        <v>100</v>
      </c>
      <c r="I437">
        <f>IFERROR(SUM(INDEX(TS!$M:$AB,25,1):INDEX(TS!$M:$AB,25,$A437))/TS!$L$15*100,0)</f>
        <v>6.3585114450039812</v>
      </c>
      <c r="J437">
        <f t="shared" si="13"/>
        <v>93.641488554996016</v>
      </c>
      <c r="O437" t="str">
        <f ca="1">IF(I437&gt;=99.9,"COMPLETED",IF('BOBOT PEK'!U26&gt;$J$7,"NOT STARTED",IF('BOBOT PEK'!V26&lt;$J$7,"CRITICAL",IF(I437+1&lt;H437,"DELAYED","ON SCHEDULE"))))</f>
        <v>DELAYED</v>
      </c>
      <c r="Q437" t="str">
        <f>IFERROR(IF(AND($A437=$B$8,'BOBOT PEK'!U26&lt;=$B$8,$B$8&lt;='BOBOT PEK'!V26),COUNTIFS($A$17:$A437,$B$8),""),"")</f>
        <v/>
      </c>
    </row>
    <row r="438" spans="1:17" ht="12.75" customHeight="1" x14ac:dyDescent="0.2">
      <c r="A438">
        <f>IFERROR(IF(COUNTIF($C$17:C438,C438)&lt;=('BOBOT PEK'!V77-'BOBOT PEK'!U77+1),'BOBOT PEK'!U77+COUNTIF($C$17:C438,C438)-1,0),0)</f>
        <v>11</v>
      </c>
      <c r="B438" t="str">
        <f>IFERROR(TEXT(INDEX('KALENDER MINGGU'!$B$6:$B$21,$A438),"dd/mm")&amp;" - "&amp;TEXT(INDEX('KALENDER MINGGU'!$C$6:$C$21,$A438),"dd/mm"),"")</f>
        <v>01/10 - 07/10</v>
      </c>
      <c r="C438" t="s">
        <v>464</v>
      </c>
      <c r="D438" t="str">
        <f>'BOBOT PEK'!C77</f>
        <v xml:space="preserve">Pengupasan aspal existing </v>
      </c>
      <c r="E438" s="241">
        <f>'BOBOT PEK'!J77</f>
        <v>3.3576108639397444</v>
      </c>
      <c r="F438">
        <f>100/('BOBOT PEK'!V77-'BOBOT PEK'!U77+1)</f>
        <v>6.25</v>
      </c>
      <c r="G438">
        <f t="shared" si="12"/>
        <v>0.20985067899623402</v>
      </c>
      <c r="H438">
        <f>MIN(100,($A438-'BOBOT PEK'!U77+1)/('BOBOT PEK'!V77-'BOBOT PEK'!U77+1)*100)</f>
        <v>68.75</v>
      </c>
      <c r="I438">
        <f>IFERROR(SUM(INDEX(TS!$M:$AB,37,1):INDEX(TS!$M:$AB,37,$A438))/TS!$L$27*100,0)</f>
        <v>1.7399959410060319</v>
      </c>
      <c r="J438">
        <f t="shared" si="13"/>
        <v>98.260004058993971</v>
      </c>
      <c r="O438" t="str">
        <f ca="1">IF(I438&gt;=99.9,"COMPLETED",IF('BOBOT PEK'!U77&gt;$J$7,"NOT STARTED",IF('BOBOT PEK'!V77&lt;$J$7,"CRITICAL",IF(I438+1&lt;H438,"DELAYED","ON SCHEDULE"))))</f>
        <v>DELAYED</v>
      </c>
      <c r="Q438" t="str">
        <f>IFERROR(IF(AND($A438=$B$8,'BOBOT PEK'!U77&lt;=$B$8,$B$8&lt;='BOBOT PEK'!V77),COUNTIFS($A$17:$A438,$B$8),""),"")</f>
        <v/>
      </c>
    </row>
    <row r="439" spans="1:17" ht="12.75" customHeight="1" x14ac:dyDescent="0.2">
      <c r="A439">
        <f>IFERROR(IF(COUNTIF($C$17:C439,C439)&lt;=('BOBOT PEK'!V78-'BOBOT PEK'!U78+1),'BOBOT PEK'!U78+COUNTIF($C$17:C439,C439)-1,0),0)</f>
        <v>11</v>
      </c>
      <c r="B439" t="str">
        <f>IFERROR(TEXT(INDEX('KALENDER MINGGU'!$B$6:$B$21,$A439),"dd/mm")&amp;" - "&amp;TEXT(INDEX('KALENDER MINGGU'!$C$6:$C$21,$A439),"dd/mm"),"")</f>
        <v>01/10 - 07/10</v>
      </c>
      <c r="C439" t="s">
        <v>465</v>
      </c>
      <c r="D439" t="str">
        <f>'BOBOT PEK'!C78</f>
        <v xml:space="preserve">Pengupasan beton existing </v>
      </c>
      <c r="E439" s="241">
        <f>'BOBOT PEK'!J78</f>
        <v>1.9430855312117006</v>
      </c>
      <c r="F439">
        <f>100/('BOBOT PEK'!V78-'BOBOT PEK'!U78+1)</f>
        <v>6.25</v>
      </c>
      <c r="G439">
        <f t="shared" si="12"/>
        <v>0.12144284570073129</v>
      </c>
      <c r="H439">
        <f>MIN(100,($A439-'BOBOT PEK'!U78+1)/('BOBOT PEK'!V78-'BOBOT PEK'!U78+1)*100)</f>
        <v>68.75</v>
      </c>
      <c r="I439">
        <f>IFERROR(SUM(INDEX(TS!$M:$AB,37,1):INDEX(TS!$M:$AB,37,$A439))/TS!$L$27*100,0)</f>
        <v>1.7399959410060319</v>
      </c>
      <c r="J439">
        <f t="shared" si="13"/>
        <v>98.260004058993971</v>
      </c>
      <c r="O439" t="str">
        <f ca="1">IF(I439&gt;=99.9,"COMPLETED",IF('BOBOT PEK'!U78&gt;$J$7,"NOT STARTED",IF('BOBOT PEK'!V78&lt;$J$7,"CRITICAL",IF(I439+1&lt;H439,"DELAYED","ON SCHEDULE"))))</f>
        <v>DELAYED</v>
      </c>
      <c r="Q439" t="str">
        <f>IFERROR(IF(AND($A439=$B$8,'BOBOT PEK'!U78&lt;=$B$8,$B$8&lt;='BOBOT PEK'!V78),COUNTIFS($A$17:$A439,$B$8),""),"")</f>
        <v/>
      </c>
    </row>
    <row r="440" spans="1:17" ht="12.75" customHeight="1" x14ac:dyDescent="0.2">
      <c r="A440">
        <f>IFERROR(IF(COUNTIF($C$17:C440,C440)&lt;=('BOBOT PEK'!V79-'BOBOT PEK'!U79+1),'BOBOT PEK'!U79+COUNTIF($C$17:C440,C440)-1,0),0)</f>
        <v>11</v>
      </c>
      <c r="B440" t="str">
        <f>IFERROR(TEXT(INDEX('KALENDER MINGGU'!$B$6:$B$21,$A440),"dd/mm")&amp;" - "&amp;TEXT(INDEX('KALENDER MINGGU'!$C$6:$C$21,$A440),"dd/mm"),"")</f>
        <v>01/10 - 07/10</v>
      </c>
      <c r="C440" t="s">
        <v>466</v>
      </c>
      <c r="D440" t="str">
        <f>'BOBOT PEK'!C79</f>
        <v>Pembuangan puing sewa truk</v>
      </c>
      <c r="E440" s="241">
        <f>'BOBOT PEK'!J79</f>
        <v>3.3766707549305637</v>
      </c>
      <c r="F440">
        <f>100/('BOBOT PEK'!V79-'BOBOT PEK'!U79+1)</f>
        <v>6.25</v>
      </c>
      <c r="G440">
        <f t="shared" si="12"/>
        <v>0.21104192218316023</v>
      </c>
      <c r="H440">
        <f>MIN(100,($A440-'BOBOT PEK'!U79+1)/('BOBOT PEK'!V79-'BOBOT PEK'!U79+1)*100)</f>
        <v>68.75</v>
      </c>
      <c r="I440">
        <f>IFERROR(SUM(INDEX(TS!$M:$AB,37,1):INDEX(TS!$M:$AB,37,$A440))/TS!$L$27*100,0)</f>
        <v>1.7399959410060319</v>
      </c>
      <c r="J440">
        <f t="shared" si="13"/>
        <v>98.260004058993971</v>
      </c>
      <c r="O440" t="str">
        <f ca="1">IF(I440&gt;=99.9,"COMPLETED",IF('BOBOT PEK'!U79&gt;$J$7,"NOT STARTED",IF('BOBOT PEK'!V79&lt;$J$7,"CRITICAL",IF(I440+1&lt;H440,"DELAYED","ON SCHEDULE"))))</f>
        <v>DELAYED</v>
      </c>
      <c r="Q440" t="str">
        <f>IFERROR(IF(AND($A440=$B$8,'BOBOT PEK'!U79&lt;=$B$8,$B$8&lt;='BOBOT PEK'!V79),COUNTIFS($A$17:$A440,$B$8),""),"")</f>
        <v/>
      </c>
    </row>
    <row r="441" spans="1:17" ht="12.75" customHeight="1" x14ac:dyDescent="0.2">
      <c r="A441">
        <f>IFERROR(IF(COUNTIF($C$17:C441,C441)&lt;=('BOBOT PEK'!V80-'BOBOT PEK'!U80+1),'BOBOT PEK'!U80+COUNTIF($C$17:C441,C441)-1,0),0)</f>
        <v>11</v>
      </c>
      <c r="B441" t="str">
        <f>IFERROR(TEXT(INDEX('KALENDER MINGGU'!$B$6:$B$21,$A441),"dd/mm")&amp;" - "&amp;TEXT(INDEX('KALENDER MINGGU'!$C$6:$C$21,$A441),"dd/mm"),"")</f>
        <v>01/10 - 07/10</v>
      </c>
      <c r="C441" t="s">
        <v>467</v>
      </c>
      <c r="D441" t="str">
        <f>'BOBOT PEK'!C80</f>
        <v>Besi 13 ulir , kotak 30x30cm</v>
      </c>
      <c r="E441" s="241">
        <f>'BOBOT PEK'!J80</f>
        <v>15.224105695407308</v>
      </c>
      <c r="F441">
        <f>100/('BOBOT PEK'!V80-'BOBOT PEK'!U80+1)</f>
        <v>6.25</v>
      </c>
      <c r="G441">
        <f t="shared" si="12"/>
        <v>0.95150660596295678</v>
      </c>
      <c r="H441">
        <f>MIN(100,($A441-'BOBOT PEK'!U80+1)/('BOBOT PEK'!V80-'BOBOT PEK'!U80+1)*100)</f>
        <v>68.75</v>
      </c>
      <c r="I441">
        <f>IFERROR(SUM(INDEX(TS!$M:$AB,37,1):INDEX(TS!$M:$AB,37,$A441))/TS!$L$27*100,0)</f>
        <v>1.7399959410060319</v>
      </c>
      <c r="J441">
        <f t="shared" si="13"/>
        <v>98.260004058993971</v>
      </c>
      <c r="O441" t="str">
        <f ca="1">IF(I441&gt;=99.9,"COMPLETED",IF('BOBOT PEK'!U80&gt;$J$7,"NOT STARTED",IF('BOBOT PEK'!V80&lt;$J$7,"CRITICAL",IF(I441+1&lt;H441,"DELAYED","ON SCHEDULE"))))</f>
        <v>DELAYED</v>
      </c>
      <c r="Q441" t="str">
        <f>IFERROR(IF(AND($A441=$B$8,'BOBOT PEK'!U80&lt;=$B$8,$B$8&lt;='BOBOT PEK'!V80),COUNTIFS($A$17:$A441,$B$8),""),"")</f>
        <v/>
      </c>
    </row>
    <row r="442" spans="1:17" ht="12.75" customHeight="1" x14ac:dyDescent="0.2">
      <c r="A442">
        <f>IFERROR(IF(COUNTIF($C$17:C442,C442)&lt;=('BOBOT PEK'!V81-'BOBOT PEK'!U81+1),'BOBOT PEK'!U81+COUNTIF($C$17:C442,C442)-1,0),0)</f>
        <v>11</v>
      </c>
      <c r="B442" t="str">
        <f>IFERROR(TEXT(INDEX('KALENDER MINGGU'!$B$6:$B$21,$A442),"dd/mm")&amp;" - "&amp;TEXT(INDEX('KALENDER MINGGU'!$C$6:$C$21,$A442),"dd/mm"),"")</f>
        <v>01/10 - 07/10</v>
      </c>
      <c r="C442" t="s">
        <v>468</v>
      </c>
      <c r="D442" t="str">
        <f>'BOBOT PEK'!C81</f>
        <v>Cor ready mix K-350 (tanpa trowel dan line cutting)</v>
      </c>
      <c r="E442" s="241">
        <f>'BOBOT PEK'!J81</f>
        <v>18.885237150790225</v>
      </c>
      <c r="F442">
        <f>100/('BOBOT PEK'!V81-'BOBOT PEK'!U81+1)</f>
        <v>6.25</v>
      </c>
      <c r="G442">
        <f t="shared" si="12"/>
        <v>1.1803273219243891</v>
      </c>
      <c r="H442">
        <f>MIN(100,($A442-'BOBOT PEK'!U81+1)/('BOBOT PEK'!V81-'BOBOT PEK'!U81+1)*100)</f>
        <v>68.75</v>
      </c>
      <c r="I442">
        <f>IFERROR(SUM(INDEX(TS!$M:$AB,37,1):INDEX(TS!$M:$AB,37,$A442))/TS!$L$27*100,0)</f>
        <v>1.7399959410060319</v>
      </c>
      <c r="J442">
        <f t="shared" si="13"/>
        <v>98.260004058993971</v>
      </c>
      <c r="O442" t="str">
        <f ca="1">IF(I442&gt;=99.9,"COMPLETED",IF('BOBOT PEK'!U81&gt;$J$7,"NOT STARTED",IF('BOBOT PEK'!V81&lt;$J$7,"CRITICAL",IF(I442+1&lt;H442,"DELAYED","ON SCHEDULE"))))</f>
        <v>DELAYED</v>
      </c>
      <c r="Q442" t="str">
        <f>IFERROR(IF(AND($A442=$B$8,'BOBOT PEK'!U81&lt;=$B$8,$B$8&lt;='BOBOT PEK'!V81),COUNTIFS($A$17:$A442,$B$8),""),"")</f>
        <v/>
      </c>
    </row>
    <row r="443" spans="1:17" ht="12.75" customHeight="1" x14ac:dyDescent="0.2">
      <c r="A443">
        <f>IFERROR(IF(COUNTIF($C$17:C443,C443)&lt;=('BOBOT PEK'!V85-'BOBOT PEK'!U85+1),'BOBOT PEK'!U85+COUNTIF($C$17:C443,C443)-1,0),0)</f>
        <v>11</v>
      </c>
      <c r="B443" t="str">
        <f>IFERROR(TEXT(INDEX('KALENDER MINGGU'!$B$6:$B$21,$A443),"dd/mm")&amp;" - "&amp;TEXT(INDEX('KALENDER MINGGU'!$C$6:$C$21,$A443),"dd/mm"),"")</f>
        <v>01/10 - 07/10</v>
      </c>
      <c r="C443" t="s">
        <v>469</v>
      </c>
      <c r="D443" t="str">
        <f>'BOBOT PEK'!C85</f>
        <v>Pekerjaan refinishing dinding pagar timur &amp; utara</v>
      </c>
      <c r="E443" s="241">
        <f>'BOBOT PEK'!J85</f>
        <v>1.0803504386044462</v>
      </c>
      <c r="F443">
        <f>100/('BOBOT PEK'!V85-'BOBOT PEK'!U85+1)</f>
        <v>10</v>
      </c>
      <c r="G443">
        <f t="shared" si="12"/>
        <v>0.10803504386044463</v>
      </c>
      <c r="H443">
        <f>MIN(100,($A443-'BOBOT PEK'!U85+1)/('BOBOT PEK'!V85-'BOBOT PEK'!U85+1)*100)</f>
        <v>70</v>
      </c>
      <c r="I443">
        <f>IFERROR(SUM(INDEX(TS!$M:$AB,39,1):INDEX(TS!$M:$AB,39,$A443))/TS!$L$29*100,0)</f>
        <v>26.078611366101978</v>
      </c>
      <c r="J443">
        <f t="shared" si="13"/>
        <v>73.921388633898019</v>
      </c>
      <c r="O443" t="str">
        <f ca="1">IF(I443&gt;=99.9,"COMPLETED",IF('BOBOT PEK'!U85&gt;$J$7,"NOT STARTED",IF('BOBOT PEK'!V85&lt;$J$7,"CRITICAL",IF(I443+1&lt;H443,"DELAYED","ON SCHEDULE"))))</f>
        <v>DELAYED</v>
      </c>
      <c r="Q443" t="str">
        <f>IFERROR(IF(AND($A443=$B$8,'BOBOT PEK'!U85&lt;=$B$8,$B$8&lt;='BOBOT PEK'!V85),COUNTIFS($A$17:$A443,$B$8),""),"")</f>
        <v/>
      </c>
    </row>
    <row r="444" spans="1:17" ht="12.75" customHeight="1" x14ac:dyDescent="0.2">
      <c r="A444">
        <f>IFERROR(IF(COUNTIF($C$17:C444,C444)&lt;=('BOBOT PEK'!V86-'BOBOT PEK'!U86+1),'BOBOT PEK'!U86+COUNTIF($C$17:C444,C444)-1,0),0)</f>
        <v>11</v>
      </c>
      <c r="B444" t="str">
        <f>IFERROR(TEXT(INDEX('KALENDER MINGGU'!$B$6:$B$21,$A444),"dd/mm")&amp;" - "&amp;TEXT(INDEX('KALENDER MINGGU'!$C$6:$C$21,$A444),"dd/mm"),"")</f>
        <v>01/10 - 07/10</v>
      </c>
      <c r="C444" t="s">
        <v>470</v>
      </c>
      <c r="D444" t="str">
        <f>'BOBOT PEK'!C86</f>
        <v>Pekerjaan refinishing dinding barat</v>
      </c>
      <c r="E444" s="241">
        <f>'BOBOT PEK'!J86</f>
        <v>0.75906975261423504</v>
      </c>
      <c r="F444">
        <f>100/('BOBOT PEK'!V86-'BOBOT PEK'!U86+1)</f>
        <v>10</v>
      </c>
      <c r="G444">
        <f t="shared" si="12"/>
        <v>7.5906975261423509E-2</v>
      </c>
      <c r="H444">
        <f>MIN(100,($A444-'BOBOT PEK'!U86+1)/('BOBOT PEK'!V86-'BOBOT PEK'!U86+1)*100)</f>
        <v>70</v>
      </c>
      <c r="I444">
        <f>IFERROR(SUM(INDEX(TS!$M:$AB,39,1):INDEX(TS!$M:$AB,39,$A444))/TS!$L$29*100,0)</f>
        <v>26.078611366101978</v>
      </c>
      <c r="J444">
        <f t="shared" si="13"/>
        <v>73.921388633898019</v>
      </c>
      <c r="O444" t="str">
        <f ca="1">IF(I444&gt;=99.9,"COMPLETED",IF('BOBOT PEK'!U86&gt;$J$7,"NOT STARTED",IF('BOBOT PEK'!V86&lt;$J$7,"CRITICAL",IF(I444+1&lt;H444,"DELAYED","ON SCHEDULE"))))</f>
        <v>DELAYED</v>
      </c>
      <c r="Q444" t="str">
        <f>IFERROR(IF(AND($A444=$B$8,'BOBOT PEK'!U86&lt;=$B$8,$B$8&lt;='BOBOT PEK'!V86),COUNTIFS($A$17:$A444,$B$8),""),"")</f>
        <v/>
      </c>
    </row>
    <row r="445" spans="1:17" ht="12.75" customHeight="1" x14ac:dyDescent="0.2">
      <c r="A445">
        <f>IFERROR(IF(COUNTIF($C$17:C445,C445)&lt;=('BOBOT PEK'!V118-'BOBOT PEK'!U118+1),'BOBOT PEK'!U118+COUNTIF($C$17:C445,C445)-1,0),0)</f>
        <v>7</v>
      </c>
      <c r="B445" t="str">
        <f>IFERROR(TEXT(INDEX('KALENDER MINGGU'!$B$6:$B$21,$A445),"dd/mm")&amp;" - "&amp;TEXT(INDEX('KALENDER MINGGU'!$C$6:$C$21,$A445),"dd/mm"),"")</f>
        <v>03/09 - 09/09</v>
      </c>
      <c r="C445" t="s">
        <v>491</v>
      </c>
      <c r="D445" t="str">
        <f>'BOBOT PEK'!C118</f>
        <v>Instalasi penerangan lampu PJU</v>
      </c>
      <c r="E445" s="241">
        <f>'BOBOT PEK'!J118</f>
        <v>0.60172971289136523</v>
      </c>
      <c r="F445">
        <f>100/('BOBOT PEK'!V118-'BOBOT PEK'!U118+1)</f>
        <v>33.333333333333336</v>
      </c>
      <c r="G445">
        <f t="shared" si="12"/>
        <v>0.20057657096378842</v>
      </c>
      <c r="H445">
        <f>MIN(100,($A445-'BOBOT PEK'!U118+1)/('BOBOT PEK'!V118-'BOBOT PEK'!U118+1)*100)</f>
        <v>33.333333333333329</v>
      </c>
      <c r="I445">
        <f>IFERROR(SUM(INDEX(TS!$M:$AB,45,1):INDEX(TS!$M:$AB,45,$A445))/TS!$L$35*100,0)</f>
        <v>20.979699911738749</v>
      </c>
      <c r="J445">
        <f t="shared" si="13"/>
        <v>79.020300088261251</v>
      </c>
      <c r="O445" t="str">
        <f ca="1">IF(I445&gt;=99.9,"COMPLETED",IF('BOBOT PEK'!U118&gt;$J$7,"NOT STARTED",IF('BOBOT PEK'!V118&lt;$J$7,"CRITICAL",IF(I445+1&lt;H445,"DELAYED","ON SCHEDULE"))))</f>
        <v>CRITICAL</v>
      </c>
      <c r="Q445" t="str">
        <f>IFERROR(IF(AND($A445=$B$8,'BOBOT PEK'!U118&lt;=$B$8,$B$8&lt;='BOBOT PEK'!V118),COUNTIFS($A$17:$A445,$B$8),""),"")</f>
        <v/>
      </c>
    </row>
    <row r="446" spans="1:17" ht="12.75" customHeight="1" x14ac:dyDescent="0.2">
      <c r="A446">
        <f>IFERROR(IF(COUNTIF($C$17:C446,C446)&lt;=('BOBOT PEK'!V119-'BOBOT PEK'!U119+1),'BOBOT PEK'!U119+COUNTIF($C$17:C446,C446)-1,0),0)</f>
        <v>7</v>
      </c>
      <c r="B446" t="str">
        <f>IFERROR(TEXT(INDEX('KALENDER MINGGU'!$B$6:$B$21,$A446),"dd/mm")&amp;" - "&amp;TEXT(INDEX('KALENDER MINGGU'!$C$6:$C$21,$A446),"dd/mm"),"")</f>
        <v>03/09 - 09/09</v>
      </c>
      <c r="C446" t="s">
        <v>492</v>
      </c>
      <c r="D446" t="str">
        <f>'BOBOT PEK'!C119</f>
        <v>Pasang lampu PJU</v>
      </c>
      <c r="E446" s="241">
        <f>'BOBOT PEK'!J119</f>
        <v>0.51935004981695221</v>
      </c>
      <c r="F446">
        <f>100/('BOBOT PEK'!V119-'BOBOT PEK'!U119+1)</f>
        <v>33.333333333333336</v>
      </c>
      <c r="G446">
        <f t="shared" si="12"/>
        <v>0.17311668327231741</v>
      </c>
      <c r="H446">
        <f>MIN(100,($A446-'BOBOT PEK'!U119+1)/('BOBOT PEK'!V119-'BOBOT PEK'!U119+1)*100)</f>
        <v>33.333333333333329</v>
      </c>
      <c r="I446">
        <f>IFERROR(SUM(INDEX(TS!$M:$AB,45,1):INDEX(TS!$M:$AB,45,$A446))/TS!$L$35*100,0)</f>
        <v>20.979699911738749</v>
      </c>
      <c r="J446">
        <f t="shared" si="13"/>
        <v>79.020300088261251</v>
      </c>
      <c r="O446" t="str">
        <f ca="1">IF(I446&gt;=99.9,"COMPLETED",IF('BOBOT PEK'!U119&gt;$J$7,"NOT STARTED",IF('BOBOT PEK'!V119&lt;$J$7,"CRITICAL",IF(I446+1&lt;H446,"DELAYED","ON SCHEDULE"))))</f>
        <v>CRITICAL</v>
      </c>
      <c r="Q446" t="str">
        <f>IFERROR(IF(AND($A446=$B$8,'BOBOT PEK'!U119&lt;=$B$8,$B$8&lt;='BOBOT PEK'!V119),COUNTIFS($A$17:$A446,$B$8),""),"")</f>
        <v/>
      </c>
    </row>
    <row r="447" spans="1:17" ht="12.75" customHeight="1" x14ac:dyDescent="0.2">
      <c r="A447">
        <f>IFERROR(IF(COUNTIF($C$17:C447,C447)&lt;=('BOBOT PEK'!V120-'BOBOT PEK'!U120+1),'BOBOT PEK'!U120+COUNTIF($C$17:C447,C447)-1,0),0)</f>
        <v>7</v>
      </c>
      <c r="B447" t="str">
        <f>IFERROR(TEXT(INDEX('KALENDER MINGGU'!$B$6:$B$21,$A447),"dd/mm")&amp;" - "&amp;TEXT(INDEX('KALENDER MINGGU'!$C$6:$C$21,$A447),"dd/mm"),"")</f>
        <v>03/09 - 09/09</v>
      </c>
      <c r="C447" t="s">
        <v>493</v>
      </c>
      <c r="D447" t="str">
        <f>'BOBOT PEK'!C120</f>
        <v>Terminasi kabel ke panel dan test merger</v>
      </c>
      <c r="E447" s="241">
        <f>'BOBOT PEK'!J120</f>
        <v>3.8375619444602382E-2</v>
      </c>
      <c r="F447">
        <f>100/('BOBOT PEK'!V120-'BOBOT PEK'!U120+1)</f>
        <v>33.333333333333336</v>
      </c>
      <c r="G447">
        <f t="shared" si="12"/>
        <v>1.2791873148200796E-2</v>
      </c>
      <c r="H447">
        <f>MIN(100,($A447-'BOBOT PEK'!U120+1)/('BOBOT PEK'!V120-'BOBOT PEK'!U120+1)*100)</f>
        <v>33.333333333333329</v>
      </c>
      <c r="I447">
        <f>IFERROR(SUM(INDEX(TS!$M:$AB,45,1):INDEX(TS!$M:$AB,45,$A447))/TS!$L$35*100,0)</f>
        <v>20.979699911738749</v>
      </c>
      <c r="J447">
        <f t="shared" si="13"/>
        <v>79.020300088261251</v>
      </c>
      <c r="O447" t="str">
        <f ca="1">IF(I447&gt;=99.9,"COMPLETED",IF('BOBOT PEK'!U120&gt;$J$7,"NOT STARTED",IF('BOBOT PEK'!V120&lt;$J$7,"CRITICAL",IF(I447+1&lt;H447,"DELAYED","ON SCHEDULE"))))</f>
        <v>CRITICAL</v>
      </c>
      <c r="Q447" t="str">
        <f>IFERROR(IF(AND($A447=$B$8,'BOBOT PEK'!U120&lt;=$B$8,$B$8&lt;='BOBOT PEK'!V120),COUNTIFS($A$17:$A447,$B$8),""),"")</f>
        <v/>
      </c>
    </row>
    <row r="448" spans="1:17" ht="12.75" customHeight="1" x14ac:dyDescent="0.2">
      <c r="A448">
        <f>IFERROR(IF(COUNTIF($C$17:C448,C448)&lt;=('BOBOT PEK'!V124-'BOBOT PEK'!U124+1),'BOBOT PEK'!U124+COUNTIF($C$17:C448,C448)-1,0),0)</f>
        <v>11</v>
      </c>
      <c r="B448" t="str">
        <f>IFERROR(TEXT(INDEX('KALENDER MINGGU'!$B$6:$B$21,$A448),"dd/mm")&amp;" - "&amp;TEXT(INDEX('KALENDER MINGGU'!$C$6:$C$21,$A448),"dd/mm"),"")</f>
        <v>01/10 - 07/10</v>
      </c>
      <c r="C448" t="s">
        <v>494</v>
      </c>
      <c r="D448" t="str">
        <f>'BOBOT PEK'!C124</f>
        <v>Perbaikan dan leveling dasar got</v>
      </c>
      <c r="E448" s="241">
        <f>'BOBOT PEK'!J124</f>
        <v>0.49120792889091047</v>
      </c>
      <c r="F448">
        <f>100/('BOBOT PEK'!V124-'BOBOT PEK'!U124+1)</f>
        <v>33.333333333333336</v>
      </c>
      <c r="G448">
        <f t="shared" si="12"/>
        <v>0.16373597629697018</v>
      </c>
      <c r="H448">
        <f>MIN(100,($A448-'BOBOT PEK'!U124+1)/('BOBOT PEK'!V124-'BOBOT PEK'!U124+1)*100)</f>
        <v>66.666666666666657</v>
      </c>
      <c r="I448">
        <f>IFERROR(SUM(INDEX(TS!$M:$AB,47,1):INDEX(TS!$M:$AB,47,$A448))/TS!$L$37*100,0)</f>
        <v>30.051546391752581</v>
      </c>
      <c r="J448">
        <f t="shared" si="13"/>
        <v>69.948453608247419</v>
      </c>
      <c r="O448" t="str">
        <f ca="1">IF(I448&gt;=99.9,"COMPLETED",IF('BOBOT PEK'!U124&gt;$J$7,"NOT STARTED",IF('BOBOT PEK'!V124&lt;$J$7,"CRITICAL",IF(I448+1&lt;H448,"DELAYED","ON SCHEDULE"))))</f>
        <v>DELAYED</v>
      </c>
      <c r="Q448" t="str">
        <f>IFERROR(IF(AND($A448=$B$8,'BOBOT PEK'!U124&lt;=$B$8,$B$8&lt;='BOBOT PEK'!V124),COUNTIFS($A$17:$A448,$B$8),""),"")</f>
        <v/>
      </c>
    </row>
    <row r="449" spans="1:17" ht="12.75" customHeight="1" x14ac:dyDescent="0.2">
      <c r="A449">
        <f>IFERROR(IF(COUNTIF($C$17:C449,C449)&lt;=('BOBOT PEK'!V126-'BOBOT PEK'!U126+1),'BOBOT PEK'!U126+COUNTIF($C$17:C449,C449)-1,0),0)</f>
        <v>11</v>
      </c>
      <c r="B449" t="str">
        <f>IFERROR(TEXT(INDEX('KALENDER MINGGU'!$B$6:$B$21,$A449),"dd/mm")&amp;" - "&amp;TEXT(INDEX('KALENDER MINGGU'!$C$6:$C$21,$A449),"dd/mm"),"")</f>
        <v>01/10 - 07/10</v>
      </c>
      <c r="C449" t="s">
        <v>496</v>
      </c>
      <c r="D449" t="str">
        <f>'BOBOT PEK'!C126</f>
        <v>Pembuatan selokan tepi teras sisi selatan office &amp; loading dock</v>
      </c>
      <c r="E449" s="241">
        <f>'BOBOT PEK'!J126</f>
        <v>0.629360158891479</v>
      </c>
      <c r="F449">
        <f>100/('BOBOT PEK'!V126-'BOBOT PEK'!U126+1)</f>
        <v>33.333333333333336</v>
      </c>
      <c r="G449">
        <f t="shared" si="12"/>
        <v>0.20978671963049303</v>
      </c>
      <c r="H449">
        <f>MIN(100,($A449-'BOBOT PEK'!U126+1)/('BOBOT PEK'!V126-'BOBOT PEK'!U126+1)*100)</f>
        <v>66.666666666666657</v>
      </c>
      <c r="I449">
        <f>IFERROR(SUM(INDEX(TS!$M:$AB,47,1):INDEX(TS!$M:$AB,47,$A449))/TS!$L$37*100,0)</f>
        <v>30.051546391752581</v>
      </c>
      <c r="J449">
        <f t="shared" si="13"/>
        <v>69.948453608247419</v>
      </c>
      <c r="O449" t="str">
        <f ca="1">IF(I449&gt;=99.9,"COMPLETED",IF('BOBOT PEK'!U126&gt;$J$7,"NOT STARTED",IF('BOBOT PEK'!V126&lt;$J$7,"CRITICAL",IF(I449+1&lt;H449,"DELAYED","ON SCHEDULE"))))</f>
        <v>DELAYED</v>
      </c>
      <c r="Q449" t="str">
        <f>IFERROR(IF(AND($A449=$B$8,'BOBOT PEK'!U126&lt;=$B$8,$B$8&lt;='BOBOT PEK'!V126),COUNTIFS($A$17:$A449,$B$8),""),"")</f>
        <v/>
      </c>
    </row>
    <row r="450" spans="1:17" ht="12.75" customHeight="1" x14ac:dyDescent="0.2">
      <c r="A450">
        <f>IFERROR(IF(COUNTIF($C$17:C450,C450)&lt;=('BOBOT PEK'!V130-'BOBOT PEK'!U130+1),'BOBOT PEK'!U130+COUNTIF($C$17:C450,C450)-1,0),0)</f>
        <v>11</v>
      </c>
      <c r="B450" t="str">
        <f>IFERROR(TEXT(INDEX('KALENDER MINGGU'!$B$6:$B$21,$A450),"dd/mm")&amp;" - "&amp;TEXT(INDEX('KALENDER MINGGU'!$C$6:$C$21,$A450),"dd/mm"),"")</f>
        <v>01/10 - 07/10</v>
      </c>
      <c r="C450" t="s">
        <v>498</v>
      </c>
      <c r="D450" t="str">
        <f>'BOBOT PEK'!C130</f>
        <v>Barrier parkir motor</v>
      </c>
      <c r="E450" s="241">
        <f>'BOBOT PEK'!J130</f>
        <v>0.13303548074128826</v>
      </c>
      <c r="F450">
        <f>100/('BOBOT PEK'!V130-'BOBOT PEK'!U130+1)</f>
        <v>33.333333333333336</v>
      </c>
      <c r="G450">
        <f t="shared" si="12"/>
        <v>4.4345160247096095E-2</v>
      </c>
      <c r="H450">
        <f>MIN(100,($A450-'BOBOT PEK'!U130+1)/('BOBOT PEK'!V130-'BOBOT PEK'!U130+1)*100)</f>
        <v>66.666666666666657</v>
      </c>
      <c r="I450">
        <f>IFERROR(SUM(INDEX(TS!$M:$AB,49,1):INDEX(TS!$M:$AB,49,$A450))/TS!$L$39*100,0)</f>
        <v>1149.4933333333331</v>
      </c>
      <c r="J450">
        <f t="shared" si="13"/>
        <v>0</v>
      </c>
      <c r="O450" t="str">
        <f>IF(I450&gt;=99.9,"COMPLETED",IF('BOBOT PEK'!U130&gt;$J$7,"NOT STARTED",IF('BOBOT PEK'!V130&lt;$J$7,"CRITICAL",IF(I450+1&lt;H450,"DELAYED","ON SCHEDULE"))))</f>
        <v>COMPLETED</v>
      </c>
      <c r="Q450" t="str">
        <f>IFERROR(IF(AND($A450=$B$8,'BOBOT PEK'!U130&lt;=$B$8,$B$8&lt;='BOBOT PEK'!V130),COUNTIFS($A$17:$A450,$B$8),""),"")</f>
        <v/>
      </c>
    </row>
    <row r="451" spans="1:17" ht="12.75" customHeight="1" x14ac:dyDescent="0.2">
      <c r="A451">
        <f>IFERROR(IF(COUNTIF($C$17:C451,C451)&lt;=('BOBOT PEK'!V175-'BOBOT PEK'!U175+1),'BOBOT PEK'!U175+COUNTIF($C$17:C451,C451)-1,0),0)</f>
        <v>11</v>
      </c>
      <c r="B451" t="str">
        <f>IFERROR(TEXT(INDEX('KALENDER MINGGU'!$B$6:$B$21,$A451),"dd/mm")&amp;" - "&amp;TEXT(INDEX('KALENDER MINGGU'!$C$6:$C$21,$A451),"dd/mm"),"")</f>
        <v>01/10 - 07/10</v>
      </c>
      <c r="C451" t="s">
        <v>516</v>
      </c>
      <c r="D451" t="str">
        <f>'BOBOT PEK'!C175</f>
        <v>perbaikan area tidak rata</v>
      </c>
      <c r="E451" s="241">
        <f>'BOBOT PEK'!J175</f>
        <v>0.13815223000056856</v>
      </c>
      <c r="F451">
        <f>100/('BOBOT PEK'!V175-'BOBOT PEK'!U175+1)</f>
        <v>25</v>
      </c>
      <c r="G451">
        <f t="shared" si="12"/>
        <v>3.453805750014214E-2</v>
      </c>
      <c r="H451">
        <f>MIN(100,($A451-'BOBOT PEK'!U175+1)/('BOBOT PEK'!V175-'BOBOT PEK'!U175+1)*100)</f>
        <v>75</v>
      </c>
      <c r="I451">
        <f>IFERROR(SUM(INDEX(TS!$M:$AB,56,1):INDEX(TS!$M:$AB,56,$A451))/TS!$L$46*100,0)</f>
        <v>24.30819316332067</v>
      </c>
      <c r="J451">
        <f t="shared" si="13"/>
        <v>75.691806836679334</v>
      </c>
      <c r="O451" t="str">
        <f ca="1">IF(I451&gt;=99.9,"COMPLETED",IF('BOBOT PEK'!U175&gt;$J$7,"NOT STARTED",IF('BOBOT PEK'!V175&lt;$J$7,"CRITICAL",IF(I451+1&lt;H451,"DELAYED","ON SCHEDULE"))))</f>
        <v>DELAYED</v>
      </c>
      <c r="Q451" t="str">
        <f>IFERROR(IF(AND($A451=$B$8,'BOBOT PEK'!U175&lt;=$B$8,$B$8&lt;='BOBOT PEK'!V175),COUNTIFS($A$17:$A451,$B$8),""),"")</f>
        <v/>
      </c>
    </row>
    <row r="452" spans="1:17" ht="12.75" customHeight="1" x14ac:dyDescent="0.2">
      <c r="A452">
        <f>IFERROR(IF(COUNTIF($C$17:C452,C452)&lt;=('BOBOT PEK'!V176-'BOBOT PEK'!U176+1),'BOBOT PEK'!U176+COUNTIF($C$17:C452,C452)-1,0),0)</f>
        <v>11</v>
      </c>
      <c r="B452" t="str">
        <f>IFERROR(TEXT(INDEX('KALENDER MINGGU'!$B$6:$B$21,$A452),"dd/mm")&amp;" - "&amp;TEXT(INDEX('KALENDER MINGGU'!$C$6:$C$21,$A452),"dd/mm"),"")</f>
        <v>01/10 - 07/10</v>
      </c>
      <c r="C452" t="s">
        <v>517</v>
      </c>
      <c r="D452" t="str">
        <f>'BOBOT PEK'!C176</f>
        <v>Pengacian ulang lantai kurang rata</v>
      </c>
      <c r="E452" s="241">
        <f>'BOBOT PEK'!J176</f>
        <v>0</v>
      </c>
      <c r="F452">
        <f>100/('BOBOT PEK'!V176-'BOBOT PEK'!U176+1)</f>
        <v>25</v>
      </c>
      <c r="G452">
        <f t="shared" si="12"/>
        <v>0</v>
      </c>
      <c r="H452">
        <f>MIN(100,($A452-'BOBOT PEK'!U176+1)/('BOBOT PEK'!V176-'BOBOT PEK'!U176+1)*100)</f>
        <v>75</v>
      </c>
      <c r="I452">
        <f>IFERROR(SUM(INDEX(TS!$M:$AB,56,1):INDEX(TS!$M:$AB,56,$A452))/TS!$L$46*100,0)</f>
        <v>24.30819316332067</v>
      </c>
      <c r="J452">
        <f t="shared" si="13"/>
        <v>75.691806836679334</v>
      </c>
      <c r="O452" t="str">
        <f ca="1">IF(I452&gt;=99.9,"COMPLETED",IF('BOBOT PEK'!U176&gt;$J$7,"NOT STARTED",IF('BOBOT PEK'!V176&lt;$J$7,"CRITICAL",IF(I452+1&lt;H452,"DELAYED","ON SCHEDULE"))))</f>
        <v>DELAYED</v>
      </c>
      <c r="Q452" t="str">
        <f>IFERROR(IF(AND($A452=$B$8,'BOBOT PEK'!U176&lt;=$B$8,$B$8&lt;='BOBOT PEK'!V176),COUNTIFS($A$17:$A452,$B$8),""),"")</f>
        <v/>
      </c>
    </row>
    <row r="453" spans="1:17" ht="12.75" customHeight="1" x14ac:dyDescent="0.2">
      <c r="A453">
        <f>IFERROR(IF(COUNTIF($C$17:C453,C453)&lt;=('BOBOT PEK'!V177-'BOBOT PEK'!U177+1),'BOBOT PEK'!U177+COUNTIF($C$17:C453,C453)-1,0),0)</f>
        <v>11</v>
      </c>
      <c r="B453" t="str">
        <f>IFERROR(TEXT(INDEX('KALENDER MINGGU'!$B$6:$B$21,$A453),"dd/mm")&amp;" - "&amp;TEXT(INDEX('KALENDER MINGGU'!$C$6:$C$21,$A453),"dd/mm"),"")</f>
        <v>01/10 - 07/10</v>
      </c>
      <c r="C453" t="s">
        <v>518</v>
      </c>
      <c r="D453" t="str">
        <f>'BOBOT PEK'!C177</f>
        <v>leveling MU410</v>
      </c>
      <c r="E453" s="241">
        <f>'BOBOT PEK'!J177</f>
        <v>1.0775873940044347</v>
      </c>
      <c r="F453">
        <f>100/('BOBOT PEK'!V177-'BOBOT PEK'!U177+1)</f>
        <v>25</v>
      </c>
      <c r="G453">
        <f t="shared" si="12"/>
        <v>0.26939684850110868</v>
      </c>
      <c r="H453">
        <f>MIN(100,($A453-'BOBOT PEK'!U177+1)/('BOBOT PEK'!V177-'BOBOT PEK'!U177+1)*100)</f>
        <v>75</v>
      </c>
      <c r="I453">
        <f>IFERROR(SUM(INDEX(TS!$M:$AB,56,1):INDEX(TS!$M:$AB,56,$A453))/TS!$L$46*100,0)</f>
        <v>24.30819316332067</v>
      </c>
      <c r="J453">
        <f t="shared" si="13"/>
        <v>75.691806836679334</v>
      </c>
      <c r="O453" t="str">
        <f ca="1">IF(I453&gt;=99.9,"COMPLETED",IF('BOBOT PEK'!U177&gt;$J$7,"NOT STARTED",IF('BOBOT PEK'!V177&lt;$J$7,"CRITICAL",IF(I453+1&lt;H453,"DELAYED","ON SCHEDULE"))))</f>
        <v>DELAYED</v>
      </c>
      <c r="Q453" t="str">
        <f>IFERROR(IF(AND($A453=$B$8,'BOBOT PEK'!U177&lt;=$B$8,$B$8&lt;='BOBOT PEK'!V177),COUNTIFS($A$17:$A453,$B$8),""),"")</f>
        <v/>
      </c>
    </row>
    <row r="454" spans="1:17" ht="12.75" customHeight="1" x14ac:dyDescent="0.2">
      <c r="A454">
        <f>IFERROR(IF(COUNTIF($C$17:C454,C454)&lt;=('BOBOT PEK'!V178-'BOBOT PEK'!U178+1),'BOBOT PEK'!U178+COUNTIF($C$17:C454,C454)-1,0),0)</f>
        <v>11</v>
      </c>
      <c r="B454" t="str">
        <f>IFERROR(TEXT(INDEX('KALENDER MINGGU'!$B$6:$B$21,$A454),"dd/mm")&amp;" - "&amp;TEXT(INDEX('KALENDER MINGGU'!$C$6:$C$21,$A454),"dd/mm"),"")</f>
        <v>01/10 - 07/10</v>
      </c>
      <c r="C454" t="s">
        <v>519</v>
      </c>
      <c r="D454" t="str">
        <f>'BOBOT PEK'!C178</f>
        <v>cat permukaan lapangan</v>
      </c>
      <c r="E454" s="241">
        <f>'BOBOT PEK'!J178</f>
        <v>0.17959789900073914</v>
      </c>
      <c r="F454">
        <f>100/('BOBOT PEK'!V178-'BOBOT PEK'!U178+1)</f>
        <v>25</v>
      </c>
      <c r="G454">
        <f t="shared" si="12"/>
        <v>4.4899474750184784E-2</v>
      </c>
      <c r="H454">
        <f>MIN(100,($A454-'BOBOT PEK'!U178+1)/('BOBOT PEK'!V178-'BOBOT PEK'!U178+1)*100)</f>
        <v>75</v>
      </c>
      <c r="I454">
        <f>IFERROR(SUM(INDEX(TS!$M:$AB,56,1):INDEX(TS!$M:$AB,56,$A454))/TS!$L$46*100,0)</f>
        <v>24.30819316332067</v>
      </c>
      <c r="J454">
        <f t="shared" si="13"/>
        <v>75.691806836679334</v>
      </c>
      <c r="O454" t="str">
        <f ca="1">IF(I454&gt;=99.9,"COMPLETED",IF('BOBOT PEK'!U178&gt;$J$7,"NOT STARTED",IF('BOBOT PEK'!V178&lt;$J$7,"CRITICAL",IF(I454+1&lt;H454,"DELAYED","ON SCHEDULE"))))</f>
        <v>DELAYED</v>
      </c>
      <c r="Q454" t="str">
        <f>IFERROR(IF(AND($A454=$B$8,'BOBOT PEK'!U178&lt;=$B$8,$B$8&lt;='BOBOT PEK'!V178),COUNTIFS($A$17:$A454,$B$8),""),"")</f>
        <v/>
      </c>
    </row>
    <row r="455" spans="1:17" ht="12.75" customHeight="1" x14ac:dyDescent="0.2">
      <c r="A455">
        <f>IFERROR(IF(COUNTIF($C$17:C455,C455)&lt;=('BOBOT PEK'!V179-'BOBOT PEK'!U179+1),'BOBOT PEK'!U179+COUNTIF($C$17:C455,C455)-1,0),0)</f>
        <v>11</v>
      </c>
      <c r="B455" t="str">
        <f>IFERROR(TEXT(INDEX('KALENDER MINGGU'!$B$6:$B$21,$A455),"dd/mm")&amp;" - "&amp;TEXT(INDEX('KALENDER MINGGU'!$C$6:$C$21,$A455),"dd/mm"),"")</f>
        <v>01/10 - 07/10</v>
      </c>
      <c r="C455" t="s">
        <v>520</v>
      </c>
      <c r="D455" t="str">
        <f>'BOBOT PEK'!C179</f>
        <v>marking garis</v>
      </c>
      <c r="E455" s="241">
        <f>'BOBOT PEK'!J179</f>
        <v>1.9187809722301191E-2</v>
      </c>
      <c r="F455">
        <f>100/('BOBOT PEK'!V179-'BOBOT PEK'!U179+1)</f>
        <v>25</v>
      </c>
      <c r="G455">
        <f t="shared" si="12"/>
        <v>4.7969524305752978E-3</v>
      </c>
      <c r="H455">
        <f>MIN(100,($A455-'BOBOT PEK'!U179+1)/('BOBOT PEK'!V179-'BOBOT PEK'!U179+1)*100)</f>
        <v>75</v>
      </c>
      <c r="I455">
        <f>IFERROR(SUM(INDEX(TS!$M:$AB,56,1):INDEX(TS!$M:$AB,56,$A455))/TS!$L$46*100,0)</f>
        <v>24.30819316332067</v>
      </c>
      <c r="J455">
        <f t="shared" si="13"/>
        <v>75.691806836679334</v>
      </c>
      <c r="O455" t="str">
        <f ca="1">IF(I455&gt;=99.9,"COMPLETED",IF('BOBOT PEK'!U179&gt;$J$7,"NOT STARTED",IF('BOBOT PEK'!V179&lt;$J$7,"CRITICAL",IF(I455+1&lt;H455,"DELAYED","ON SCHEDULE"))))</f>
        <v>DELAYED</v>
      </c>
      <c r="Q455" t="str">
        <f>IFERROR(IF(AND($A455=$B$8,'BOBOT PEK'!U179&lt;=$B$8,$B$8&lt;='BOBOT PEK'!V179),COUNTIFS($A$17:$A455,$B$8),""),"")</f>
        <v/>
      </c>
    </row>
    <row r="456" spans="1:17" ht="12.75" customHeight="1" x14ac:dyDescent="0.2">
      <c r="A456">
        <f>IFERROR(IF(COUNTIF($C$17:C456,C456)&lt;=('BOBOT PEK'!V193-'BOBOT PEK'!U193+1),'BOBOT PEK'!U193+COUNTIF($C$17:C456,C456)-1,0),0)</f>
        <v>11</v>
      </c>
      <c r="B456" t="str">
        <f>IFERROR(TEXT(INDEX('KALENDER MINGGU'!$B$6:$B$21,$A456),"dd/mm")&amp;" - "&amp;TEXT(INDEX('KALENDER MINGGU'!$C$6:$C$21,$A456),"dd/mm"),"")</f>
        <v>01/10 - 07/10</v>
      </c>
      <c r="C456" t="s">
        <v>523</v>
      </c>
      <c r="D456" t="str">
        <f>'BOBOT PEK'!C193</f>
        <v>Pembuatan partisi gudang</v>
      </c>
      <c r="E456" s="241">
        <f>'BOBOT PEK'!J193</f>
        <v>0.34921813694588166</v>
      </c>
      <c r="F456">
        <f>100/('BOBOT PEK'!V193-'BOBOT PEK'!U193+1)</f>
        <v>16.666666666666668</v>
      </c>
      <c r="G456">
        <f t="shared" si="12"/>
        <v>5.8203022824313617E-2</v>
      </c>
      <c r="H456">
        <f>MIN(100,($A456-'BOBOT PEK'!U193+1)/('BOBOT PEK'!V193-'BOBOT PEK'!U193+1)*100)</f>
        <v>50</v>
      </c>
      <c r="I456">
        <f>IFERROR(SUM(INDEX(TS!$M:$AB,58,1):INDEX(TS!$M:$AB,58,$A456))/TS!$L$48*100,0)</f>
        <v>11.179230742884544</v>
      </c>
      <c r="J456">
        <f t="shared" si="13"/>
        <v>88.820769257115458</v>
      </c>
      <c r="O456" t="str">
        <f ca="1">IF(I456&gt;=99.9,"COMPLETED",IF('BOBOT PEK'!U193&gt;$J$7,"NOT STARTED",IF('BOBOT PEK'!V193&lt;$J$7,"CRITICAL",IF(I456+1&lt;H456,"DELAYED","ON SCHEDULE"))))</f>
        <v>DELAYED</v>
      </c>
      <c r="Q456" t="str">
        <f>IFERROR(IF(AND($A456=$B$8,'BOBOT PEK'!U193&lt;=$B$8,$B$8&lt;='BOBOT PEK'!V193),COUNTIFS($A$17:$A456,$B$8),""),"")</f>
        <v/>
      </c>
    </row>
    <row r="457" spans="1:17" ht="12.75" customHeight="1" x14ac:dyDescent="0.2">
      <c r="A457">
        <f>IFERROR(IF(COUNTIF($C$17:C457,C457)&lt;=('BOBOT PEK'!V194-'BOBOT PEK'!U194+1),'BOBOT PEK'!U194+COUNTIF($C$17:C457,C457)-1,0),0)</f>
        <v>11</v>
      </c>
      <c r="B457" t="str">
        <f>IFERROR(TEXT(INDEX('KALENDER MINGGU'!$B$6:$B$21,$A457),"dd/mm")&amp;" - "&amp;TEXT(INDEX('KALENDER MINGGU'!$C$6:$C$21,$A457),"dd/mm"),"")</f>
        <v>01/10 - 07/10</v>
      </c>
      <c r="C457" t="s">
        <v>524</v>
      </c>
      <c r="D457" t="str">
        <f>'BOBOT PEK'!C194</f>
        <v>Pembuatan pintu gudang (kupu tarung)</v>
      </c>
      <c r="E457" s="241">
        <f>'BOBOT PEK'!J194</f>
        <v>7.6751238889204765E-2</v>
      </c>
      <c r="F457">
        <f>100/('BOBOT PEK'!V194-'BOBOT PEK'!U194+1)</f>
        <v>16.666666666666668</v>
      </c>
      <c r="G457">
        <f t="shared" si="12"/>
        <v>1.2791873148200796E-2</v>
      </c>
      <c r="H457">
        <f>MIN(100,($A457-'BOBOT PEK'!U194+1)/('BOBOT PEK'!V194-'BOBOT PEK'!U194+1)*100)</f>
        <v>50</v>
      </c>
      <c r="I457">
        <f>IFERROR(SUM(INDEX(TS!$M:$AB,58,1):INDEX(TS!$M:$AB,58,$A457))/TS!$L$48*100,0)</f>
        <v>11.179230742884544</v>
      </c>
      <c r="J457">
        <f t="shared" si="13"/>
        <v>88.820769257115458</v>
      </c>
      <c r="O457" t="str">
        <f ca="1">IF(I457&gt;=99.9,"COMPLETED",IF('BOBOT PEK'!U194&gt;$J$7,"NOT STARTED",IF('BOBOT PEK'!V194&lt;$J$7,"CRITICAL",IF(I457+1&lt;H457,"DELAYED","ON SCHEDULE"))))</f>
        <v>DELAYED</v>
      </c>
      <c r="Q457" t="str">
        <f>IFERROR(IF(AND($A457=$B$8,'BOBOT PEK'!U194&lt;=$B$8,$B$8&lt;='BOBOT PEK'!V194),COUNTIFS($A$17:$A457,$B$8),""),"")</f>
        <v/>
      </c>
    </row>
    <row r="458" spans="1:17" ht="12.75" customHeight="1" x14ac:dyDescent="0.2">
      <c r="A458">
        <f>IFERROR(IF(COUNTIF($C$17:C458,C458)&lt;=('BOBOT PEK'!V195-'BOBOT PEK'!U195+1),'BOBOT PEK'!U195+COUNTIF($C$17:C458,C458)-1,0),0)</f>
        <v>8</v>
      </c>
      <c r="B458" t="str">
        <f>IFERROR(TEXT(INDEX('KALENDER MINGGU'!$B$6:$B$21,$A458),"dd/mm")&amp;" - "&amp;TEXT(INDEX('KALENDER MINGGU'!$C$6:$C$21,$A458),"dd/mm"),"")</f>
        <v>10/09 - 16/09</v>
      </c>
      <c r="C458" t="s">
        <v>525</v>
      </c>
      <c r="D458" t="str">
        <f>'BOBOT PEK'!C195</f>
        <v>Pemasangan gypsum 1 sisi</v>
      </c>
      <c r="E458" s="241">
        <f>'BOBOT PEK'!J195</f>
        <v>0.52062923713177223</v>
      </c>
      <c r="F458">
        <f>100/('BOBOT PEK'!V195-'BOBOT PEK'!U195+1)</f>
        <v>33.333333333333336</v>
      </c>
      <c r="G458">
        <f t="shared" si="12"/>
        <v>0.1735430790439241</v>
      </c>
      <c r="H458">
        <f>MIN(100,($A458-'BOBOT PEK'!U195+1)/('BOBOT PEK'!V195-'BOBOT PEK'!U195+1)*100)</f>
        <v>100</v>
      </c>
      <c r="I458">
        <f>IFERROR(SUM(INDEX(TS!$M:$AB,58,1):INDEX(TS!$M:$AB,58,$A458))/TS!$L$48*100,0)</f>
        <v>9.0365448504983412</v>
      </c>
      <c r="J458">
        <f t="shared" si="13"/>
        <v>90.963455149501655</v>
      </c>
      <c r="O458" t="str">
        <f ca="1">IF(I458&gt;=99.9,"COMPLETED",IF('BOBOT PEK'!U195&gt;$J$7,"NOT STARTED",IF('BOBOT PEK'!V195&lt;$J$7,"CRITICAL",IF(I458+1&lt;H458,"DELAYED","ON SCHEDULE"))))</f>
        <v>CRITICAL</v>
      </c>
      <c r="Q458" t="str">
        <f>IFERROR(IF(AND($A458=$B$8,'BOBOT PEK'!U195&lt;=$B$8,$B$8&lt;='BOBOT PEK'!V195),COUNTIFS($A$17:$A458,$B$8),""),"")</f>
        <v/>
      </c>
    </row>
    <row r="459" spans="1:17" ht="12.75" customHeight="1" x14ac:dyDescent="0.2">
      <c r="A459">
        <f>IFERROR(IF(COUNTIF($C$17:C459,C459)&lt;=('BOBOT PEK'!V198-'BOBOT PEK'!U198+1),'BOBOT PEK'!U198+COUNTIF($C$17:C459,C459)-1,0),0)</f>
        <v>11</v>
      </c>
      <c r="B459" t="str">
        <f>IFERROR(TEXT(INDEX('KALENDER MINGGU'!$B$6:$B$21,$A459),"dd/mm")&amp;" - "&amp;TEXT(INDEX('KALENDER MINGGU'!$C$6:$C$21,$A459),"dd/mm"),"")</f>
        <v>01/10 - 07/10</v>
      </c>
      <c r="C459" t="s">
        <v>526</v>
      </c>
      <c r="D459" t="str">
        <f>'BOBOT PEK'!C198</f>
        <v>penggantian lighting</v>
      </c>
      <c r="E459" s="241">
        <f>'BOBOT PEK'!J198</f>
        <v>4.5283230944630805E-2</v>
      </c>
      <c r="F459">
        <f>100/('BOBOT PEK'!V198-'BOBOT PEK'!U198+1)</f>
        <v>16.666666666666668</v>
      </c>
      <c r="G459">
        <f t="shared" si="12"/>
        <v>7.5472051574384681E-3</v>
      </c>
      <c r="H459">
        <f>MIN(100,($A459-'BOBOT PEK'!U198+1)/('BOBOT PEK'!V198-'BOBOT PEK'!U198+1)*100)</f>
        <v>50</v>
      </c>
      <c r="I459">
        <f>IFERROR(SUM(INDEX(TS!$M:$AB,58,1):INDEX(TS!$M:$AB,58,$A459))/TS!$L$48*100,0)</f>
        <v>11.179230742884544</v>
      </c>
      <c r="J459">
        <f t="shared" si="13"/>
        <v>88.820769257115458</v>
      </c>
      <c r="O459" t="str">
        <f ca="1">IF(I459&gt;=99.9,"COMPLETED",IF('BOBOT PEK'!U198&gt;$J$7,"NOT STARTED",IF('BOBOT PEK'!V198&lt;$J$7,"CRITICAL",IF(I459+1&lt;H459,"DELAYED","ON SCHEDULE"))))</f>
        <v>DELAYED</v>
      </c>
      <c r="Q459" t="str">
        <f>IFERROR(IF(AND($A459=$B$8,'BOBOT PEK'!U198&lt;=$B$8,$B$8&lt;='BOBOT PEK'!V198),COUNTIFS($A$17:$A459,$B$8),""),"")</f>
        <v/>
      </c>
    </row>
    <row r="460" spans="1:17" ht="12.75" customHeight="1" x14ac:dyDescent="0.2">
      <c r="A460">
        <f>IFERROR(IF(COUNTIF($C$17:C460,C460)&lt;=('BOBOT PEK'!V199-'BOBOT PEK'!U199+1),'BOBOT PEK'!U199+COUNTIF($C$17:C460,C460)-1,0),0)</f>
        <v>11</v>
      </c>
      <c r="B460" t="str">
        <f>IFERROR(TEXT(INDEX('KALENDER MINGGU'!$B$6:$B$21,$A460),"dd/mm")&amp;" - "&amp;TEXT(INDEX('KALENDER MINGGU'!$C$6:$C$21,$A460),"dd/mm"),"")</f>
        <v>01/10 - 07/10</v>
      </c>
      <c r="C460" t="s">
        <v>527</v>
      </c>
      <c r="D460" t="str">
        <f>'BOBOT PEK'!C199</f>
        <v>penggantian lighting</v>
      </c>
      <c r="E460" s="241">
        <f>'BOBOT PEK'!J199</f>
        <v>0.16373597629697018</v>
      </c>
      <c r="F460">
        <f>100/('BOBOT PEK'!V199-'BOBOT PEK'!U199+1)</f>
        <v>16.666666666666668</v>
      </c>
      <c r="G460">
        <f t="shared" si="12"/>
        <v>2.7289329382828367E-2</v>
      </c>
      <c r="H460">
        <f>MIN(100,($A460-'BOBOT PEK'!U199+1)/('BOBOT PEK'!V199-'BOBOT PEK'!U199+1)*100)</f>
        <v>50</v>
      </c>
      <c r="I460">
        <f>IFERROR(SUM(INDEX(TS!$M:$AB,58,1):INDEX(TS!$M:$AB,58,$A460))/TS!$L$48*100,0)</f>
        <v>11.179230742884544</v>
      </c>
      <c r="J460">
        <f t="shared" si="13"/>
        <v>88.820769257115458</v>
      </c>
      <c r="O460" t="str">
        <f ca="1">IF(I460&gt;=99.9,"COMPLETED",IF('BOBOT PEK'!U199&gt;$J$7,"NOT STARTED",IF('BOBOT PEK'!V199&lt;$J$7,"CRITICAL",IF(I460+1&lt;H460,"DELAYED","ON SCHEDULE"))))</f>
        <v>DELAYED</v>
      </c>
      <c r="Q460" t="str">
        <f>IFERROR(IF(AND($A460=$B$8,'BOBOT PEK'!U199&lt;=$B$8,$B$8&lt;='BOBOT PEK'!V199),COUNTIFS($A$17:$A460,$B$8),""),"")</f>
        <v/>
      </c>
    </row>
    <row r="461" spans="1:17" ht="12.75" customHeight="1" x14ac:dyDescent="0.2">
      <c r="A461">
        <f>IFERROR(IF(COUNTIF($C$17:C461,C461)&lt;=('BOBOT PEK'!V201-'BOBOT PEK'!U201+1),'BOBOT PEK'!U201+COUNTIF($C$17:C461,C461)-1,0),0)</f>
        <v>11</v>
      </c>
      <c r="B461" t="str">
        <f>IFERROR(TEXT(INDEX('KALENDER MINGGU'!$B$6:$B$21,$A461),"dd/mm")&amp;" - "&amp;TEXT(INDEX('KALENDER MINGGU'!$C$6:$C$21,$A461),"dd/mm"),"")</f>
        <v>01/10 - 07/10</v>
      </c>
      <c r="C461" t="s">
        <v>528</v>
      </c>
      <c r="D461" t="str">
        <f>'BOBOT PEK'!C201</f>
        <v>Pengadaan dan pemasangan turbin ventilator 32"</v>
      </c>
      <c r="E461" s="241">
        <f>'BOBOT PEK'!J201</f>
        <v>0.38375619444602382</v>
      </c>
      <c r="F461">
        <f>100/('BOBOT PEK'!V201-'BOBOT PEK'!U201+1)</f>
        <v>16.666666666666668</v>
      </c>
      <c r="G461">
        <f t="shared" si="12"/>
        <v>6.3959365741003985E-2</v>
      </c>
      <c r="H461">
        <f>MIN(100,($A461-'BOBOT PEK'!U201+1)/('BOBOT PEK'!V201-'BOBOT PEK'!U201+1)*100)</f>
        <v>50</v>
      </c>
      <c r="I461">
        <f>IFERROR(SUM(INDEX(TS!$M:$AB,58,1):INDEX(TS!$M:$AB,58,$A461))/TS!$L$48*100,0)</f>
        <v>11.179230742884544</v>
      </c>
      <c r="J461">
        <f t="shared" si="13"/>
        <v>88.820769257115458</v>
      </c>
      <c r="O461" t="str">
        <f ca="1">IF(I461&gt;=99.9,"COMPLETED",IF('BOBOT PEK'!U201&gt;$J$7,"NOT STARTED",IF('BOBOT PEK'!V201&lt;$J$7,"CRITICAL",IF(I461+1&lt;H461,"DELAYED","ON SCHEDULE"))))</f>
        <v>DELAYED</v>
      </c>
      <c r="Q461" t="str">
        <f>IFERROR(IF(AND($A461=$B$8,'BOBOT PEK'!U201&lt;=$B$8,$B$8&lt;='BOBOT PEK'!V201),COUNTIFS($A$17:$A461,$B$8),""),"")</f>
        <v/>
      </c>
    </row>
    <row r="462" spans="1:17" ht="12.75" customHeight="1" x14ac:dyDescent="0.2">
      <c r="A462">
        <f>IFERROR(IF(COUNTIF($C$17:C462,C462)&lt;=('BOBOT PEK'!V202-'BOBOT PEK'!U202+1),'BOBOT PEK'!U202+COUNTIF($C$17:C462,C462)-1,0),0)</f>
        <v>11</v>
      </c>
      <c r="B462" t="str">
        <f>IFERROR(TEXT(INDEX('KALENDER MINGGU'!$B$6:$B$21,$A462),"dd/mm")&amp;" - "&amp;TEXT(INDEX('KALENDER MINGGU'!$C$6:$C$21,$A462),"dd/mm"),"")</f>
        <v>01/10 - 07/10</v>
      </c>
      <c r="C462" t="s">
        <v>529</v>
      </c>
      <c r="D462" t="str">
        <f>'BOBOT PEK'!C202</f>
        <v>Pasang aluminium bubble dibawah atap+plat strip</v>
      </c>
      <c r="E462" s="241">
        <f>'BOBOT PEK'!J202</f>
        <v>4.789277306686377</v>
      </c>
      <c r="F462">
        <f>100/('BOBOT PEK'!V202-'BOBOT PEK'!U202+1)</f>
        <v>16.666666666666668</v>
      </c>
      <c r="G462">
        <f t="shared" si="12"/>
        <v>0.79821288444772953</v>
      </c>
      <c r="H462">
        <f>MIN(100,($A462-'BOBOT PEK'!U202+1)/('BOBOT PEK'!V202-'BOBOT PEK'!U202+1)*100)</f>
        <v>50</v>
      </c>
      <c r="I462">
        <f>IFERROR(SUM(INDEX(TS!$M:$AB,58,1):INDEX(TS!$M:$AB,58,$A462))/TS!$L$48*100,0)</f>
        <v>11.179230742884544</v>
      </c>
      <c r="J462">
        <f t="shared" si="13"/>
        <v>88.820769257115458</v>
      </c>
      <c r="O462" t="str">
        <f ca="1">IF(I462&gt;=99.9,"COMPLETED",IF('BOBOT PEK'!U202&gt;$J$7,"NOT STARTED",IF('BOBOT PEK'!V202&lt;$J$7,"CRITICAL",IF(I462+1&lt;H462,"DELAYED","ON SCHEDULE"))))</f>
        <v>DELAYED</v>
      </c>
      <c r="Q462" t="str">
        <f>IFERROR(IF(AND($A462=$B$8,'BOBOT PEK'!U202&lt;=$B$8,$B$8&lt;='BOBOT PEK'!V202),COUNTIFS($A$17:$A462,$B$8),""),"")</f>
        <v/>
      </c>
    </row>
    <row r="463" spans="1:17" ht="12.75" customHeight="1" x14ac:dyDescent="0.2">
      <c r="A463">
        <f>IFERROR(IF(COUNTIF($C$17:C463,C463)&lt;=('BOBOT PEK'!V203-'BOBOT PEK'!U203+1),'BOBOT PEK'!U203+COUNTIF($C$17:C463,C463)-1,0),0)</f>
        <v>11</v>
      </c>
      <c r="B463" t="str">
        <f>IFERROR(TEXT(INDEX('KALENDER MINGGU'!$B$6:$B$21,$A463),"dd/mm")&amp;" - "&amp;TEXT(INDEX('KALENDER MINGGU'!$C$6:$C$21,$A463),"dd/mm"),"")</f>
        <v>01/10 - 07/10</v>
      </c>
      <c r="C463" t="s">
        <v>530</v>
      </c>
      <c r="D463" t="str">
        <f>'BOBOT PEK'!C203</f>
        <v>Pekerjaan finishing cat dinding dan partisi</v>
      </c>
      <c r="E463" s="241">
        <f>'BOBOT PEK'!J203</f>
        <v>1.0131163533375029</v>
      </c>
      <c r="F463">
        <f>100/('BOBOT PEK'!V203-'BOBOT PEK'!U203+1)</f>
        <v>16.666666666666668</v>
      </c>
      <c r="G463">
        <f t="shared" si="12"/>
        <v>0.1688527255562505</v>
      </c>
      <c r="H463">
        <f>MIN(100,($A463-'BOBOT PEK'!U203+1)/('BOBOT PEK'!V203-'BOBOT PEK'!U203+1)*100)</f>
        <v>50</v>
      </c>
      <c r="I463">
        <f>IFERROR(SUM(INDEX(TS!$M:$AB,58,1):INDEX(TS!$M:$AB,58,$A463))/TS!$L$48*100,0)</f>
        <v>11.179230742884544</v>
      </c>
      <c r="J463">
        <f t="shared" si="13"/>
        <v>88.820769257115458</v>
      </c>
      <c r="O463" t="str">
        <f ca="1">IF(I463&gt;=99.9,"COMPLETED",IF('BOBOT PEK'!U203&gt;$J$7,"NOT STARTED",IF('BOBOT PEK'!V203&lt;$J$7,"CRITICAL",IF(I463+1&lt;H463,"DELAYED","ON SCHEDULE"))))</f>
        <v>DELAYED</v>
      </c>
      <c r="Q463" t="str">
        <f>IFERROR(IF(AND($A463=$B$8,'BOBOT PEK'!U203&lt;=$B$8,$B$8&lt;='BOBOT PEK'!V203),COUNTIFS($A$17:$A463,$B$8),""),"")</f>
        <v/>
      </c>
    </row>
    <row r="464" spans="1:17" ht="23.25" customHeight="1" x14ac:dyDescent="0.2">
      <c r="A464">
        <f>IFERROR(IF(COUNTIF($C$17:C464,C464)&lt;=('BOBOT PEK'!V229-'BOBOT PEK'!U229+1),'BOBOT PEK'!U229+COUNTIF($C$17:C464,C464)-1,0),0)</f>
        <v>7</v>
      </c>
      <c r="B464" t="str">
        <f>IFERROR(TEXT(INDEX('KALENDER MINGGU'!$B$6:$B$21,$A464),"dd/mm")&amp;" - "&amp;TEXT(INDEX('KALENDER MINGGU'!$C$6:$C$21,$A464),"dd/mm"),"")</f>
        <v>03/09 - 09/09</v>
      </c>
      <c r="C464" t="s">
        <v>544</v>
      </c>
      <c r="D464" s="228" t="str">
        <f>'BOBOT PEK'!C229</f>
        <v>Rangka + atap upvc
baja ringan C75 0.75mm</v>
      </c>
      <c r="E464" s="241">
        <f>'BOBOT PEK'!J229</f>
        <v>0.83505347911454786</v>
      </c>
      <c r="F464">
        <f>100/('BOBOT PEK'!V229-'BOBOT PEK'!U229+1)</f>
        <v>33.333333333333336</v>
      </c>
      <c r="G464">
        <f t="shared" si="12"/>
        <v>0.2783511597048493</v>
      </c>
      <c r="H464">
        <f>MIN(100,($A464-'BOBOT PEK'!U229+1)/('BOBOT PEK'!V229-'BOBOT PEK'!U229+1)*100)</f>
        <v>33.333333333333329</v>
      </c>
      <c r="I464">
        <f>IFERROR(SUM(INDEX(TS!$M:$AB,67,1):INDEX(TS!$M:$AB,67,$A464))/TS!$L$57*100,0)</f>
        <v>0</v>
      </c>
      <c r="J464">
        <f t="shared" si="13"/>
        <v>100</v>
      </c>
      <c r="O464" t="str">
        <f ca="1">IF(I464&gt;=99.9,"COMPLETED",IF('BOBOT PEK'!U229&gt;$J$7,"NOT STARTED",IF('BOBOT PEK'!V229&lt;$J$7,"CRITICAL",IF(I464+1&lt;H464,"DELAYED","ON SCHEDULE"))))</f>
        <v>CRITICAL</v>
      </c>
      <c r="Q464" t="str">
        <f>IFERROR(IF(AND($A464=$B$8,'BOBOT PEK'!U229&lt;=$B$8,$B$8&lt;='BOBOT PEK'!V229),COUNTIFS($A$17:$A464,$B$8),""),"")</f>
        <v/>
      </c>
    </row>
    <row r="465" spans="1:17" ht="23.25" customHeight="1" x14ac:dyDescent="0.2">
      <c r="A465">
        <f>IFERROR(IF(COUNTIF($C$17:C465,C465)&lt;=('BOBOT PEK'!V230-'BOBOT PEK'!U230+1),'BOBOT PEK'!U230+COUNTIF($C$17:C465,C465)-1,0),0)</f>
        <v>7</v>
      </c>
      <c r="B465" t="str">
        <f>IFERROR(TEXT(INDEX('KALENDER MINGGU'!$B$6:$B$21,$A465),"dd/mm")&amp;" - "&amp;TEXT(INDEX('KALENDER MINGGU'!$C$6:$C$21,$A465),"dd/mm"),"")</f>
        <v>03/09 - 09/09</v>
      </c>
      <c r="C465" t="s">
        <v>545</v>
      </c>
      <c r="D465" s="228" t="str">
        <f>'BOBOT PEK'!C230</f>
        <v>Rangka + atap upvc
hollow 4x4 canopy</v>
      </c>
      <c r="E465" s="241">
        <f>'BOBOT PEK'!J230</f>
        <v>0.61400991111363812</v>
      </c>
      <c r="F465">
        <f>100/('BOBOT PEK'!V230-'BOBOT PEK'!U230+1)</f>
        <v>33.333333333333336</v>
      </c>
      <c r="G465">
        <f t="shared" ref="G465:G528" si="14">F465/100*E465</f>
        <v>0.20466997037121273</v>
      </c>
      <c r="H465">
        <f>MIN(100,($A465-'BOBOT PEK'!U230+1)/('BOBOT PEK'!V230-'BOBOT PEK'!U230+1)*100)</f>
        <v>33.333333333333329</v>
      </c>
      <c r="I465">
        <f>IFERROR(SUM(INDEX(TS!$M:$AB,67,1):INDEX(TS!$M:$AB,67,$A465))/TS!$L$57*100,0)</f>
        <v>0</v>
      </c>
      <c r="J465">
        <f t="shared" ref="J465:J528" si="15">MAX(0,100-I465)</f>
        <v>100</v>
      </c>
      <c r="O465" t="str">
        <f ca="1">IF(I465&gt;=99.9,"COMPLETED",IF('BOBOT PEK'!U230&gt;$J$7,"NOT STARTED",IF('BOBOT PEK'!V230&lt;$J$7,"CRITICAL",IF(I465+1&lt;H465,"DELAYED","ON SCHEDULE"))))</f>
        <v>CRITICAL</v>
      </c>
      <c r="Q465" t="str">
        <f>IFERROR(IF(AND($A465=$B$8,'BOBOT PEK'!U230&lt;=$B$8,$B$8&lt;='BOBOT PEK'!V230),COUNTIFS($A$17:$A465,$B$8),""),"")</f>
        <v/>
      </c>
    </row>
    <row r="466" spans="1:17" ht="23.25" customHeight="1" x14ac:dyDescent="0.2">
      <c r="A466">
        <f>IFERROR(IF(COUNTIF($C$17:C466,C466)&lt;=('BOBOT PEK'!V233-'BOBOT PEK'!U233+1),'BOBOT PEK'!U233+COUNTIF($C$17:C466,C466)-1,0),0)</f>
        <v>5</v>
      </c>
      <c r="B466" t="str">
        <f>IFERROR(TEXT(INDEX('KALENDER MINGGU'!$B$6:$B$21,$A466),"dd/mm")&amp;" - "&amp;TEXT(INDEX('KALENDER MINGGU'!$C$6:$C$21,$A466),"dd/mm"),"")</f>
        <v>20/08 - 26/08</v>
      </c>
      <c r="C466" t="s">
        <v>546</v>
      </c>
      <c r="D466" s="228" t="str">
        <f>'BOBOT PEK'!C233</f>
        <v>Pasangan dinding hebel
7,5cm fin plester aci</v>
      </c>
      <c r="E466" s="241">
        <f>'BOBOT PEK'!J233</f>
        <v>0.93124836518901777</v>
      </c>
      <c r="F466">
        <f>100/('BOBOT PEK'!V233-'BOBOT PEK'!U233+1)</f>
        <v>33.333333333333336</v>
      </c>
      <c r="G466">
        <f t="shared" si="14"/>
        <v>0.31041612172967264</v>
      </c>
      <c r="H466">
        <f>MIN(100,($A466-'BOBOT PEK'!U233+1)/('BOBOT PEK'!V233-'BOBOT PEK'!U233+1)*100)</f>
        <v>33.333333333333329</v>
      </c>
      <c r="I466">
        <f>IFERROR(SUM(INDEX(TS!$M:$AB,69,1):INDEX(TS!$M:$AB,69,$A466))/TS!$L$59*100,0)</f>
        <v>751.62484970271919</v>
      </c>
      <c r="J466">
        <f t="shared" si="15"/>
        <v>0</v>
      </c>
      <c r="O466" t="str">
        <f>IF(I466&gt;=99.9,"COMPLETED",IF('BOBOT PEK'!U233&gt;$J$7,"NOT STARTED",IF('BOBOT PEK'!V233&lt;$J$7,"CRITICAL",IF(I466+1&lt;H466,"DELAYED","ON SCHEDULE"))))</f>
        <v>COMPLETED</v>
      </c>
      <c r="Q466" t="str">
        <f>IFERROR(IF(AND($A466=$B$8,'BOBOT PEK'!U233&lt;=$B$8,$B$8&lt;='BOBOT PEK'!V233),COUNTIFS($A$17:$A466,$B$8),""),"")</f>
        <v/>
      </c>
    </row>
    <row r="467" spans="1:17" ht="23.25" customHeight="1" x14ac:dyDescent="0.2">
      <c r="A467">
        <f>IFERROR(IF(COUNTIF($C$17:C467,C467)&lt;=('BOBOT PEK'!V234-'BOBOT PEK'!U234+1),'BOBOT PEK'!U234+COUNTIF($C$17:C467,C467)-1,0),0)</f>
        <v>7</v>
      </c>
      <c r="B467" t="str">
        <f>IFERROR(TEXT(INDEX('KALENDER MINGGU'!$B$6:$B$21,$A467),"dd/mm")&amp;" - "&amp;TEXT(INDEX('KALENDER MINGGU'!$C$6:$C$21,$A467),"dd/mm"),"")</f>
        <v>03/09 - 09/09</v>
      </c>
      <c r="C467" t="s">
        <v>547</v>
      </c>
      <c r="D467" s="228" t="str">
        <f>'BOBOT PEK'!C234</f>
        <v>cat exterior
ex catylac exterior</v>
      </c>
      <c r="E467" s="241">
        <f>'BOBOT PEK'!J234</f>
        <v>8.8263924722585471E-2</v>
      </c>
      <c r="F467">
        <f>100/('BOBOT PEK'!V234-'BOBOT PEK'!U234+1)</f>
        <v>50</v>
      </c>
      <c r="G467">
        <f t="shared" si="14"/>
        <v>4.4131962361292736E-2</v>
      </c>
      <c r="H467">
        <f>MIN(100,($A467-'BOBOT PEK'!U234+1)/('BOBOT PEK'!V234-'BOBOT PEK'!U234+1)*100)</f>
        <v>50</v>
      </c>
      <c r="I467">
        <f>IFERROR(SUM(INDEX(TS!$M:$AB,69,1):INDEX(TS!$M:$AB,69,$A467))/TS!$L$59*100,0)</f>
        <v>1162.1489375047338</v>
      </c>
      <c r="J467">
        <f t="shared" si="15"/>
        <v>0</v>
      </c>
      <c r="O467" t="str">
        <f>IF(I467&gt;=99.9,"COMPLETED",IF('BOBOT PEK'!U234&gt;$J$7,"NOT STARTED",IF('BOBOT PEK'!V234&lt;$J$7,"CRITICAL",IF(I467+1&lt;H467,"DELAYED","ON SCHEDULE"))))</f>
        <v>COMPLETED</v>
      </c>
      <c r="Q467" t="str">
        <f>IFERROR(IF(AND($A467=$B$8,'BOBOT PEK'!U234&lt;=$B$8,$B$8&lt;='BOBOT PEK'!V234),COUNTIFS($A$17:$A467,$B$8),""),"")</f>
        <v/>
      </c>
    </row>
    <row r="468" spans="1:17" ht="23.25" customHeight="1" x14ac:dyDescent="0.2">
      <c r="A468">
        <f>IFERROR(IF(COUNTIF($C$17:C468,C468)&lt;=('BOBOT PEK'!V235-'BOBOT PEK'!U235+1),'BOBOT PEK'!U235+COUNTIF($C$17:C468,C468)-1,0),0)</f>
        <v>7</v>
      </c>
      <c r="B468" t="str">
        <f>IFERROR(TEXT(INDEX('KALENDER MINGGU'!$B$6:$B$21,$A468),"dd/mm")&amp;" - "&amp;TEXT(INDEX('KALENDER MINGGU'!$C$6:$C$21,$A468),"dd/mm"),"")</f>
        <v>03/09 - 09/09</v>
      </c>
      <c r="C468" t="s">
        <v>548</v>
      </c>
      <c r="D468" s="228" t="str">
        <f>'BOBOT PEK'!C235</f>
        <v>cat interior
ex catylac interior</v>
      </c>
      <c r="E468" s="241">
        <f>'BOBOT PEK'!J235</f>
        <v>8.4426362778125236E-2</v>
      </c>
      <c r="F468">
        <f>100/('BOBOT PEK'!V235-'BOBOT PEK'!U235+1)</f>
        <v>50</v>
      </c>
      <c r="G468">
        <f t="shared" si="14"/>
        <v>4.2213181389062618E-2</v>
      </c>
      <c r="H468">
        <f>MIN(100,($A468-'BOBOT PEK'!U235+1)/('BOBOT PEK'!V235-'BOBOT PEK'!U235+1)*100)</f>
        <v>50</v>
      </c>
      <c r="I468">
        <f>IFERROR(SUM(INDEX(TS!$M:$AB,69,1):INDEX(TS!$M:$AB,69,$A468))/TS!$L$59*100,0)</f>
        <v>1162.1489375047338</v>
      </c>
      <c r="J468">
        <f t="shared" si="15"/>
        <v>0</v>
      </c>
      <c r="O468" t="str">
        <f>IF(I468&gt;=99.9,"COMPLETED",IF('BOBOT PEK'!U235&gt;$J$7,"NOT STARTED",IF('BOBOT PEK'!V235&lt;$J$7,"CRITICAL",IF(I468+1&lt;H468,"DELAYED","ON SCHEDULE"))))</f>
        <v>COMPLETED</v>
      </c>
      <c r="Q468" t="str">
        <f>IFERROR(IF(AND($A468=$B$8,'BOBOT PEK'!U235&lt;=$B$8,$B$8&lt;='BOBOT PEK'!V235),COUNTIFS($A$17:$A468,$B$8),""),"")</f>
        <v/>
      </c>
    </row>
    <row r="469" spans="1:17" ht="23.25" customHeight="1" x14ac:dyDescent="0.2">
      <c r="A469">
        <f>IFERROR(IF(COUNTIF($C$17:C469,C469)&lt;=('BOBOT PEK'!V236-'BOBOT PEK'!U236+1),'BOBOT PEK'!U236+COUNTIF($C$17:C469,C469)-1,0),0)</f>
        <v>8</v>
      </c>
      <c r="B469" t="str">
        <f>IFERROR(TEXT(INDEX('KALENDER MINGGU'!$B$6:$B$21,$A469),"dd/mm")&amp;" - "&amp;TEXT(INDEX('KALENDER MINGGU'!$C$6:$C$21,$A469),"dd/mm"),"")</f>
        <v>10/09 - 16/09</v>
      </c>
      <c r="C469" t="s">
        <v>549</v>
      </c>
      <c r="D469" s="228" t="str">
        <f>'BOBOT PEK'!C236</f>
        <v>keramik lantai interior
ex platinum 60x60</v>
      </c>
      <c r="E469" s="241">
        <f>'BOBOT PEK'!J236</f>
        <v>0.31928515377909183</v>
      </c>
      <c r="F469">
        <f>100/('BOBOT PEK'!V236-'BOBOT PEK'!U236+1)</f>
        <v>50</v>
      </c>
      <c r="G469">
        <f t="shared" si="14"/>
        <v>0.15964257688954592</v>
      </c>
      <c r="H469">
        <f>MIN(100,($A469-'BOBOT PEK'!U236+1)/('BOBOT PEK'!V236-'BOBOT PEK'!U236+1)*100)</f>
        <v>50</v>
      </c>
      <c r="I469">
        <f>IFERROR(SUM(INDEX(TS!$M:$AB,69,1):INDEX(TS!$M:$AB,69,$A469))/TS!$L$59*100,0)</f>
        <v>1349.6553576838598</v>
      </c>
      <c r="J469">
        <f t="shared" si="15"/>
        <v>0</v>
      </c>
      <c r="O469" t="str">
        <f>IF(I469&gt;=99.9,"COMPLETED",IF('BOBOT PEK'!U236&gt;$J$7,"NOT STARTED",IF('BOBOT PEK'!V236&lt;$J$7,"CRITICAL",IF(I469+1&lt;H469,"DELAYED","ON SCHEDULE"))))</f>
        <v>COMPLETED</v>
      </c>
      <c r="Q469" t="str">
        <f>IFERROR(IF(AND($A469=$B$8,'BOBOT PEK'!U236&lt;=$B$8,$B$8&lt;='BOBOT PEK'!V236),COUNTIFS($A$17:$A469,$B$8),""),"")</f>
        <v/>
      </c>
    </row>
    <row r="470" spans="1:17" ht="23.25" customHeight="1" x14ac:dyDescent="0.2">
      <c r="A470">
        <f>IFERROR(IF(COUNTIF($C$17:C470,C470)&lt;=('BOBOT PEK'!V237-'BOBOT PEK'!U237+1),'BOBOT PEK'!U237+COUNTIF($C$17:C470,C470)-1,0),0)</f>
        <v>8</v>
      </c>
      <c r="B470" t="str">
        <f>IFERROR(TEXT(INDEX('KALENDER MINGGU'!$B$6:$B$21,$A470),"dd/mm")&amp;" - "&amp;TEXT(INDEX('KALENDER MINGGU'!$C$6:$C$21,$A470),"dd/mm"),"")</f>
        <v>10/09 - 16/09</v>
      </c>
      <c r="C470" t="s">
        <v>550</v>
      </c>
      <c r="D470" s="228" t="str">
        <f>'BOBOT PEK'!C237</f>
        <v>keramik lantai teras
ex platinum 60x60</v>
      </c>
      <c r="E470" s="241">
        <f>'BOBOT PEK'!J237</f>
        <v>7.9821288444772959E-2</v>
      </c>
      <c r="F470">
        <f>100/('BOBOT PEK'!V237-'BOBOT PEK'!U237+1)</f>
        <v>50</v>
      </c>
      <c r="G470">
        <f t="shared" si="14"/>
        <v>3.9910644222386479E-2</v>
      </c>
      <c r="H470">
        <f>MIN(100,($A470-'BOBOT PEK'!U237+1)/('BOBOT PEK'!V237-'BOBOT PEK'!U237+1)*100)</f>
        <v>50</v>
      </c>
      <c r="I470">
        <f>IFERROR(SUM(INDEX(TS!$M:$AB,69,1):INDEX(TS!$M:$AB,69,$A470))/TS!$L$59*100,0)</f>
        <v>1349.6553576838598</v>
      </c>
      <c r="J470">
        <f t="shared" si="15"/>
        <v>0</v>
      </c>
      <c r="O470" t="str">
        <f>IF(I470&gt;=99.9,"COMPLETED",IF('BOBOT PEK'!U237&gt;$J$7,"NOT STARTED",IF('BOBOT PEK'!V237&lt;$J$7,"CRITICAL",IF(I470+1&lt;H470,"DELAYED","ON SCHEDULE"))))</f>
        <v>COMPLETED</v>
      </c>
      <c r="Q470" t="str">
        <f>IFERROR(IF(AND($A470=$B$8,'BOBOT PEK'!U237&lt;=$B$8,$B$8&lt;='BOBOT PEK'!V237),COUNTIFS($A$17:$A470,$B$8),""),"")</f>
        <v/>
      </c>
    </row>
    <row r="471" spans="1:17" ht="23.25" customHeight="1" x14ac:dyDescent="0.2">
      <c r="A471">
        <f>IFERROR(IF(COUNTIF($C$17:C471,C471)&lt;=('BOBOT PEK'!V238-'BOBOT PEK'!U238+1),'BOBOT PEK'!U238+COUNTIF($C$17:C471,C471)-1,0),0)</f>
        <v>7</v>
      </c>
      <c r="B471" t="str">
        <f>IFERROR(TEXT(INDEX('KALENDER MINGGU'!$B$6:$B$21,$A471),"dd/mm")&amp;" - "&amp;TEXT(INDEX('KALENDER MINGGU'!$C$6:$C$21,$A471),"dd/mm"),"")</f>
        <v>03/09 - 09/09</v>
      </c>
      <c r="C471" t="s">
        <v>551</v>
      </c>
      <c r="D471" s="228" t="str">
        <f>'BOBOT PEK'!C238</f>
        <v>plafon
rangka hollow + gypsum 9mm</v>
      </c>
      <c r="E471" s="241">
        <f>'BOBOT PEK'!J238</f>
        <v>0.4052465413350011</v>
      </c>
      <c r="F471">
        <f>100/('BOBOT PEK'!V238-'BOBOT PEK'!U238+1)</f>
        <v>50</v>
      </c>
      <c r="G471">
        <f t="shared" si="14"/>
        <v>0.20262327066750055</v>
      </c>
      <c r="H471">
        <f>MIN(100,($A471-'BOBOT PEK'!U238+1)/('BOBOT PEK'!V238-'BOBOT PEK'!U238+1)*100)</f>
        <v>50</v>
      </c>
      <c r="I471">
        <f>IFERROR(SUM(INDEX(TS!$M:$AB,69,1):INDEX(TS!$M:$AB,69,$A471))/TS!$L$59*100,0)</f>
        <v>1162.1489375047338</v>
      </c>
      <c r="J471">
        <f t="shared" si="15"/>
        <v>0</v>
      </c>
      <c r="O471" t="str">
        <f>IF(I471&gt;=99.9,"COMPLETED",IF('BOBOT PEK'!U238&gt;$J$7,"NOT STARTED",IF('BOBOT PEK'!V238&lt;$J$7,"CRITICAL",IF(I471+1&lt;H471,"DELAYED","ON SCHEDULE"))))</f>
        <v>COMPLETED</v>
      </c>
      <c r="Q471" t="str">
        <f>IFERROR(IF(AND($A471=$B$8,'BOBOT PEK'!U238&lt;=$B$8,$B$8&lt;='BOBOT PEK'!V238),COUNTIFS($A$17:$A471,$B$8),""),"")</f>
        <v/>
      </c>
    </row>
    <row r="472" spans="1:17" ht="23.25" customHeight="1" x14ac:dyDescent="0.2">
      <c r="A472">
        <f>IFERROR(IF(COUNTIF($C$17:C472,C472)&lt;=('BOBOT PEK'!V239-'BOBOT PEK'!U239+1),'BOBOT PEK'!U239+COUNTIF($C$17:C472,C472)-1,0),0)</f>
        <v>9</v>
      </c>
      <c r="B472" t="str">
        <f>IFERROR(TEXT(INDEX('KALENDER MINGGU'!$B$6:$B$21,$A472),"dd/mm")&amp;" - "&amp;TEXT(INDEX('KALENDER MINGGU'!$C$6:$C$21,$A472),"dd/mm"),"")</f>
        <v>17/09 - 23/09</v>
      </c>
      <c r="C472" t="s">
        <v>552</v>
      </c>
      <c r="D472" s="228" t="str">
        <f>'BOBOT PEK'!C239</f>
        <v>kusen aluminium + kaca mati
aluminium 3" putih + kaca bening 8mm</v>
      </c>
      <c r="E472" s="241">
        <f>'BOBOT PEK'!J239</f>
        <v>0.68845861283616672</v>
      </c>
      <c r="F472">
        <f>100/('BOBOT PEK'!V239-'BOBOT PEK'!U239+1)</f>
        <v>50</v>
      </c>
      <c r="G472">
        <f t="shared" si="14"/>
        <v>0.34422930641808336</v>
      </c>
      <c r="H472">
        <f>MIN(100,($A472-'BOBOT PEK'!U239+1)/('BOBOT PEK'!V239-'BOBOT PEK'!U239+1)*100)</f>
        <v>50</v>
      </c>
      <c r="I472">
        <f>IFERROR(SUM(INDEX(TS!$M:$AB,69,1):INDEX(TS!$M:$AB,69,$A472))/TS!$L$59*100,0)</f>
        <v>1589.0204463474213</v>
      </c>
      <c r="J472">
        <f t="shared" si="15"/>
        <v>0</v>
      </c>
      <c r="O472" t="str">
        <f>IF(I472&gt;=99.9,"COMPLETED",IF('BOBOT PEK'!U239&gt;$J$7,"NOT STARTED",IF('BOBOT PEK'!V239&lt;$J$7,"CRITICAL",IF(I472+1&lt;H472,"DELAYED","ON SCHEDULE"))))</f>
        <v>COMPLETED</v>
      </c>
      <c r="Q472" t="str">
        <f>IFERROR(IF(AND($A472=$B$8,'BOBOT PEK'!U239&lt;=$B$8,$B$8&lt;='BOBOT PEK'!V239),COUNTIFS($A$17:$A472,$B$8),""),"")</f>
        <v/>
      </c>
    </row>
    <row r="473" spans="1:17" ht="23.25" customHeight="1" x14ac:dyDescent="0.2">
      <c r="A473">
        <f>IFERROR(IF(COUNTIF($C$17:C473,C473)&lt;=('BOBOT PEK'!V240-'BOBOT PEK'!U240+1),'BOBOT PEK'!U240+COUNTIF($C$17:C473,C473)-1,0),0)</f>
        <v>9</v>
      </c>
      <c r="B473" t="str">
        <f>IFERROR(TEXT(INDEX('KALENDER MINGGU'!$B$6:$B$21,$A473),"dd/mm")&amp;" - "&amp;TEXT(INDEX('KALENDER MINGGU'!$C$6:$C$21,$A473),"dd/mm"),"")</f>
        <v>17/09 - 23/09</v>
      </c>
      <c r="C473" t="s">
        <v>553</v>
      </c>
      <c r="D473" s="228" t="str">
        <f>'BOBOT PEK'!C240</f>
        <v>Kusen pintu floor hinge
aluminium 3" putih + kaca bening 8mm</v>
      </c>
      <c r="E473" s="241">
        <f>'BOBOT PEK'!J240</f>
        <v>0.13303548074128826</v>
      </c>
      <c r="F473">
        <f>100/('BOBOT PEK'!V240-'BOBOT PEK'!U240+1)</f>
        <v>50</v>
      </c>
      <c r="G473">
        <f t="shared" si="14"/>
        <v>6.6517740370644132E-2</v>
      </c>
      <c r="H473">
        <f>MIN(100,($A473-'BOBOT PEK'!U240+1)/('BOBOT PEK'!V240-'BOBOT PEK'!U240+1)*100)</f>
        <v>50</v>
      </c>
      <c r="I473">
        <f>IFERROR(SUM(INDEX(TS!$M:$AB,69,1):INDEX(TS!$M:$AB,69,$A473))/TS!$L$59*100,0)</f>
        <v>1589.0204463474213</v>
      </c>
      <c r="J473">
        <f t="shared" si="15"/>
        <v>0</v>
      </c>
      <c r="O473" t="str">
        <f>IF(I473&gt;=99.9,"COMPLETED",IF('BOBOT PEK'!U240&gt;$J$7,"NOT STARTED",IF('BOBOT PEK'!V240&lt;$J$7,"CRITICAL",IF(I473+1&lt;H473,"DELAYED","ON SCHEDULE"))))</f>
        <v>COMPLETED</v>
      </c>
      <c r="Q473" t="str">
        <f>IFERROR(IF(AND($A473=$B$8,'BOBOT PEK'!U240&lt;=$B$8,$B$8&lt;='BOBOT PEK'!V240),COUNTIFS($A$17:$A473,$B$8),""),"")</f>
        <v/>
      </c>
    </row>
    <row r="474" spans="1:17" ht="23.25" customHeight="1" x14ac:dyDescent="0.2">
      <c r="A474">
        <f>IFERROR(IF(COUNTIF($C$17:C474,C474)&lt;=('BOBOT PEK'!V241-'BOBOT PEK'!U241+1),'BOBOT PEK'!U241+COUNTIF($C$17:C474,C474)-1,0),0)</f>
        <v>9</v>
      </c>
      <c r="B474" t="str">
        <f>IFERROR(TEXT(INDEX('KALENDER MINGGU'!$B$6:$B$21,$A474),"dd/mm")&amp;" - "&amp;TEXT(INDEX('KALENDER MINGGU'!$C$6:$C$21,$A474),"dd/mm"),"")</f>
        <v>17/09 - 23/09</v>
      </c>
      <c r="C474" t="s">
        <v>554</v>
      </c>
      <c r="D474" s="228" t="str">
        <f>'BOBOT PEK'!C241</f>
        <v>Lighting
LED T8 18w 6500K</v>
      </c>
      <c r="E474" s="241">
        <f>'BOBOT PEK'!J241</f>
        <v>5.9865966333579719E-2</v>
      </c>
      <c r="F474">
        <f>100/('BOBOT PEK'!V241-'BOBOT PEK'!U241+1)</f>
        <v>50</v>
      </c>
      <c r="G474">
        <f t="shared" si="14"/>
        <v>2.993298316678986E-2</v>
      </c>
      <c r="H474">
        <f>MIN(100,($A474-'BOBOT PEK'!U241+1)/('BOBOT PEK'!V241-'BOBOT PEK'!U241+1)*100)</f>
        <v>50</v>
      </c>
      <c r="I474">
        <f>IFERROR(SUM(INDEX(TS!$M:$AB,69,1):INDEX(TS!$M:$AB,69,$A474))/TS!$L$59*100,0)</f>
        <v>1589.0204463474213</v>
      </c>
      <c r="J474">
        <f t="shared" si="15"/>
        <v>0</v>
      </c>
      <c r="O474" t="str">
        <f>IF(I474&gt;=99.9,"COMPLETED",IF('BOBOT PEK'!U241&gt;$J$7,"NOT STARTED",IF('BOBOT PEK'!V241&lt;$J$7,"CRITICAL",IF(I474+1&lt;H474,"DELAYED","ON SCHEDULE"))))</f>
        <v>COMPLETED</v>
      </c>
      <c r="Q474" t="str">
        <f>IFERROR(IF(AND($A474=$B$8,'BOBOT PEK'!U241&lt;=$B$8,$B$8&lt;='BOBOT PEK'!V241),COUNTIFS($A$17:$A474,$B$8),""),"")</f>
        <v/>
      </c>
    </row>
    <row r="475" spans="1:17" ht="23.25" customHeight="1" x14ac:dyDescent="0.2">
      <c r="A475">
        <f>IFERROR(IF(COUNTIF($C$17:C475,C475)&lt;=('BOBOT PEK'!V242-'BOBOT PEK'!U242+1),'BOBOT PEK'!U242+COUNTIF($C$17:C475,C475)-1,0),0)</f>
        <v>9</v>
      </c>
      <c r="B475" t="str">
        <f>IFERROR(TEXT(INDEX('KALENDER MINGGU'!$B$6:$B$21,$A475),"dd/mm")&amp;" - "&amp;TEXT(INDEX('KALENDER MINGGU'!$C$6:$C$21,$A475),"dd/mm"),"")</f>
        <v>17/09 - 23/09</v>
      </c>
      <c r="C475" t="s">
        <v>555</v>
      </c>
      <c r="D475" s="228" t="str">
        <f>'BOBOT PEK'!C242</f>
        <v>saklar dan stop kontak
ex schneider classic</v>
      </c>
      <c r="E475" s="241">
        <f>'BOBOT PEK'!J242</f>
        <v>0.10028828548189422</v>
      </c>
      <c r="F475">
        <f>100/('BOBOT PEK'!V242-'BOBOT PEK'!U242+1)</f>
        <v>50</v>
      </c>
      <c r="G475">
        <f t="shared" si="14"/>
        <v>5.0144142740947112E-2</v>
      </c>
      <c r="H475">
        <f>MIN(100,($A475-'BOBOT PEK'!U242+1)/('BOBOT PEK'!V242-'BOBOT PEK'!U242+1)*100)</f>
        <v>50</v>
      </c>
      <c r="I475">
        <f>IFERROR(SUM(INDEX(TS!$M:$AB,69,1):INDEX(TS!$M:$AB,69,$A475))/TS!$L$59*100,0)</f>
        <v>1589.0204463474213</v>
      </c>
      <c r="J475">
        <f t="shared" si="15"/>
        <v>0</v>
      </c>
      <c r="O475" t="str">
        <f>IF(I475&gt;=99.9,"COMPLETED",IF('BOBOT PEK'!U242&gt;$J$7,"NOT STARTED",IF('BOBOT PEK'!V242&lt;$J$7,"CRITICAL",IF(I475+1&lt;H475,"DELAYED","ON SCHEDULE"))))</f>
        <v>COMPLETED</v>
      </c>
      <c r="Q475" t="str">
        <f>IFERROR(IF(AND($A475=$B$8,'BOBOT PEK'!U242&lt;=$B$8,$B$8&lt;='BOBOT PEK'!V242),COUNTIFS($A$17:$A475,$B$8),""),"")</f>
        <v/>
      </c>
    </row>
    <row r="476" spans="1:17" ht="23.25" customHeight="1" x14ac:dyDescent="0.2">
      <c r="A476">
        <f>IFERROR(IF(COUNTIF($C$17:C476,C476)&lt;=('BOBOT PEK'!V243-'BOBOT PEK'!U243+1),'BOBOT PEK'!U243+COUNTIF($C$17:C476,C476)-1,0),0)</f>
        <v>9</v>
      </c>
      <c r="B476" t="str">
        <f>IFERROR(TEXT(INDEX('KALENDER MINGGU'!$B$6:$B$21,$A476),"dd/mm")&amp;" - "&amp;TEXT(INDEX('KALENDER MINGGU'!$C$6:$C$21,$A476),"dd/mm"),"")</f>
        <v>17/09 - 23/09</v>
      </c>
      <c r="C476" t="s">
        <v>556</v>
      </c>
      <c r="D476" s="228" t="str">
        <f>'BOBOT PEK'!C243</f>
        <v>Pengadaan dan pemasangan AC
ex gree 2pk</v>
      </c>
      <c r="E476" s="241">
        <f>'BOBOT PEK'!J243</f>
        <v>0.56540079315047509</v>
      </c>
      <c r="F476">
        <f>100/('BOBOT PEK'!V243-'BOBOT PEK'!U243+1)</f>
        <v>50</v>
      </c>
      <c r="G476">
        <f t="shared" si="14"/>
        <v>0.28270039657523754</v>
      </c>
      <c r="H476">
        <f>MIN(100,($A476-'BOBOT PEK'!U243+1)/('BOBOT PEK'!V243-'BOBOT PEK'!U243+1)*100)</f>
        <v>50</v>
      </c>
      <c r="I476">
        <f>IFERROR(SUM(INDEX(TS!$M:$AB,69,1):INDEX(TS!$M:$AB,69,$A476))/TS!$L$59*100,0)</f>
        <v>1589.0204463474213</v>
      </c>
      <c r="J476">
        <f t="shared" si="15"/>
        <v>0</v>
      </c>
      <c r="O476" t="str">
        <f>IF(I476&gt;=99.9,"COMPLETED",IF('BOBOT PEK'!U243&gt;$J$7,"NOT STARTED",IF('BOBOT PEK'!V243&lt;$J$7,"CRITICAL",IF(I476+1&lt;H476,"DELAYED","ON SCHEDULE"))))</f>
        <v>COMPLETED</v>
      </c>
      <c r="Q476" t="str">
        <f>IFERROR(IF(AND($A476=$B$8,'BOBOT PEK'!U243&lt;=$B$8,$B$8&lt;='BOBOT PEK'!V243),COUNTIFS($A$17:$A476,$B$8),""),"")</f>
        <v/>
      </c>
    </row>
    <row r="477" spans="1:17" ht="23.25" customHeight="1" x14ac:dyDescent="0.2">
      <c r="A477">
        <f>IFERROR(IF(COUNTIF($C$17:C477,C477)&lt;=('BOBOT PEK'!V244-'BOBOT PEK'!U244+1),'BOBOT PEK'!U244+COUNTIF($C$17:C477,C477)-1,0),0)</f>
        <v>10</v>
      </c>
      <c r="B477" t="str">
        <f>IFERROR(TEXT(INDEX('KALENDER MINGGU'!$B$6:$B$21,$A477),"dd/mm")&amp;" - "&amp;TEXT(INDEX('KALENDER MINGGU'!$C$6:$C$21,$A477),"dd/mm"),"")</f>
        <v>24/09 - 30/09</v>
      </c>
      <c r="C477" t="s">
        <v>557</v>
      </c>
      <c r="D477" s="228" t="str">
        <f>'BOBOT PEK'!C244</f>
        <v>Fasad
rangka + MMT + lighting 50w</v>
      </c>
      <c r="E477" s="241">
        <f>'BOBOT PEK'!J244</f>
        <v>9.3124836518901771E-2</v>
      </c>
      <c r="F477">
        <f>100/('BOBOT PEK'!V244-'BOBOT PEK'!U244+1)</f>
        <v>33.333333333333336</v>
      </c>
      <c r="G477">
        <f t="shared" si="14"/>
        <v>3.1041612172967262E-2</v>
      </c>
      <c r="H477">
        <f>MIN(100,($A477-'BOBOT PEK'!U244+1)/('BOBOT PEK'!V244-'BOBOT PEK'!U244+1)*100)</f>
        <v>33.333333333333329</v>
      </c>
      <c r="I477">
        <f>IFERROR(SUM(INDEX(TS!$M:$AB,69,1):INDEX(TS!$M:$AB,69,$A477))/TS!$L$59*100,0)</f>
        <v>1745.9640398962356</v>
      </c>
      <c r="J477">
        <f t="shared" si="15"/>
        <v>0</v>
      </c>
      <c r="O477" t="str">
        <f>IF(I477&gt;=99.9,"COMPLETED",IF('BOBOT PEK'!U244&gt;$J$7,"NOT STARTED",IF('BOBOT PEK'!V244&lt;$J$7,"CRITICAL",IF(I477+1&lt;H477,"DELAYED","ON SCHEDULE"))))</f>
        <v>COMPLETED</v>
      </c>
      <c r="Q477" t="str">
        <f>IFERROR(IF(AND($A477=$B$8,'BOBOT PEK'!U244&lt;=$B$8,$B$8&lt;='BOBOT PEK'!V244),COUNTIFS($A$17:$A477,$B$8),""),"")</f>
        <v/>
      </c>
    </row>
    <row r="478" spans="1:17" ht="23.25" customHeight="1" x14ac:dyDescent="0.2">
      <c r="A478">
        <f>IFERROR(IF(COUNTIF($C$17:C478,C478)&lt;=('BOBOT PEK'!V245-'BOBOT PEK'!U245+1),'BOBOT PEK'!U245+COUNTIF($C$17:C478,C478)-1,0),0)</f>
        <v>10</v>
      </c>
      <c r="B478" t="str">
        <f>IFERROR(TEXT(INDEX('KALENDER MINGGU'!$B$6:$B$21,$A478),"dd/mm")&amp;" - "&amp;TEXT(INDEX('KALENDER MINGGU'!$C$6:$C$21,$A478),"dd/mm"),"")</f>
        <v>24/09 - 30/09</v>
      </c>
      <c r="C478" t="s">
        <v>558</v>
      </c>
      <c r="D478" s="228" t="str">
        <f>'BOBOT PEK'!C245</f>
        <v>Signage
neon box</v>
      </c>
      <c r="E478" s="241">
        <f>'BOBOT PEK'!J245</f>
        <v>0.20466997037121271</v>
      </c>
      <c r="F478">
        <f>100/('BOBOT PEK'!V245-'BOBOT PEK'!U245+1)</f>
        <v>33.333333333333336</v>
      </c>
      <c r="G478">
        <f t="shared" si="14"/>
        <v>6.8223323457070911E-2</v>
      </c>
      <c r="H478">
        <f>MIN(100,($A478-'BOBOT PEK'!U245+1)/('BOBOT PEK'!V245-'BOBOT PEK'!U245+1)*100)</f>
        <v>33.333333333333329</v>
      </c>
      <c r="I478">
        <f>IFERROR(SUM(INDEX(TS!$M:$AB,69,1):INDEX(TS!$M:$AB,69,$A478))/TS!$L$59*100,0)</f>
        <v>1745.9640398962356</v>
      </c>
      <c r="J478">
        <f t="shared" si="15"/>
        <v>0</v>
      </c>
      <c r="O478" t="str">
        <f>IF(I478&gt;=99.9,"COMPLETED",IF('BOBOT PEK'!U245&gt;$J$7,"NOT STARTED",IF('BOBOT PEK'!V245&lt;$J$7,"CRITICAL",IF(I478+1&lt;H478,"DELAYED","ON SCHEDULE"))))</f>
        <v>COMPLETED</v>
      </c>
      <c r="Q478" t="str">
        <f>IFERROR(IF(AND($A478=$B$8,'BOBOT PEK'!U245&lt;=$B$8,$B$8&lt;='BOBOT PEK'!V245),COUNTIFS($A$17:$A478,$B$8),""),"")</f>
        <v/>
      </c>
    </row>
    <row r="479" spans="1:17" ht="12.75" customHeight="1" x14ac:dyDescent="0.2">
      <c r="A479">
        <f>IFERROR(IF(COUNTIF($C$17:C479,C479)&lt;=('BOBOT PEK'!V77-'BOBOT PEK'!U77+1),'BOBOT PEK'!U77+COUNTIF($C$17:C479,C479)-1,0),0)</f>
        <v>12</v>
      </c>
      <c r="B479" t="str">
        <f>IFERROR(TEXT(INDEX('KALENDER MINGGU'!$B$6:$B$21,$A479),"dd/mm")&amp;" - "&amp;TEXT(INDEX('KALENDER MINGGU'!$C$6:$C$21,$A479),"dd/mm"),"")</f>
        <v>08/10 - 14/10</v>
      </c>
      <c r="C479" t="s">
        <v>464</v>
      </c>
      <c r="D479" t="str">
        <f>'BOBOT PEK'!C77</f>
        <v xml:space="preserve">Pengupasan aspal existing </v>
      </c>
      <c r="E479" s="241">
        <f>'BOBOT PEK'!J77</f>
        <v>3.3576108639397444</v>
      </c>
      <c r="F479">
        <f>100/('BOBOT PEK'!V77-'BOBOT PEK'!U77+1)</f>
        <v>6.25</v>
      </c>
      <c r="G479">
        <f t="shared" si="14"/>
        <v>0.20985067899623402</v>
      </c>
      <c r="H479">
        <f>MIN(100,($A479-'BOBOT PEK'!U77+1)/('BOBOT PEK'!V77-'BOBOT PEK'!U77+1)*100)</f>
        <v>75</v>
      </c>
      <c r="I479">
        <f>IFERROR(SUM(INDEX(TS!$M:$AB,37,1):INDEX(TS!$M:$AB,37,$A479))/TS!$L$27*100,0)</f>
        <v>3.4799918820120639</v>
      </c>
      <c r="J479">
        <f t="shared" si="15"/>
        <v>96.520008117987942</v>
      </c>
      <c r="O479" t="str">
        <f ca="1">IF(I479&gt;=99.9,"COMPLETED",IF('BOBOT PEK'!U77&gt;$J$7,"NOT STARTED",IF('BOBOT PEK'!V77&lt;$J$7,"CRITICAL",IF(I479+1&lt;H479,"DELAYED","ON SCHEDULE"))))</f>
        <v>DELAYED</v>
      </c>
      <c r="Q479" t="str">
        <f>IFERROR(IF(AND($A479=$B$8,'BOBOT PEK'!U77&lt;=$B$8,$B$8&lt;='BOBOT PEK'!V77),COUNTIFS($A$17:$A479,$B$8),""),"")</f>
        <v/>
      </c>
    </row>
    <row r="480" spans="1:17" ht="12.75" customHeight="1" x14ac:dyDescent="0.2">
      <c r="A480">
        <f>IFERROR(IF(COUNTIF($C$17:C480,C480)&lt;=('BOBOT PEK'!V78-'BOBOT PEK'!U78+1),'BOBOT PEK'!U78+COUNTIF($C$17:C480,C480)-1,0),0)</f>
        <v>12</v>
      </c>
      <c r="B480" t="str">
        <f>IFERROR(TEXT(INDEX('KALENDER MINGGU'!$B$6:$B$21,$A480),"dd/mm")&amp;" - "&amp;TEXT(INDEX('KALENDER MINGGU'!$C$6:$C$21,$A480),"dd/mm"),"")</f>
        <v>08/10 - 14/10</v>
      </c>
      <c r="C480" t="s">
        <v>465</v>
      </c>
      <c r="D480" t="str">
        <f>'BOBOT PEK'!C78</f>
        <v xml:space="preserve">Pengupasan beton existing </v>
      </c>
      <c r="E480" s="241">
        <f>'BOBOT PEK'!J78</f>
        <v>1.9430855312117006</v>
      </c>
      <c r="F480">
        <f>100/('BOBOT PEK'!V78-'BOBOT PEK'!U78+1)</f>
        <v>6.25</v>
      </c>
      <c r="G480">
        <f t="shared" si="14"/>
        <v>0.12144284570073129</v>
      </c>
      <c r="H480">
        <f>MIN(100,($A480-'BOBOT PEK'!U78+1)/('BOBOT PEK'!V78-'BOBOT PEK'!U78+1)*100)</f>
        <v>75</v>
      </c>
      <c r="I480">
        <f>IFERROR(SUM(INDEX(TS!$M:$AB,37,1):INDEX(TS!$M:$AB,37,$A480))/TS!$L$27*100,0)</f>
        <v>3.4799918820120639</v>
      </c>
      <c r="J480">
        <f t="shared" si="15"/>
        <v>96.520008117987942</v>
      </c>
      <c r="O480" t="str">
        <f ca="1">IF(I480&gt;=99.9,"COMPLETED",IF('BOBOT PEK'!U78&gt;$J$7,"NOT STARTED",IF('BOBOT PEK'!V78&lt;$J$7,"CRITICAL",IF(I480+1&lt;H480,"DELAYED","ON SCHEDULE"))))</f>
        <v>DELAYED</v>
      </c>
      <c r="Q480" t="str">
        <f>IFERROR(IF(AND($A480=$B$8,'BOBOT PEK'!U78&lt;=$B$8,$B$8&lt;='BOBOT PEK'!V78),COUNTIFS($A$17:$A480,$B$8),""),"")</f>
        <v/>
      </c>
    </row>
    <row r="481" spans="1:17" ht="12.75" customHeight="1" x14ac:dyDescent="0.2">
      <c r="A481">
        <f>IFERROR(IF(COUNTIF($C$17:C481,C481)&lt;=('BOBOT PEK'!V79-'BOBOT PEK'!U79+1),'BOBOT PEK'!U79+COUNTIF($C$17:C481,C481)-1,0),0)</f>
        <v>12</v>
      </c>
      <c r="B481" t="str">
        <f>IFERROR(TEXT(INDEX('KALENDER MINGGU'!$B$6:$B$21,$A481),"dd/mm")&amp;" - "&amp;TEXT(INDEX('KALENDER MINGGU'!$C$6:$C$21,$A481),"dd/mm"),"")</f>
        <v>08/10 - 14/10</v>
      </c>
      <c r="C481" t="s">
        <v>466</v>
      </c>
      <c r="D481" t="str">
        <f>'BOBOT PEK'!C79</f>
        <v>Pembuangan puing sewa truk</v>
      </c>
      <c r="E481" s="241">
        <f>'BOBOT PEK'!J79</f>
        <v>3.3766707549305637</v>
      </c>
      <c r="F481">
        <f>100/('BOBOT PEK'!V79-'BOBOT PEK'!U79+1)</f>
        <v>6.25</v>
      </c>
      <c r="G481">
        <f t="shared" si="14"/>
        <v>0.21104192218316023</v>
      </c>
      <c r="H481">
        <f>MIN(100,($A481-'BOBOT PEK'!U79+1)/('BOBOT PEK'!V79-'BOBOT PEK'!U79+1)*100)</f>
        <v>75</v>
      </c>
      <c r="I481">
        <f>IFERROR(SUM(INDEX(TS!$M:$AB,37,1):INDEX(TS!$M:$AB,37,$A481))/TS!$L$27*100,0)</f>
        <v>3.4799918820120639</v>
      </c>
      <c r="J481">
        <f t="shared" si="15"/>
        <v>96.520008117987942</v>
      </c>
      <c r="O481" t="str">
        <f ca="1">IF(I481&gt;=99.9,"COMPLETED",IF('BOBOT PEK'!U79&gt;$J$7,"NOT STARTED",IF('BOBOT PEK'!V79&lt;$J$7,"CRITICAL",IF(I481+1&lt;H481,"DELAYED","ON SCHEDULE"))))</f>
        <v>DELAYED</v>
      </c>
      <c r="Q481" t="str">
        <f>IFERROR(IF(AND($A481=$B$8,'BOBOT PEK'!U79&lt;=$B$8,$B$8&lt;='BOBOT PEK'!V79),COUNTIFS($A$17:$A481,$B$8),""),"")</f>
        <v/>
      </c>
    </row>
    <row r="482" spans="1:17" ht="12.75" customHeight="1" x14ac:dyDescent="0.2">
      <c r="A482">
        <f>IFERROR(IF(COUNTIF($C$17:C482,C482)&lt;=('BOBOT PEK'!V80-'BOBOT PEK'!U80+1),'BOBOT PEK'!U80+COUNTIF($C$17:C482,C482)-1,0),0)</f>
        <v>12</v>
      </c>
      <c r="B482" t="str">
        <f>IFERROR(TEXT(INDEX('KALENDER MINGGU'!$B$6:$B$21,$A482),"dd/mm")&amp;" - "&amp;TEXT(INDEX('KALENDER MINGGU'!$C$6:$C$21,$A482),"dd/mm"),"")</f>
        <v>08/10 - 14/10</v>
      </c>
      <c r="C482" t="s">
        <v>467</v>
      </c>
      <c r="D482" t="str">
        <f>'BOBOT PEK'!C80</f>
        <v>Besi 13 ulir , kotak 30x30cm</v>
      </c>
      <c r="E482" s="241">
        <f>'BOBOT PEK'!J80</f>
        <v>15.224105695407308</v>
      </c>
      <c r="F482">
        <f>100/('BOBOT PEK'!V80-'BOBOT PEK'!U80+1)</f>
        <v>6.25</v>
      </c>
      <c r="G482">
        <f t="shared" si="14"/>
        <v>0.95150660596295678</v>
      </c>
      <c r="H482">
        <f>MIN(100,($A482-'BOBOT PEK'!U80+1)/('BOBOT PEK'!V80-'BOBOT PEK'!U80+1)*100)</f>
        <v>75</v>
      </c>
      <c r="I482">
        <f>IFERROR(SUM(INDEX(TS!$M:$AB,37,1):INDEX(TS!$M:$AB,37,$A482))/TS!$L$27*100,0)</f>
        <v>3.4799918820120639</v>
      </c>
      <c r="J482">
        <f t="shared" si="15"/>
        <v>96.520008117987942</v>
      </c>
      <c r="O482" t="str">
        <f ca="1">IF(I482&gt;=99.9,"COMPLETED",IF('BOBOT PEK'!U80&gt;$J$7,"NOT STARTED",IF('BOBOT PEK'!V80&lt;$J$7,"CRITICAL",IF(I482+1&lt;H482,"DELAYED","ON SCHEDULE"))))</f>
        <v>DELAYED</v>
      </c>
      <c r="Q482" t="str">
        <f>IFERROR(IF(AND($A482=$B$8,'BOBOT PEK'!U80&lt;=$B$8,$B$8&lt;='BOBOT PEK'!V80),COUNTIFS($A$17:$A482,$B$8),""),"")</f>
        <v/>
      </c>
    </row>
    <row r="483" spans="1:17" ht="12.75" customHeight="1" x14ac:dyDescent="0.2">
      <c r="A483">
        <f>IFERROR(IF(COUNTIF($C$17:C483,C483)&lt;=('BOBOT PEK'!V81-'BOBOT PEK'!U81+1),'BOBOT PEK'!U81+COUNTIF($C$17:C483,C483)-1,0),0)</f>
        <v>12</v>
      </c>
      <c r="B483" t="str">
        <f>IFERROR(TEXT(INDEX('KALENDER MINGGU'!$B$6:$B$21,$A483),"dd/mm")&amp;" - "&amp;TEXT(INDEX('KALENDER MINGGU'!$C$6:$C$21,$A483),"dd/mm"),"")</f>
        <v>08/10 - 14/10</v>
      </c>
      <c r="C483" t="s">
        <v>468</v>
      </c>
      <c r="D483" t="str">
        <f>'BOBOT PEK'!C81</f>
        <v>Cor ready mix K-350 (tanpa trowel dan line cutting)</v>
      </c>
      <c r="E483" s="241">
        <f>'BOBOT PEK'!J81</f>
        <v>18.885237150790225</v>
      </c>
      <c r="F483">
        <f>100/('BOBOT PEK'!V81-'BOBOT PEK'!U81+1)</f>
        <v>6.25</v>
      </c>
      <c r="G483">
        <f t="shared" si="14"/>
        <v>1.1803273219243891</v>
      </c>
      <c r="H483">
        <f>MIN(100,($A483-'BOBOT PEK'!U81+1)/('BOBOT PEK'!V81-'BOBOT PEK'!U81+1)*100)</f>
        <v>75</v>
      </c>
      <c r="I483">
        <f>IFERROR(SUM(INDEX(TS!$M:$AB,37,1):INDEX(TS!$M:$AB,37,$A483))/TS!$L$27*100,0)</f>
        <v>3.4799918820120639</v>
      </c>
      <c r="J483">
        <f t="shared" si="15"/>
        <v>96.520008117987942</v>
      </c>
      <c r="O483" t="str">
        <f ca="1">IF(I483&gt;=99.9,"COMPLETED",IF('BOBOT PEK'!U81&gt;$J$7,"NOT STARTED",IF('BOBOT PEK'!V81&lt;$J$7,"CRITICAL",IF(I483+1&lt;H483,"DELAYED","ON SCHEDULE"))))</f>
        <v>DELAYED</v>
      </c>
      <c r="Q483" t="str">
        <f>IFERROR(IF(AND($A483=$B$8,'BOBOT PEK'!U81&lt;=$B$8,$B$8&lt;='BOBOT PEK'!V81),COUNTIFS($A$17:$A483,$B$8),""),"")</f>
        <v/>
      </c>
    </row>
    <row r="484" spans="1:17" ht="12.75" customHeight="1" x14ac:dyDescent="0.2">
      <c r="A484">
        <f>IFERROR(IF(COUNTIF($C$17:C484,C484)&lt;=('BOBOT PEK'!V85-'BOBOT PEK'!U85+1),'BOBOT PEK'!U85+COUNTIF($C$17:C484,C484)-1,0),0)</f>
        <v>12</v>
      </c>
      <c r="B484" t="str">
        <f>IFERROR(TEXT(INDEX('KALENDER MINGGU'!$B$6:$B$21,$A484),"dd/mm")&amp;" - "&amp;TEXT(INDEX('KALENDER MINGGU'!$C$6:$C$21,$A484),"dd/mm"),"")</f>
        <v>08/10 - 14/10</v>
      </c>
      <c r="C484" t="s">
        <v>469</v>
      </c>
      <c r="D484" t="str">
        <f>'BOBOT PEK'!C85</f>
        <v>Pekerjaan refinishing dinding pagar timur &amp; utara</v>
      </c>
      <c r="E484" s="241">
        <f>'BOBOT PEK'!J85</f>
        <v>1.0803504386044462</v>
      </c>
      <c r="F484">
        <f>100/('BOBOT PEK'!V85-'BOBOT PEK'!U85+1)</f>
        <v>10</v>
      </c>
      <c r="G484">
        <f t="shared" si="14"/>
        <v>0.10803504386044463</v>
      </c>
      <c r="H484">
        <f>MIN(100,($A484-'BOBOT PEK'!U85+1)/('BOBOT PEK'!V85-'BOBOT PEK'!U85+1)*100)</f>
        <v>80</v>
      </c>
      <c r="I484">
        <f>IFERROR(SUM(INDEX(TS!$M:$AB,39,1):INDEX(TS!$M:$AB,39,$A484))/TS!$L$29*100,0)</f>
        <v>26.078611366101978</v>
      </c>
      <c r="J484">
        <f t="shared" si="15"/>
        <v>73.921388633898019</v>
      </c>
      <c r="O484" t="str">
        <f ca="1">IF(I484&gt;=99.9,"COMPLETED",IF('BOBOT PEK'!U85&gt;$J$7,"NOT STARTED",IF('BOBOT PEK'!V85&lt;$J$7,"CRITICAL",IF(I484+1&lt;H484,"DELAYED","ON SCHEDULE"))))</f>
        <v>DELAYED</v>
      </c>
      <c r="Q484" t="str">
        <f>IFERROR(IF(AND($A484=$B$8,'BOBOT PEK'!U85&lt;=$B$8,$B$8&lt;='BOBOT PEK'!V85),COUNTIFS($A$17:$A484,$B$8),""),"")</f>
        <v/>
      </c>
    </row>
    <row r="485" spans="1:17" ht="12.75" customHeight="1" x14ac:dyDescent="0.2">
      <c r="A485">
        <f>IFERROR(IF(COUNTIF($C$17:C485,C485)&lt;=('BOBOT PEK'!V86-'BOBOT PEK'!U86+1),'BOBOT PEK'!U86+COUNTIF($C$17:C485,C485)-1,0),0)</f>
        <v>12</v>
      </c>
      <c r="B485" t="str">
        <f>IFERROR(TEXT(INDEX('KALENDER MINGGU'!$B$6:$B$21,$A485),"dd/mm")&amp;" - "&amp;TEXT(INDEX('KALENDER MINGGU'!$C$6:$C$21,$A485),"dd/mm"),"")</f>
        <v>08/10 - 14/10</v>
      </c>
      <c r="C485" t="s">
        <v>470</v>
      </c>
      <c r="D485" t="str">
        <f>'BOBOT PEK'!C86</f>
        <v>Pekerjaan refinishing dinding barat</v>
      </c>
      <c r="E485" s="241">
        <f>'BOBOT PEK'!J86</f>
        <v>0.75906975261423504</v>
      </c>
      <c r="F485">
        <f>100/('BOBOT PEK'!V86-'BOBOT PEK'!U86+1)</f>
        <v>10</v>
      </c>
      <c r="G485">
        <f t="shared" si="14"/>
        <v>7.5906975261423509E-2</v>
      </c>
      <c r="H485">
        <f>MIN(100,($A485-'BOBOT PEK'!U86+1)/('BOBOT PEK'!V86-'BOBOT PEK'!U86+1)*100)</f>
        <v>80</v>
      </c>
      <c r="I485">
        <f>IFERROR(SUM(INDEX(TS!$M:$AB,39,1):INDEX(TS!$M:$AB,39,$A485))/TS!$L$29*100,0)</f>
        <v>26.078611366101978</v>
      </c>
      <c r="J485">
        <f t="shared" si="15"/>
        <v>73.921388633898019</v>
      </c>
      <c r="O485" t="str">
        <f ca="1">IF(I485&gt;=99.9,"COMPLETED",IF('BOBOT PEK'!U86&gt;$J$7,"NOT STARTED",IF('BOBOT PEK'!V86&lt;$J$7,"CRITICAL",IF(I485+1&lt;H485,"DELAYED","ON SCHEDULE"))))</f>
        <v>DELAYED</v>
      </c>
      <c r="Q485" t="str">
        <f>IFERROR(IF(AND($A485=$B$8,'BOBOT PEK'!U86&lt;=$B$8,$B$8&lt;='BOBOT PEK'!V86),COUNTIFS($A$17:$A485,$B$8),""),"")</f>
        <v/>
      </c>
    </row>
    <row r="486" spans="1:17" ht="12.75" customHeight="1" x14ac:dyDescent="0.2">
      <c r="A486">
        <f>IFERROR(IF(COUNTIF($C$17:C486,C486)&lt;=('BOBOT PEK'!V118-'BOBOT PEK'!U118+1),'BOBOT PEK'!U118+COUNTIF($C$17:C486,C486)-1,0),0)</f>
        <v>8</v>
      </c>
      <c r="B486" t="str">
        <f>IFERROR(TEXT(INDEX('KALENDER MINGGU'!$B$6:$B$21,$A486),"dd/mm")&amp;" - "&amp;TEXT(INDEX('KALENDER MINGGU'!$C$6:$C$21,$A486),"dd/mm"),"")</f>
        <v>10/09 - 16/09</v>
      </c>
      <c r="C486" t="s">
        <v>491</v>
      </c>
      <c r="D486" t="str">
        <f>'BOBOT PEK'!C118</f>
        <v>Instalasi penerangan lampu PJU</v>
      </c>
      <c r="E486" s="241">
        <f>'BOBOT PEK'!J118</f>
        <v>0.60172971289136523</v>
      </c>
      <c r="F486">
        <f>100/('BOBOT PEK'!V118-'BOBOT PEK'!U118+1)</f>
        <v>33.333333333333336</v>
      </c>
      <c r="G486">
        <f t="shared" si="14"/>
        <v>0.20057657096378842</v>
      </c>
      <c r="H486">
        <f>MIN(100,($A486-'BOBOT PEK'!U118+1)/('BOBOT PEK'!V118-'BOBOT PEK'!U118+1)*100)</f>
        <v>66.666666666666657</v>
      </c>
      <c r="I486">
        <f>IFERROR(SUM(INDEX(TS!$M:$AB,45,1):INDEX(TS!$M:$AB,45,$A486))/TS!$L$35*100,0)</f>
        <v>23.186231244483675</v>
      </c>
      <c r="J486">
        <f t="shared" si="15"/>
        <v>76.813768755516321</v>
      </c>
      <c r="O486" t="str">
        <f ca="1">IF(I486&gt;=99.9,"COMPLETED",IF('BOBOT PEK'!U118&gt;$J$7,"NOT STARTED",IF('BOBOT PEK'!V118&lt;$J$7,"CRITICAL",IF(I486+1&lt;H486,"DELAYED","ON SCHEDULE"))))</f>
        <v>CRITICAL</v>
      </c>
      <c r="Q486" t="str">
        <f>IFERROR(IF(AND($A486=$B$8,'BOBOT PEK'!U118&lt;=$B$8,$B$8&lt;='BOBOT PEK'!V118),COUNTIFS($A$17:$A486,$B$8),""),"")</f>
        <v/>
      </c>
    </row>
    <row r="487" spans="1:17" ht="12.75" customHeight="1" x14ac:dyDescent="0.2">
      <c r="A487">
        <f>IFERROR(IF(COUNTIF($C$17:C487,C487)&lt;=('BOBOT PEK'!V119-'BOBOT PEK'!U119+1),'BOBOT PEK'!U119+COUNTIF($C$17:C487,C487)-1,0),0)</f>
        <v>8</v>
      </c>
      <c r="B487" t="str">
        <f>IFERROR(TEXT(INDEX('KALENDER MINGGU'!$B$6:$B$21,$A487),"dd/mm")&amp;" - "&amp;TEXT(INDEX('KALENDER MINGGU'!$C$6:$C$21,$A487),"dd/mm"),"")</f>
        <v>10/09 - 16/09</v>
      </c>
      <c r="C487" t="s">
        <v>492</v>
      </c>
      <c r="D487" t="str">
        <f>'BOBOT PEK'!C119</f>
        <v>Pasang lampu PJU</v>
      </c>
      <c r="E487" s="241">
        <f>'BOBOT PEK'!J119</f>
        <v>0.51935004981695221</v>
      </c>
      <c r="F487">
        <f>100/('BOBOT PEK'!V119-'BOBOT PEK'!U119+1)</f>
        <v>33.333333333333336</v>
      </c>
      <c r="G487">
        <f t="shared" si="14"/>
        <v>0.17311668327231741</v>
      </c>
      <c r="H487">
        <f>MIN(100,($A487-'BOBOT PEK'!U119+1)/('BOBOT PEK'!V119-'BOBOT PEK'!U119+1)*100)</f>
        <v>66.666666666666657</v>
      </c>
      <c r="I487">
        <f>IFERROR(SUM(INDEX(TS!$M:$AB,45,1):INDEX(TS!$M:$AB,45,$A487))/TS!$L$35*100,0)</f>
        <v>23.186231244483675</v>
      </c>
      <c r="J487">
        <f t="shared" si="15"/>
        <v>76.813768755516321</v>
      </c>
      <c r="O487" t="str">
        <f ca="1">IF(I487&gt;=99.9,"COMPLETED",IF('BOBOT PEK'!U119&gt;$J$7,"NOT STARTED",IF('BOBOT PEK'!V119&lt;$J$7,"CRITICAL",IF(I487+1&lt;H487,"DELAYED","ON SCHEDULE"))))</f>
        <v>CRITICAL</v>
      </c>
      <c r="Q487" t="str">
        <f>IFERROR(IF(AND($A487=$B$8,'BOBOT PEK'!U119&lt;=$B$8,$B$8&lt;='BOBOT PEK'!V119),COUNTIFS($A$17:$A487,$B$8),""),"")</f>
        <v/>
      </c>
    </row>
    <row r="488" spans="1:17" ht="12.75" customHeight="1" x14ac:dyDescent="0.2">
      <c r="A488">
        <f>IFERROR(IF(COUNTIF($C$17:C488,C488)&lt;=('BOBOT PEK'!V120-'BOBOT PEK'!U120+1),'BOBOT PEK'!U120+COUNTIF($C$17:C488,C488)-1,0),0)</f>
        <v>8</v>
      </c>
      <c r="B488" t="str">
        <f>IFERROR(TEXT(INDEX('KALENDER MINGGU'!$B$6:$B$21,$A488),"dd/mm")&amp;" - "&amp;TEXT(INDEX('KALENDER MINGGU'!$C$6:$C$21,$A488),"dd/mm"),"")</f>
        <v>10/09 - 16/09</v>
      </c>
      <c r="C488" t="s">
        <v>493</v>
      </c>
      <c r="D488" t="str">
        <f>'BOBOT PEK'!C120</f>
        <v>Terminasi kabel ke panel dan test merger</v>
      </c>
      <c r="E488" s="241">
        <f>'BOBOT PEK'!J120</f>
        <v>3.8375619444602382E-2</v>
      </c>
      <c r="F488">
        <f>100/('BOBOT PEK'!V120-'BOBOT PEK'!U120+1)</f>
        <v>33.333333333333336</v>
      </c>
      <c r="G488">
        <f t="shared" si="14"/>
        <v>1.2791873148200796E-2</v>
      </c>
      <c r="H488">
        <f>MIN(100,($A488-'BOBOT PEK'!U120+1)/('BOBOT PEK'!V120-'BOBOT PEK'!U120+1)*100)</f>
        <v>66.666666666666657</v>
      </c>
      <c r="I488">
        <f>IFERROR(SUM(INDEX(TS!$M:$AB,45,1):INDEX(TS!$M:$AB,45,$A488))/TS!$L$35*100,0)</f>
        <v>23.186231244483675</v>
      </c>
      <c r="J488">
        <f t="shared" si="15"/>
        <v>76.813768755516321</v>
      </c>
      <c r="O488" t="str">
        <f ca="1">IF(I488&gt;=99.9,"COMPLETED",IF('BOBOT PEK'!U120&gt;$J$7,"NOT STARTED",IF('BOBOT PEK'!V120&lt;$J$7,"CRITICAL",IF(I488+1&lt;H488,"DELAYED","ON SCHEDULE"))))</f>
        <v>CRITICAL</v>
      </c>
      <c r="Q488" t="str">
        <f>IFERROR(IF(AND($A488=$B$8,'BOBOT PEK'!U120&lt;=$B$8,$B$8&lt;='BOBOT PEK'!V120),COUNTIFS($A$17:$A488,$B$8),""),"")</f>
        <v/>
      </c>
    </row>
    <row r="489" spans="1:17" ht="12.75" customHeight="1" x14ac:dyDescent="0.2">
      <c r="A489">
        <f>IFERROR(IF(COUNTIF($C$17:C489,C489)&lt;=('BOBOT PEK'!V124-'BOBOT PEK'!U124+1),'BOBOT PEK'!U124+COUNTIF($C$17:C489,C489)-1,0),0)</f>
        <v>12</v>
      </c>
      <c r="B489" t="str">
        <f>IFERROR(TEXT(INDEX('KALENDER MINGGU'!$B$6:$B$21,$A489),"dd/mm")&amp;" - "&amp;TEXT(INDEX('KALENDER MINGGU'!$C$6:$C$21,$A489),"dd/mm"),"")</f>
        <v>08/10 - 14/10</v>
      </c>
      <c r="C489" t="s">
        <v>494</v>
      </c>
      <c r="D489" t="str">
        <f>'BOBOT PEK'!C124</f>
        <v>Perbaikan dan leveling dasar got</v>
      </c>
      <c r="E489" s="241">
        <f>'BOBOT PEK'!J124</f>
        <v>0.49120792889091047</v>
      </c>
      <c r="F489">
        <f>100/('BOBOT PEK'!V124-'BOBOT PEK'!U124+1)</f>
        <v>33.333333333333336</v>
      </c>
      <c r="G489">
        <f t="shared" si="14"/>
        <v>0.16373597629697018</v>
      </c>
      <c r="H489">
        <f>MIN(100,($A489-'BOBOT PEK'!U124+1)/('BOBOT PEK'!V124-'BOBOT PEK'!U124+1)*100)</f>
        <v>100</v>
      </c>
      <c r="I489">
        <f>IFERROR(SUM(INDEX(TS!$M:$AB,47,1):INDEX(TS!$M:$AB,47,$A489))/TS!$L$37*100,0)</f>
        <v>30.051546391752581</v>
      </c>
      <c r="J489">
        <f t="shared" si="15"/>
        <v>69.948453608247419</v>
      </c>
      <c r="O489" t="str">
        <f ca="1">IF(I489&gt;=99.9,"COMPLETED",IF('BOBOT PEK'!U124&gt;$J$7,"NOT STARTED",IF('BOBOT PEK'!V124&lt;$J$7,"CRITICAL",IF(I489+1&lt;H489,"DELAYED","ON SCHEDULE"))))</f>
        <v>DELAYED</v>
      </c>
      <c r="Q489" t="str">
        <f>IFERROR(IF(AND($A489=$B$8,'BOBOT PEK'!U124&lt;=$B$8,$B$8&lt;='BOBOT PEK'!V124),COUNTIFS($A$17:$A489,$B$8),""),"")</f>
        <v/>
      </c>
    </row>
    <row r="490" spans="1:17" ht="12.75" customHeight="1" x14ac:dyDescent="0.2">
      <c r="A490">
        <f>IFERROR(IF(COUNTIF($C$17:C490,C490)&lt;=('BOBOT PEK'!V126-'BOBOT PEK'!U126+1),'BOBOT PEK'!U126+COUNTIF($C$17:C490,C490)-1,0),0)</f>
        <v>12</v>
      </c>
      <c r="B490" t="str">
        <f>IFERROR(TEXT(INDEX('KALENDER MINGGU'!$B$6:$B$21,$A490),"dd/mm")&amp;" - "&amp;TEXT(INDEX('KALENDER MINGGU'!$C$6:$C$21,$A490),"dd/mm"),"")</f>
        <v>08/10 - 14/10</v>
      </c>
      <c r="C490" t="s">
        <v>496</v>
      </c>
      <c r="D490" t="str">
        <f>'BOBOT PEK'!C126</f>
        <v>Pembuatan selokan tepi teras sisi selatan office &amp; loading dock</v>
      </c>
      <c r="E490" s="241">
        <f>'BOBOT PEK'!J126</f>
        <v>0.629360158891479</v>
      </c>
      <c r="F490">
        <f>100/('BOBOT PEK'!V126-'BOBOT PEK'!U126+1)</f>
        <v>33.333333333333336</v>
      </c>
      <c r="G490">
        <f t="shared" si="14"/>
        <v>0.20978671963049303</v>
      </c>
      <c r="H490">
        <f>MIN(100,($A490-'BOBOT PEK'!U126+1)/('BOBOT PEK'!V126-'BOBOT PEK'!U126+1)*100)</f>
        <v>100</v>
      </c>
      <c r="I490">
        <f>IFERROR(SUM(INDEX(TS!$M:$AB,47,1):INDEX(TS!$M:$AB,47,$A490))/TS!$L$37*100,0)</f>
        <v>30.051546391752581</v>
      </c>
      <c r="J490">
        <f t="shared" si="15"/>
        <v>69.948453608247419</v>
      </c>
      <c r="O490" t="str">
        <f ca="1">IF(I490&gt;=99.9,"COMPLETED",IF('BOBOT PEK'!U126&gt;$J$7,"NOT STARTED",IF('BOBOT PEK'!V126&lt;$J$7,"CRITICAL",IF(I490+1&lt;H490,"DELAYED","ON SCHEDULE"))))</f>
        <v>DELAYED</v>
      </c>
      <c r="Q490" t="str">
        <f>IFERROR(IF(AND($A490=$B$8,'BOBOT PEK'!U126&lt;=$B$8,$B$8&lt;='BOBOT PEK'!V126),COUNTIFS($A$17:$A490,$B$8),""),"")</f>
        <v/>
      </c>
    </row>
    <row r="491" spans="1:17" ht="12.75" customHeight="1" x14ac:dyDescent="0.2">
      <c r="A491">
        <f>IFERROR(IF(COUNTIF($C$17:C491,C491)&lt;=('BOBOT PEK'!V130-'BOBOT PEK'!U130+1),'BOBOT PEK'!U130+COUNTIF($C$17:C491,C491)-1,0),0)</f>
        <v>12</v>
      </c>
      <c r="B491" t="str">
        <f>IFERROR(TEXT(INDEX('KALENDER MINGGU'!$B$6:$B$21,$A491),"dd/mm")&amp;" - "&amp;TEXT(INDEX('KALENDER MINGGU'!$C$6:$C$21,$A491),"dd/mm"),"")</f>
        <v>08/10 - 14/10</v>
      </c>
      <c r="C491" t="s">
        <v>498</v>
      </c>
      <c r="D491" t="str">
        <f>'BOBOT PEK'!C130</f>
        <v>Barrier parkir motor</v>
      </c>
      <c r="E491" s="241">
        <f>'BOBOT PEK'!J130</f>
        <v>0.13303548074128826</v>
      </c>
      <c r="F491">
        <f>100/('BOBOT PEK'!V130-'BOBOT PEK'!U130+1)</f>
        <v>33.333333333333336</v>
      </c>
      <c r="G491">
        <f t="shared" si="14"/>
        <v>4.4345160247096095E-2</v>
      </c>
      <c r="H491">
        <f>MIN(100,($A491-'BOBOT PEK'!U130+1)/('BOBOT PEK'!V130-'BOBOT PEK'!U130+1)*100)</f>
        <v>100</v>
      </c>
      <c r="I491">
        <f>IFERROR(SUM(INDEX(TS!$M:$AB,49,1):INDEX(TS!$M:$AB,49,$A491))/TS!$L$39*100,0)</f>
        <v>1149.4933333333331</v>
      </c>
      <c r="J491">
        <f t="shared" si="15"/>
        <v>0</v>
      </c>
      <c r="O491" t="str">
        <f>IF(I491&gt;=99.9,"COMPLETED",IF('BOBOT PEK'!U130&gt;$J$7,"NOT STARTED",IF('BOBOT PEK'!V130&lt;$J$7,"CRITICAL",IF(I491+1&lt;H491,"DELAYED","ON SCHEDULE"))))</f>
        <v>COMPLETED</v>
      </c>
      <c r="Q491" t="str">
        <f>IFERROR(IF(AND($A491=$B$8,'BOBOT PEK'!U130&lt;=$B$8,$B$8&lt;='BOBOT PEK'!V130),COUNTIFS($A$17:$A491,$B$8),""),"")</f>
        <v/>
      </c>
    </row>
    <row r="492" spans="1:17" ht="12.75" customHeight="1" x14ac:dyDescent="0.2">
      <c r="A492">
        <f>IFERROR(IF(COUNTIF($C$17:C492,C492)&lt;=('BOBOT PEK'!V175-'BOBOT PEK'!U175+1),'BOBOT PEK'!U175+COUNTIF($C$17:C492,C492)-1,0),0)</f>
        <v>12</v>
      </c>
      <c r="B492" t="str">
        <f>IFERROR(TEXT(INDEX('KALENDER MINGGU'!$B$6:$B$21,$A492),"dd/mm")&amp;" - "&amp;TEXT(INDEX('KALENDER MINGGU'!$C$6:$C$21,$A492),"dd/mm"),"")</f>
        <v>08/10 - 14/10</v>
      </c>
      <c r="C492" t="s">
        <v>516</v>
      </c>
      <c r="D492" t="str">
        <f>'BOBOT PEK'!C175</f>
        <v>perbaikan area tidak rata</v>
      </c>
      <c r="E492" s="241">
        <f>'BOBOT PEK'!J175</f>
        <v>0.13815223000056856</v>
      </c>
      <c r="F492">
        <f>100/('BOBOT PEK'!V175-'BOBOT PEK'!U175+1)</f>
        <v>25</v>
      </c>
      <c r="G492">
        <f t="shared" si="14"/>
        <v>3.453805750014214E-2</v>
      </c>
      <c r="H492">
        <f>MIN(100,($A492-'BOBOT PEK'!U175+1)/('BOBOT PEK'!V175-'BOBOT PEK'!U175+1)*100)</f>
        <v>100</v>
      </c>
      <c r="I492">
        <f>IFERROR(SUM(INDEX(TS!$M:$AB,56,1):INDEX(TS!$M:$AB,56,$A492))/TS!$L$46*100,0)</f>
        <v>24.30819316332067</v>
      </c>
      <c r="J492">
        <f t="shared" si="15"/>
        <v>75.691806836679334</v>
      </c>
      <c r="O492" t="str">
        <f ca="1">IF(I492&gt;=99.9,"COMPLETED",IF('BOBOT PEK'!U175&gt;$J$7,"NOT STARTED",IF('BOBOT PEK'!V175&lt;$J$7,"CRITICAL",IF(I492+1&lt;H492,"DELAYED","ON SCHEDULE"))))</f>
        <v>DELAYED</v>
      </c>
      <c r="Q492" t="str">
        <f>IFERROR(IF(AND($A492=$B$8,'BOBOT PEK'!U175&lt;=$B$8,$B$8&lt;='BOBOT PEK'!V175),COUNTIFS($A$17:$A492,$B$8),""),"")</f>
        <v/>
      </c>
    </row>
    <row r="493" spans="1:17" ht="12.75" customHeight="1" x14ac:dyDescent="0.2">
      <c r="A493">
        <f>IFERROR(IF(COUNTIF($C$17:C493,C493)&lt;=('BOBOT PEK'!V176-'BOBOT PEK'!U176+1),'BOBOT PEK'!U176+COUNTIF($C$17:C493,C493)-1,0),0)</f>
        <v>12</v>
      </c>
      <c r="B493" t="str">
        <f>IFERROR(TEXT(INDEX('KALENDER MINGGU'!$B$6:$B$21,$A493),"dd/mm")&amp;" - "&amp;TEXT(INDEX('KALENDER MINGGU'!$C$6:$C$21,$A493),"dd/mm"),"")</f>
        <v>08/10 - 14/10</v>
      </c>
      <c r="C493" t="s">
        <v>517</v>
      </c>
      <c r="D493" t="str">
        <f>'BOBOT PEK'!C176</f>
        <v>Pengacian ulang lantai kurang rata</v>
      </c>
      <c r="E493" s="241">
        <f>'BOBOT PEK'!J176</f>
        <v>0</v>
      </c>
      <c r="F493">
        <f>100/('BOBOT PEK'!V176-'BOBOT PEK'!U176+1)</f>
        <v>25</v>
      </c>
      <c r="G493">
        <f t="shared" si="14"/>
        <v>0</v>
      </c>
      <c r="H493">
        <f>MIN(100,($A493-'BOBOT PEK'!U176+1)/('BOBOT PEK'!V176-'BOBOT PEK'!U176+1)*100)</f>
        <v>100</v>
      </c>
      <c r="I493">
        <f>IFERROR(SUM(INDEX(TS!$M:$AB,56,1):INDEX(TS!$M:$AB,56,$A493))/TS!$L$46*100,0)</f>
        <v>24.30819316332067</v>
      </c>
      <c r="J493">
        <f t="shared" si="15"/>
        <v>75.691806836679334</v>
      </c>
      <c r="O493" t="str">
        <f ca="1">IF(I493&gt;=99.9,"COMPLETED",IF('BOBOT PEK'!U176&gt;$J$7,"NOT STARTED",IF('BOBOT PEK'!V176&lt;$J$7,"CRITICAL",IF(I493+1&lt;H493,"DELAYED","ON SCHEDULE"))))</f>
        <v>DELAYED</v>
      </c>
      <c r="Q493" t="str">
        <f>IFERROR(IF(AND($A493=$B$8,'BOBOT PEK'!U176&lt;=$B$8,$B$8&lt;='BOBOT PEK'!V176),COUNTIFS($A$17:$A493,$B$8),""),"")</f>
        <v/>
      </c>
    </row>
    <row r="494" spans="1:17" ht="12.75" customHeight="1" x14ac:dyDescent="0.2">
      <c r="A494">
        <f>IFERROR(IF(COUNTIF($C$17:C494,C494)&lt;=('BOBOT PEK'!V177-'BOBOT PEK'!U177+1),'BOBOT PEK'!U177+COUNTIF($C$17:C494,C494)-1,0),0)</f>
        <v>12</v>
      </c>
      <c r="B494" t="str">
        <f>IFERROR(TEXT(INDEX('KALENDER MINGGU'!$B$6:$B$21,$A494),"dd/mm")&amp;" - "&amp;TEXT(INDEX('KALENDER MINGGU'!$C$6:$C$21,$A494),"dd/mm"),"")</f>
        <v>08/10 - 14/10</v>
      </c>
      <c r="C494" t="s">
        <v>518</v>
      </c>
      <c r="D494" t="str">
        <f>'BOBOT PEK'!C177</f>
        <v>leveling MU410</v>
      </c>
      <c r="E494" s="241">
        <f>'BOBOT PEK'!J177</f>
        <v>1.0775873940044347</v>
      </c>
      <c r="F494">
        <f>100/('BOBOT PEK'!V177-'BOBOT PEK'!U177+1)</f>
        <v>25</v>
      </c>
      <c r="G494">
        <f t="shared" si="14"/>
        <v>0.26939684850110868</v>
      </c>
      <c r="H494">
        <f>MIN(100,($A494-'BOBOT PEK'!U177+1)/('BOBOT PEK'!V177-'BOBOT PEK'!U177+1)*100)</f>
        <v>100</v>
      </c>
      <c r="I494">
        <f>IFERROR(SUM(INDEX(TS!$M:$AB,56,1):INDEX(TS!$M:$AB,56,$A494))/TS!$L$46*100,0)</f>
        <v>24.30819316332067</v>
      </c>
      <c r="J494">
        <f t="shared" si="15"/>
        <v>75.691806836679334</v>
      </c>
      <c r="O494" t="str">
        <f ca="1">IF(I494&gt;=99.9,"COMPLETED",IF('BOBOT PEK'!U177&gt;$J$7,"NOT STARTED",IF('BOBOT PEK'!V177&lt;$J$7,"CRITICAL",IF(I494+1&lt;H494,"DELAYED","ON SCHEDULE"))))</f>
        <v>DELAYED</v>
      </c>
      <c r="Q494" t="str">
        <f>IFERROR(IF(AND($A494=$B$8,'BOBOT PEK'!U177&lt;=$B$8,$B$8&lt;='BOBOT PEK'!V177),COUNTIFS($A$17:$A494,$B$8),""),"")</f>
        <v/>
      </c>
    </row>
    <row r="495" spans="1:17" ht="12.75" customHeight="1" x14ac:dyDescent="0.2">
      <c r="A495">
        <f>IFERROR(IF(COUNTIF($C$17:C495,C495)&lt;=('BOBOT PEK'!V178-'BOBOT PEK'!U178+1),'BOBOT PEK'!U178+COUNTIF($C$17:C495,C495)-1,0),0)</f>
        <v>12</v>
      </c>
      <c r="B495" t="str">
        <f>IFERROR(TEXT(INDEX('KALENDER MINGGU'!$B$6:$B$21,$A495),"dd/mm")&amp;" - "&amp;TEXT(INDEX('KALENDER MINGGU'!$C$6:$C$21,$A495),"dd/mm"),"")</f>
        <v>08/10 - 14/10</v>
      </c>
      <c r="C495" t="s">
        <v>519</v>
      </c>
      <c r="D495" t="str">
        <f>'BOBOT PEK'!C178</f>
        <v>cat permukaan lapangan</v>
      </c>
      <c r="E495" s="241">
        <f>'BOBOT PEK'!J178</f>
        <v>0.17959789900073914</v>
      </c>
      <c r="F495">
        <f>100/('BOBOT PEK'!V178-'BOBOT PEK'!U178+1)</f>
        <v>25</v>
      </c>
      <c r="G495">
        <f t="shared" si="14"/>
        <v>4.4899474750184784E-2</v>
      </c>
      <c r="H495">
        <f>MIN(100,($A495-'BOBOT PEK'!U178+1)/('BOBOT PEK'!V178-'BOBOT PEK'!U178+1)*100)</f>
        <v>100</v>
      </c>
      <c r="I495">
        <f>IFERROR(SUM(INDEX(TS!$M:$AB,56,1):INDEX(TS!$M:$AB,56,$A495))/TS!$L$46*100,0)</f>
        <v>24.30819316332067</v>
      </c>
      <c r="J495">
        <f t="shared" si="15"/>
        <v>75.691806836679334</v>
      </c>
      <c r="O495" t="str">
        <f ca="1">IF(I495&gt;=99.9,"COMPLETED",IF('BOBOT PEK'!U178&gt;$J$7,"NOT STARTED",IF('BOBOT PEK'!V178&lt;$J$7,"CRITICAL",IF(I495+1&lt;H495,"DELAYED","ON SCHEDULE"))))</f>
        <v>DELAYED</v>
      </c>
      <c r="Q495" t="str">
        <f>IFERROR(IF(AND($A495=$B$8,'BOBOT PEK'!U178&lt;=$B$8,$B$8&lt;='BOBOT PEK'!V178),COUNTIFS($A$17:$A495,$B$8),""),"")</f>
        <v/>
      </c>
    </row>
    <row r="496" spans="1:17" ht="12.75" customHeight="1" x14ac:dyDescent="0.2">
      <c r="A496">
        <f>IFERROR(IF(COUNTIF($C$17:C496,C496)&lt;=('BOBOT PEK'!V179-'BOBOT PEK'!U179+1),'BOBOT PEK'!U179+COUNTIF($C$17:C496,C496)-1,0),0)</f>
        <v>12</v>
      </c>
      <c r="B496" t="str">
        <f>IFERROR(TEXT(INDEX('KALENDER MINGGU'!$B$6:$B$21,$A496),"dd/mm")&amp;" - "&amp;TEXT(INDEX('KALENDER MINGGU'!$C$6:$C$21,$A496),"dd/mm"),"")</f>
        <v>08/10 - 14/10</v>
      </c>
      <c r="C496" t="s">
        <v>520</v>
      </c>
      <c r="D496" t="str">
        <f>'BOBOT PEK'!C179</f>
        <v>marking garis</v>
      </c>
      <c r="E496" s="241">
        <f>'BOBOT PEK'!J179</f>
        <v>1.9187809722301191E-2</v>
      </c>
      <c r="F496">
        <f>100/('BOBOT PEK'!V179-'BOBOT PEK'!U179+1)</f>
        <v>25</v>
      </c>
      <c r="G496">
        <f t="shared" si="14"/>
        <v>4.7969524305752978E-3</v>
      </c>
      <c r="H496">
        <f>MIN(100,($A496-'BOBOT PEK'!U179+1)/('BOBOT PEK'!V179-'BOBOT PEK'!U179+1)*100)</f>
        <v>100</v>
      </c>
      <c r="I496">
        <f>IFERROR(SUM(INDEX(TS!$M:$AB,56,1):INDEX(TS!$M:$AB,56,$A496))/TS!$L$46*100,0)</f>
        <v>24.30819316332067</v>
      </c>
      <c r="J496">
        <f t="shared" si="15"/>
        <v>75.691806836679334</v>
      </c>
      <c r="O496" t="str">
        <f ca="1">IF(I496&gt;=99.9,"COMPLETED",IF('BOBOT PEK'!U179&gt;$J$7,"NOT STARTED",IF('BOBOT PEK'!V179&lt;$J$7,"CRITICAL",IF(I496+1&lt;H496,"DELAYED","ON SCHEDULE"))))</f>
        <v>DELAYED</v>
      </c>
      <c r="Q496" t="str">
        <f>IFERROR(IF(AND($A496=$B$8,'BOBOT PEK'!U179&lt;=$B$8,$B$8&lt;='BOBOT PEK'!V179),COUNTIFS($A$17:$A496,$B$8),""),"")</f>
        <v/>
      </c>
    </row>
    <row r="497" spans="1:17" ht="12.75" customHeight="1" x14ac:dyDescent="0.2">
      <c r="A497">
        <f>IFERROR(IF(COUNTIF($C$17:C497,C497)&lt;=('BOBOT PEK'!V193-'BOBOT PEK'!U193+1),'BOBOT PEK'!U193+COUNTIF($C$17:C497,C497)-1,0),0)</f>
        <v>12</v>
      </c>
      <c r="B497" t="str">
        <f>IFERROR(TEXT(INDEX('KALENDER MINGGU'!$B$6:$B$21,$A497),"dd/mm")&amp;" - "&amp;TEXT(INDEX('KALENDER MINGGU'!$C$6:$C$21,$A497),"dd/mm"),"")</f>
        <v>08/10 - 14/10</v>
      </c>
      <c r="C497" t="s">
        <v>523</v>
      </c>
      <c r="D497" t="str">
        <f>'BOBOT PEK'!C193</f>
        <v>Pembuatan partisi gudang</v>
      </c>
      <c r="E497" s="241">
        <f>'BOBOT PEK'!J193</f>
        <v>0.34921813694588166</v>
      </c>
      <c r="F497">
        <f>100/('BOBOT PEK'!V193-'BOBOT PEK'!U193+1)</f>
        <v>16.666666666666668</v>
      </c>
      <c r="G497">
        <f t="shared" si="14"/>
        <v>5.8203022824313617E-2</v>
      </c>
      <c r="H497">
        <f>MIN(100,($A497-'BOBOT PEK'!U193+1)/('BOBOT PEK'!V193-'BOBOT PEK'!U193+1)*100)</f>
        <v>66.666666666666657</v>
      </c>
      <c r="I497">
        <f>IFERROR(SUM(INDEX(TS!$M:$AB,58,1):INDEX(TS!$M:$AB,58,$A497))/TS!$L$48*100,0)</f>
        <v>11.179230742884544</v>
      </c>
      <c r="J497">
        <f t="shared" si="15"/>
        <v>88.820769257115458</v>
      </c>
      <c r="O497" t="str">
        <f ca="1">IF(I497&gt;=99.9,"COMPLETED",IF('BOBOT PEK'!U193&gt;$J$7,"NOT STARTED",IF('BOBOT PEK'!V193&lt;$J$7,"CRITICAL",IF(I497+1&lt;H497,"DELAYED","ON SCHEDULE"))))</f>
        <v>DELAYED</v>
      </c>
      <c r="Q497" t="str">
        <f>IFERROR(IF(AND($A497=$B$8,'BOBOT PEK'!U193&lt;=$B$8,$B$8&lt;='BOBOT PEK'!V193),COUNTIFS($A$17:$A497,$B$8),""),"")</f>
        <v/>
      </c>
    </row>
    <row r="498" spans="1:17" ht="12.75" customHeight="1" x14ac:dyDescent="0.2">
      <c r="A498">
        <f>IFERROR(IF(COUNTIF($C$17:C498,C498)&lt;=('BOBOT PEK'!V194-'BOBOT PEK'!U194+1),'BOBOT PEK'!U194+COUNTIF($C$17:C498,C498)-1,0),0)</f>
        <v>12</v>
      </c>
      <c r="B498" t="str">
        <f>IFERROR(TEXT(INDEX('KALENDER MINGGU'!$B$6:$B$21,$A498),"dd/mm")&amp;" - "&amp;TEXT(INDEX('KALENDER MINGGU'!$C$6:$C$21,$A498),"dd/mm"),"")</f>
        <v>08/10 - 14/10</v>
      </c>
      <c r="C498" t="s">
        <v>524</v>
      </c>
      <c r="D498" t="str">
        <f>'BOBOT PEK'!C194</f>
        <v>Pembuatan pintu gudang (kupu tarung)</v>
      </c>
      <c r="E498" s="241">
        <f>'BOBOT PEK'!J194</f>
        <v>7.6751238889204765E-2</v>
      </c>
      <c r="F498">
        <f>100/('BOBOT PEK'!V194-'BOBOT PEK'!U194+1)</f>
        <v>16.666666666666668</v>
      </c>
      <c r="G498">
        <f t="shared" si="14"/>
        <v>1.2791873148200796E-2</v>
      </c>
      <c r="H498">
        <f>MIN(100,($A498-'BOBOT PEK'!U194+1)/('BOBOT PEK'!V194-'BOBOT PEK'!U194+1)*100)</f>
        <v>66.666666666666657</v>
      </c>
      <c r="I498">
        <f>IFERROR(SUM(INDEX(TS!$M:$AB,58,1):INDEX(TS!$M:$AB,58,$A498))/TS!$L$48*100,0)</f>
        <v>11.179230742884544</v>
      </c>
      <c r="J498">
        <f t="shared" si="15"/>
        <v>88.820769257115458</v>
      </c>
      <c r="O498" t="str">
        <f ca="1">IF(I498&gt;=99.9,"COMPLETED",IF('BOBOT PEK'!U194&gt;$J$7,"NOT STARTED",IF('BOBOT PEK'!V194&lt;$J$7,"CRITICAL",IF(I498+1&lt;H498,"DELAYED","ON SCHEDULE"))))</f>
        <v>DELAYED</v>
      </c>
      <c r="Q498" t="str">
        <f>IFERROR(IF(AND($A498=$B$8,'BOBOT PEK'!U194&lt;=$B$8,$B$8&lt;='BOBOT PEK'!V194),COUNTIFS($A$17:$A498,$B$8),""),"")</f>
        <v/>
      </c>
    </row>
    <row r="499" spans="1:17" ht="12.75" customHeight="1" x14ac:dyDescent="0.2">
      <c r="A499">
        <f>IFERROR(IF(COUNTIF($C$17:C499,C499)&lt;=('BOBOT PEK'!V195-'BOBOT PEK'!U195+1),'BOBOT PEK'!U195+COUNTIF($C$17:C499,C499)-1,0),0)</f>
        <v>0</v>
      </c>
      <c r="B499" t="str">
        <f>IFERROR(TEXT(INDEX('KALENDER MINGGU'!$B$6:$B$21,$A499),"dd/mm")&amp;" - "&amp;TEXT(INDEX('KALENDER MINGGU'!$C$6:$C$21,$A499),"dd/mm"),"")</f>
        <v/>
      </c>
      <c r="C499" t="s">
        <v>525</v>
      </c>
      <c r="D499" t="str">
        <f>'BOBOT PEK'!C195</f>
        <v>Pemasangan gypsum 1 sisi</v>
      </c>
      <c r="E499" s="241">
        <f>'BOBOT PEK'!J195</f>
        <v>0.52062923713177223</v>
      </c>
      <c r="F499">
        <f>100/('BOBOT PEK'!V195-'BOBOT PEK'!U195+1)</f>
        <v>33.333333333333336</v>
      </c>
      <c r="G499">
        <f t="shared" si="14"/>
        <v>0.1735430790439241</v>
      </c>
      <c r="H499">
        <f>MIN(100,($A499-'BOBOT PEK'!U195+1)/('BOBOT PEK'!V195-'BOBOT PEK'!U195+1)*100)</f>
        <v>-166.66666666666669</v>
      </c>
      <c r="I499">
        <f>IFERROR(SUM(INDEX(TS!$M:$AB,58,1):INDEX(TS!$M:$AB,58,$A499))/TS!$L$48*100,0)</f>
        <v>11.179230742884544</v>
      </c>
      <c r="J499">
        <f t="shared" si="15"/>
        <v>88.820769257115458</v>
      </c>
      <c r="O499" t="str">
        <f ca="1">IF(I499&gt;=99.9,"COMPLETED",IF('BOBOT PEK'!U195&gt;$J$7,"NOT STARTED",IF('BOBOT PEK'!V195&lt;$J$7,"CRITICAL",IF(I499+1&lt;H499,"DELAYED","ON SCHEDULE"))))</f>
        <v>CRITICAL</v>
      </c>
      <c r="Q499" t="str">
        <f>IFERROR(IF(AND($A499=$B$8,'BOBOT PEK'!U195&lt;=$B$8,$B$8&lt;='BOBOT PEK'!V195),COUNTIFS($A$17:$A499,$B$8),""),"")</f>
        <v/>
      </c>
    </row>
    <row r="500" spans="1:17" ht="12.75" customHeight="1" x14ac:dyDescent="0.2">
      <c r="A500">
        <f>IFERROR(IF(COUNTIF($C$17:C500,C500)&lt;=('BOBOT PEK'!V198-'BOBOT PEK'!U198+1),'BOBOT PEK'!U198+COUNTIF($C$17:C500,C500)-1,0),0)</f>
        <v>12</v>
      </c>
      <c r="B500" t="str">
        <f>IFERROR(TEXT(INDEX('KALENDER MINGGU'!$B$6:$B$21,$A500),"dd/mm")&amp;" - "&amp;TEXT(INDEX('KALENDER MINGGU'!$C$6:$C$21,$A500),"dd/mm"),"")</f>
        <v>08/10 - 14/10</v>
      </c>
      <c r="C500" t="s">
        <v>526</v>
      </c>
      <c r="D500" t="str">
        <f>'BOBOT PEK'!C198</f>
        <v>penggantian lighting</v>
      </c>
      <c r="E500" s="241">
        <f>'BOBOT PEK'!J198</f>
        <v>4.5283230944630805E-2</v>
      </c>
      <c r="F500">
        <f>100/('BOBOT PEK'!V198-'BOBOT PEK'!U198+1)</f>
        <v>16.666666666666668</v>
      </c>
      <c r="G500">
        <f t="shared" si="14"/>
        <v>7.5472051574384681E-3</v>
      </c>
      <c r="H500">
        <f>MIN(100,($A500-'BOBOT PEK'!U198+1)/('BOBOT PEK'!V198-'BOBOT PEK'!U198+1)*100)</f>
        <v>66.666666666666657</v>
      </c>
      <c r="I500">
        <f>IFERROR(SUM(INDEX(TS!$M:$AB,58,1):INDEX(TS!$M:$AB,58,$A500))/TS!$L$48*100,0)</f>
        <v>11.179230742884544</v>
      </c>
      <c r="J500">
        <f t="shared" si="15"/>
        <v>88.820769257115458</v>
      </c>
      <c r="O500" t="str">
        <f ca="1">IF(I500&gt;=99.9,"COMPLETED",IF('BOBOT PEK'!U198&gt;$J$7,"NOT STARTED",IF('BOBOT PEK'!V198&lt;$J$7,"CRITICAL",IF(I500+1&lt;H500,"DELAYED","ON SCHEDULE"))))</f>
        <v>DELAYED</v>
      </c>
      <c r="Q500" t="str">
        <f>IFERROR(IF(AND($A500=$B$8,'BOBOT PEK'!U198&lt;=$B$8,$B$8&lt;='BOBOT PEK'!V198),COUNTIFS($A$17:$A500,$B$8),""),"")</f>
        <v/>
      </c>
    </row>
    <row r="501" spans="1:17" ht="12.75" customHeight="1" x14ac:dyDescent="0.2">
      <c r="A501">
        <f>IFERROR(IF(COUNTIF($C$17:C501,C501)&lt;=('BOBOT PEK'!V199-'BOBOT PEK'!U199+1),'BOBOT PEK'!U199+COUNTIF($C$17:C501,C501)-1,0),0)</f>
        <v>12</v>
      </c>
      <c r="B501" t="str">
        <f>IFERROR(TEXT(INDEX('KALENDER MINGGU'!$B$6:$B$21,$A501),"dd/mm")&amp;" - "&amp;TEXT(INDEX('KALENDER MINGGU'!$C$6:$C$21,$A501),"dd/mm"),"")</f>
        <v>08/10 - 14/10</v>
      </c>
      <c r="C501" t="s">
        <v>527</v>
      </c>
      <c r="D501" t="str">
        <f>'BOBOT PEK'!C199</f>
        <v>penggantian lighting</v>
      </c>
      <c r="E501" s="241">
        <f>'BOBOT PEK'!J199</f>
        <v>0.16373597629697018</v>
      </c>
      <c r="F501">
        <f>100/('BOBOT PEK'!V199-'BOBOT PEK'!U199+1)</f>
        <v>16.666666666666668</v>
      </c>
      <c r="G501">
        <f t="shared" si="14"/>
        <v>2.7289329382828367E-2</v>
      </c>
      <c r="H501">
        <f>MIN(100,($A501-'BOBOT PEK'!U199+1)/('BOBOT PEK'!V199-'BOBOT PEK'!U199+1)*100)</f>
        <v>66.666666666666657</v>
      </c>
      <c r="I501">
        <f>IFERROR(SUM(INDEX(TS!$M:$AB,58,1):INDEX(TS!$M:$AB,58,$A501))/TS!$L$48*100,0)</f>
        <v>11.179230742884544</v>
      </c>
      <c r="J501">
        <f t="shared" si="15"/>
        <v>88.820769257115458</v>
      </c>
      <c r="O501" t="str">
        <f ca="1">IF(I501&gt;=99.9,"COMPLETED",IF('BOBOT PEK'!U199&gt;$J$7,"NOT STARTED",IF('BOBOT PEK'!V199&lt;$J$7,"CRITICAL",IF(I501+1&lt;H501,"DELAYED","ON SCHEDULE"))))</f>
        <v>DELAYED</v>
      </c>
      <c r="Q501" t="str">
        <f>IFERROR(IF(AND($A501=$B$8,'BOBOT PEK'!U199&lt;=$B$8,$B$8&lt;='BOBOT PEK'!V199),COUNTIFS($A$17:$A501,$B$8),""),"")</f>
        <v/>
      </c>
    </row>
    <row r="502" spans="1:17" ht="12.75" customHeight="1" x14ac:dyDescent="0.2">
      <c r="A502">
        <f>IFERROR(IF(COUNTIF($C$17:C502,C502)&lt;=('BOBOT PEK'!V201-'BOBOT PEK'!U201+1),'BOBOT PEK'!U201+COUNTIF($C$17:C502,C502)-1,0),0)</f>
        <v>12</v>
      </c>
      <c r="B502" t="str">
        <f>IFERROR(TEXT(INDEX('KALENDER MINGGU'!$B$6:$B$21,$A502),"dd/mm")&amp;" - "&amp;TEXT(INDEX('KALENDER MINGGU'!$C$6:$C$21,$A502),"dd/mm"),"")</f>
        <v>08/10 - 14/10</v>
      </c>
      <c r="C502" t="s">
        <v>528</v>
      </c>
      <c r="D502" t="str">
        <f>'BOBOT PEK'!C201</f>
        <v>Pengadaan dan pemasangan turbin ventilator 32"</v>
      </c>
      <c r="E502" s="241">
        <f>'BOBOT PEK'!J201</f>
        <v>0.38375619444602382</v>
      </c>
      <c r="F502">
        <f>100/('BOBOT PEK'!V201-'BOBOT PEK'!U201+1)</f>
        <v>16.666666666666668</v>
      </c>
      <c r="G502">
        <f t="shared" si="14"/>
        <v>6.3959365741003985E-2</v>
      </c>
      <c r="H502">
        <f>MIN(100,($A502-'BOBOT PEK'!U201+1)/('BOBOT PEK'!V201-'BOBOT PEK'!U201+1)*100)</f>
        <v>66.666666666666657</v>
      </c>
      <c r="I502">
        <f>IFERROR(SUM(INDEX(TS!$M:$AB,58,1):INDEX(TS!$M:$AB,58,$A502))/TS!$L$48*100,0)</f>
        <v>11.179230742884544</v>
      </c>
      <c r="J502">
        <f t="shared" si="15"/>
        <v>88.820769257115458</v>
      </c>
      <c r="O502" t="str">
        <f ca="1">IF(I502&gt;=99.9,"COMPLETED",IF('BOBOT PEK'!U201&gt;$J$7,"NOT STARTED",IF('BOBOT PEK'!V201&lt;$J$7,"CRITICAL",IF(I502+1&lt;H502,"DELAYED","ON SCHEDULE"))))</f>
        <v>DELAYED</v>
      </c>
      <c r="Q502" t="str">
        <f>IFERROR(IF(AND($A502=$B$8,'BOBOT PEK'!U201&lt;=$B$8,$B$8&lt;='BOBOT PEK'!V201),COUNTIFS($A$17:$A502,$B$8),""),"")</f>
        <v/>
      </c>
    </row>
    <row r="503" spans="1:17" ht="12.75" customHeight="1" x14ac:dyDescent="0.2">
      <c r="A503">
        <f>IFERROR(IF(COUNTIF($C$17:C503,C503)&lt;=('BOBOT PEK'!V202-'BOBOT PEK'!U202+1),'BOBOT PEK'!U202+COUNTIF($C$17:C503,C503)-1,0),0)</f>
        <v>12</v>
      </c>
      <c r="B503" t="str">
        <f>IFERROR(TEXT(INDEX('KALENDER MINGGU'!$B$6:$B$21,$A503),"dd/mm")&amp;" - "&amp;TEXT(INDEX('KALENDER MINGGU'!$C$6:$C$21,$A503),"dd/mm"),"")</f>
        <v>08/10 - 14/10</v>
      </c>
      <c r="C503" t="s">
        <v>529</v>
      </c>
      <c r="D503" t="str">
        <f>'BOBOT PEK'!C202</f>
        <v>Pasang aluminium bubble dibawah atap+plat strip</v>
      </c>
      <c r="E503" s="241">
        <f>'BOBOT PEK'!J202</f>
        <v>4.789277306686377</v>
      </c>
      <c r="F503">
        <f>100/('BOBOT PEK'!V202-'BOBOT PEK'!U202+1)</f>
        <v>16.666666666666668</v>
      </c>
      <c r="G503">
        <f t="shared" si="14"/>
        <v>0.79821288444772953</v>
      </c>
      <c r="H503">
        <f>MIN(100,($A503-'BOBOT PEK'!U202+1)/('BOBOT PEK'!V202-'BOBOT PEK'!U202+1)*100)</f>
        <v>66.666666666666657</v>
      </c>
      <c r="I503">
        <f>IFERROR(SUM(INDEX(TS!$M:$AB,58,1):INDEX(TS!$M:$AB,58,$A503))/TS!$L$48*100,0)</f>
        <v>11.179230742884544</v>
      </c>
      <c r="J503">
        <f t="shared" si="15"/>
        <v>88.820769257115458</v>
      </c>
      <c r="O503" t="str">
        <f ca="1">IF(I503&gt;=99.9,"COMPLETED",IF('BOBOT PEK'!U202&gt;$J$7,"NOT STARTED",IF('BOBOT PEK'!V202&lt;$J$7,"CRITICAL",IF(I503+1&lt;H503,"DELAYED","ON SCHEDULE"))))</f>
        <v>DELAYED</v>
      </c>
      <c r="Q503" t="str">
        <f>IFERROR(IF(AND($A503=$B$8,'BOBOT PEK'!U202&lt;=$B$8,$B$8&lt;='BOBOT PEK'!V202),COUNTIFS($A$17:$A503,$B$8),""),"")</f>
        <v/>
      </c>
    </row>
    <row r="504" spans="1:17" ht="12.75" customHeight="1" x14ac:dyDescent="0.2">
      <c r="A504">
        <f>IFERROR(IF(COUNTIF($C$17:C504,C504)&lt;=('BOBOT PEK'!V203-'BOBOT PEK'!U203+1),'BOBOT PEK'!U203+COUNTIF($C$17:C504,C504)-1,0),0)</f>
        <v>12</v>
      </c>
      <c r="B504" t="str">
        <f>IFERROR(TEXT(INDEX('KALENDER MINGGU'!$B$6:$B$21,$A504),"dd/mm")&amp;" - "&amp;TEXT(INDEX('KALENDER MINGGU'!$C$6:$C$21,$A504),"dd/mm"),"")</f>
        <v>08/10 - 14/10</v>
      </c>
      <c r="C504" t="s">
        <v>530</v>
      </c>
      <c r="D504" t="str">
        <f>'BOBOT PEK'!C203</f>
        <v>Pekerjaan finishing cat dinding dan partisi</v>
      </c>
      <c r="E504" s="241">
        <f>'BOBOT PEK'!J203</f>
        <v>1.0131163533375029</v>
      </c>
      <c r="F504">
        <f>100/('BOBOT PEK'!V203-'BOBOT PEK'!U203+1)</f>
        <v>16.666666666666668</v>
      </c>
      <c r="G504">
        <f t="shared" si="14"/>
        <v>0.1688527255562505</v>
      </c>
      <c r="H504">
        <f>MIN(100,($A504-'BOBOT PEK'!U203+1)/('BOBOT PEK'!V203-'BOBOT PEK'!U203+1)*100)</f>
        <v>66.666666666666657</v>
      </c>
      <c r="I504">
        <f>IFERROR(SUM(INDEX(TS!$M:$AB,58,1):INDEX(TS!$M:$AB,58,$A504))/TS!$L$48*100,0)</f>
        <v>11.179230742884544</v>
      </c>
      <c r="J504">
        <f t="shared" si="15"/>
        <v>88.820769257115458</v>
      </c>
      <c r="O504" t="str">
        <f ca="1">IF(I504&gt;=99.9,"COMPLETED",IF('BOBOT PEK'!U203&gt;$J$7,"NOT STARTED",IF('BOBOT PEK'!V203&lt;$J$7,"CRITICAL",IF(I504+1&lt;H504,"DELAYED","ON SCHEDULE"))))</f>
        <v>DELAYED</v>
      </c>
      <c r="Q504" t="str">
        <f>IFERROR(IF(AND($A504=$B$8,'BOBOT PEK'!U203&lt;=$B$8,$B$8&lt;='BOBOT PEK'!V203),COUNTIFS($A$17:$A504,$B$8),""),"")</f>
        <v/>
      </c>
    </row>
    <row r="505" spans="1:17" ht="23.25" customHeight="1" x14ac:dyDescent="0.2">
      <c r="A505">
        <f>IFERROR(IF(COUNTIF($C$17:C505,C505)&lt;=('BOBOT PEK'!V229-'BOBOT PEK'!U229+1),'BOBOT PEK'!U229+COUNTIF($C$17:C505,C505)-1,0),0)</f>
        <v>8</v>
      </c>
      <c r="B505" t="str">
        <f>IFERROR(TEXT(INDEX('KALENDER MINGGU'!$B$6:$B$21,$A505),"dd/mm")&amp;" - "&amp;TEXT(INDEX('KALENDER MINGGU'!$C$6:$C$21,$A505),"dd/mm"),"")</f>
        <v>10/09 - 16/09</v>
      </c>
      <c r="C505" t="s">
        <v>544</v>
      </c>
      <c r="D505" s="228" t="str">
        <f>'BOBOT PEK'!C229</f>
        <v>Rangka + atap upvc
baja ringan C75 0.75mm</v>
      </c>
      <c r="E505" s="241">
        <f>'BOBOT PEK'!J229</f>
        <v>0.83505347911454786</v>
      </c>
      <c r="F505">
        <f>100/('BOBOT PEK'!V229-'BOBOT PEK'!U229+1)</f>
        <v>33.333333333333336</v>
      </c>
      <c r="G505">
        <f t="shared" si="14"/>
        <v>0.2783511597048493</v>
      </c>
      <c r="H505">
        <f>MIN(100,($A505-'BOBOT PEK'!U229+1)/('BOBOT PEK'!V229-'BOBOT PEK'!U229+1)*100)</f>
        <v>66.666666666666657</v>
      </c>
      <c r="I505">
        <f>IFERROR(SUM(INDEX(TS!$M:$AB,67,1):INDEX(TS!$M:$AB,67,$A505))/TS!$L$57*100,0)</f>
        <v>0</v>
      </c>
      <c r="J505">
        <f t="shared" si="15"/>
        <v>100</v>
      </c>
      <c r="O505" t="str">
        <f ca="1">IF(I505&gt;=99.9,"COMPLETED",IF('BOBOT PEK'!U229&gt;$J$7,"NOT STARTED",IF('BOBOT PEK'!V229&lt;$J$7,"CRITICAL",IF(I505+1&lt;H505,"DELAYED","ON SCHEDULE"))))</f>
        <v>CRITICAL</v>
      </c>
      <c r="Q505" t="str">
        <f>IFERROR(IF(AND($A505=$B$8,'BOBOT PEK'!U229&lt;=$B$8,$B$8&lt;='BOBOT PEK'!V229),COUNTIFS($A$17:$A505,$B$8),""),"")</f>
        <v/>
      </c>
    </row>
    <row r="506" spans="1:17" ht="23.25" customHeight="1" x14ac:dyDescent="0.2">
      <c r="A506">
        <f>IFERROR(IF(COUNTIF($C$17:C506,C506)&lt;=('BOBOT PEK'!V230-'BOBOT PEK'!U230+1),'BOBOT PEK'!U230+COUNTIF($C$17:C506,C506)-1,0),0)</f>
        <v>8</v>
      </c>
      <c r="B506" t="str">
        <f>IFERROR(TEXT(INDEX('KALENDER MINGGU'!$B$6:$B$21,$A506),"dd/mm")&amp;" - "&amp;TEXT(INDEX('KALENDER MINGGU'!$C$6:$C$21,$A506),"dd/mm"),"")</f>
        <v>10/09 - 16/09</v>
      </c>
      <c r="C506" t="s">
        <v>545</v>
      </c>
      <c r="D506" s="228" t="str">
        <f>'BOBOT PEK'!C230</f>
        <v>Rangka + atap upvc
hollow 4x4 canopy</v>
      </c>
      <c r="E506" s="241">
        <f>'BOBOT PEK'!J230</f>
        <v>0.61400991111363812</v>
      </c>
      <c r="F506">
        <f>100/('BOBOT PEK'!V230-'BOBOT PEK'!U230+1)</f>
        <v>33.333333333333336</v>
      </c>
      <c r="G506">
        <f t="shared" si="14"/>
        <v>0.20466997037121273</v>
      </c>
      <c r="H506">
        <f>MIN(100,($A506-'BOBOT PEK'!U230+1)/('BOBOT PEK'!V230-'BOBOT PEK'!U230+1)*100)</f>
        <v>66.666666666666657</v>
      </c>
      <c r="I506">
        <f>IFERROR(SUM(INDEX(TS!$M:$AB,67,1):INDEX(TS!$M:$AB,67,$A506))/TS!$L$57*100,0)</f>
        <v>0</v>
      </c>
      <c r="J506">
        <f t="shared" si="15"/>
        <v>100</v>
      </c>
      <c r="O506" t="str">
        <f ca="1">IF(I506&gt;=99.9,"COMPLETED",IF('BOBOT PEK'!U230&gt;$J$7,"NOT STARTED",IF('BOBOT PEK'!V230&lt;$J$7,"CRITICAL",IF(I506+1&lt;H506,"DELAYED","ON SCHEDULE"))))</f>
        <v>CRITICAL</v>
      </c>
      <c r="Q506" t="str">
        <f>IFERROR(IF(AND($A506=$B$8,'BOBOT PEK'!U230&lt;=$B$8,$B$8&lt;='BOBOT PEK'!V230),COUNTIFS($A$17:$A506,$B$8),""),"")</f>
        <v/>
      </c>
    </row>
    <row r="507" spans="1:17" ht="23.25" customHeight="1" x14ac:dyDescent="0.2">
      <c r="A507">
        <f>IFERROR(IF(COUNTIF($C$17:C507,C507)&lt;=('BOBOT PEK'!V233-'BOBOT PEK'!U233+1),'BOBOT PEK'!U233+COUNTIF($C$17:C507,C507)-1,0),0)</f>
        <v>6</v>
      </c>
      <c r="B507" t="str">
        <f>IFERROR(TEXT(INDEX('KALENDER MINGGU'!$B$6:$B$21,$A507),"dd/mm")&amp;" - "&amp;TEXT(INDEX('KALENDER MINGGU'!$C$6:$C$21,$A507),"dd/mm"),"")</f>
        <v>27/08 - 02/09</v>
      </c>
      <c r="C507" t="s">
        <v>546</v>
      </c>
      <c r="D507" s="228" t="str">
        <f>'BOBOT PEK'!C233</f>
        <v>Pasangan dinding hebel
7,5cm fin plester aci</v>
      </c>
      <c r="E507" s="241">
        <f>'BOBOT PEK'!J233</f>
        <v>0.93124836518901777</v>
      </c>
      <c r="F507">
        <f>100/('BOBOT PEK'!V233-'BOBOT PEK'!U233+1)</f>
        <v>33.333333333333336</v>
      </c>
      <c r="G507">
        <f t="shared" si="14"/>
        <v>0.31041612172967264</v>
      </c>
      <c r="H507">
        <f>MIN(100,($A507-'BOBOT PEK'!U233+1)/('BOBOT PEK'!V233-'BOBOT PEK'!U233+1)*100)</f>
        <v>66.666666666666657</v>
      </c>
      <c r="I507">
        <f>IFERROR(SUM(INDEX(TS!$M:$AB,69,1):INDEX(TS!$M:$AB,69,$A507))/TS!$L$59*100,0)</f>
        <v>952.6128649738697</v>
      </c>
      <c r="J507">
        <f t="shared" si="15"/>
        <v>0</v>
      </c>
      <c r="O507" t="str">
        <f>IF(I507&gt;=99.9,"COMPLETED",IF('BOBOT PEK'!U233&gt;$J$7,"NOT STARTED",IF('BOBOT PEK'!V233&lt;$J$7,"CRITICAL",IF(I507+1&lt;H507,"DELAYED","ON SCHEDULE"))))</f>
        <v>COMPLETED</v>
      </c>
      <c r="Q507">
        <f>IFERROR(IF(AND($A507=$B$8,'BOBOT PEK'!U233&lt;=$B$8,$B$8&lt;='BOBOT PEK'!V233),COUNTIFS($A$17:$A507,$B$8),""),"")</f>
        <v>31</v>
      </c>
    </row>
    <row r="508" spans="1:17" ht="23.25" customHeight="1" x14ac:dyDescent="0.2">
      <c r="A508">
        <f>IFERROR(IF(COUNTIF($C$17:C508,C508)&lt;=('BOBOT PEK'!V234-'BOBOT PEK'!U234+1),'BOBOT PEK'!U234+COUNTIF($C$17:C508,C508)-1,0),0)</f>
        <v>8</v>
      </c>
      <c r="B508" t="str">
        <f>IFERROR(TEXT(INDEX('KALENDER MINGGU'!$B$6:$B$21,$A508),"dd/mm")&amp;" - "&amp;TEXT(INDEX('KALENDER MINGGU'!$C$6:$C$21,$A508),"dd/mm"),"")</f>
        <v>10/09 - 16/09</v>
      </c>
      <c r="C508" t="s">
        <v>547</v>
      </c>
      <c r="D508" s="228" t="str">
        <f>'BOBOT PEK'!C234</f>
        <v>cat exterior
ex catylac exterior</v>
      </c>
      <c r="E508" s="241">
        <f>'BOBOT PEK'!J234</f>
        <v>8.8263924722585471E-2</v>
      </c>
      <c r="F508">
        <f>100/('BOBOT PEK'!V234-'BOBOT PEK'!U234+1)</f>
        <v>50</v>
      </c>
      <c r="G508">
        <f t="shared" si="14"/>
        <v>4.4131962361292736E-2</v>
      </c>
      <c r="H508">
        <f>MIN(100,($A508-'BOBOT PEK'!U234+1)/('BOBOT PEK'!V234-'BOBOT PEK'!U234+1)*100)</f>
        <v>100</v>
      </c>
      <c r="I508">
        <f>IFERROR(SUM(INDEX(TS!$M:$AB,69,1):INDEX(TS!$M:$AB,69,$A508))/TS!$L$59*100,0)</f>
        <v>1349.6553576838598</v>
      </c>
      <c r="J508">
        <f t="shared" si="15"/>
        <v>0</v>
      </c>
      <c r="O508" t="str">
        <f>IF(I508&gt;=99.9,"COMPLETED",IF('BOBOT PEK'!U234&gt;$J$7,"NOT STARTED",IF('BOBOT PEK'!V234&lt;$J$7,"CRITICAL",IF(I508+1&lt;H508,"DELAYED","ON SCHEDULE"))))</f>
        <v>COMPLETED</v>
      </c>
      <c r="Q508" t="str">
        <f>IFERROR(IF(AND($A508=$B$8,'BOBOT PEK'!U234&lt;=$B$8,$B$8&lt;='BOBOT PEK'!V234),COUNTIFS($A$17:$A508,$B$8),""),"")</f>
        <v/>
      </c>
    </row>
    <row r="509" spans="1:17" ht="23.25" customHeight="1" x14ac:dyDescent="0.2">
      <c r="A509">
        <f>IFERROR(IF(COUNTIF($C$17:C509,C509)&lt;=('BOBOT PEK'!V235-'BOBOT PEK'!U235+1),'BOBOT PEK'!U235+COUNTIF($C$17:C509,C509)-1,0),0)</f>
        <v>8</v>
      </c>
      <c r="B509" t="str">
        <f>IFERROR(TEXT(INDEX('KALENDER MINGGU'!$B$6:$B$21,$A509),"dd/mm")&amp;" - "&amp;TEXT(INDEX('KALENDER MINGGU'!$C$6:$C$21,$A509),"dd/mm"),"")</f>
        <v>10/09 - 16/09</v>
      </c>
      <c r="C509" t="s">
        <v>548</v>
      </c>
      <c r="D509" s="228" t="str">
        <f>'BOBOT PEK'!C235</f>
        <v>cat interior
ex catylac interior</v>
      </c>
      <c r="E509" s="241">
        <f>'BOBOT PEK'!J235</f>
        <v>8.4426362778125236E-2</v>
      </c>
      <c r="F509">
        <f>100/('BOBOT PEK'!V235-'BOBOT PEK'!U235+1)</f>
        <v>50</v>
      </c>
      <c r="G509">
        <f t="shared" si="14"/>
        <v>4.2213181389062618E-2</v>
      </c>
      <c r="H509">
        <f>MIN(100,($A509-'BOBOT PEK'!U235+1)/('BOBOT PEK'!V235-'BOBOT PEK'!U235+1)*100)</f>
        <v>100</v>
      </c>
      <c r="I509">
        <f>IFERROR(SUM(INDEX(TS!$M:$AB,69,1):INDEX(TS!$M:$AB,69,$A509))/TS!$L$59*100,0)</f>
        <v>1349.6553576838598</v>
      </c>
      <c r="J509">
        <f t="shared" si="15"/>
        <v>0</v>
      </c>
      <c r="O509" t="str">
        <f>IF(I509&gt;=99.9,"COMPLETED",IF('BOBOT PEK'!U235&gt;$J$7,"NOT STARTED",IF('BOBOT PEK'!V235&lt;$J$7,"CRITICAL",IF(I509+1&lt;H509,"DELAYED","ON SCHEDULE"))))</f>
        <v>COMPLETED</v>
      </c>
      <c r="Q509" t="str">
        <f>IFERROR(IF(AND($A509=$B$8,'BOBOT PEK'!U235&lt;=$B$8,$B$8&lt;='BOBOT PEK'!V235),COUNTIFS($A$17:$A509,$B$8),""),"")</f>
        <v/>
      </c>
    </row>
    <row r="510" spans="1:17" ht="23.25" customHeight="1" x14ac:dyDescent="0.2">
      <c r="A510">
        <f>IFERROR(IF(COUNTIF($C$17:C510,C510)&lt;=('BOBOT PEK'!V236-'BOBOT PEK'!U236+1),'BOBOT PEK'!U236+COUNTIF($C$17:C510,C510)-1,0),0)</f>
        <v>9</v>
      </c>
      <c r="B510" t="str">
        <f>IFERROR(TEXT(INDEX('KALENDER MINGGU'!$B$6:$B$21,$A510),"dd/mm")&amp;" - "&amp;TEXT(INDEX('KALENDER MINGGU'!$C$6:$C$21,$A510),"dd/mm"),"")</f>
        <v>17/09 - 23/09</v>
      </c>
      <c r="C510" t="s">
        <v>549</v>
      </c>
      <c r="D510" s="228" t="str">
        <f>'BOBOT PEK'!C236</f>
        <v>keramik lantai interior
ex platinum 60x60</v>
      </c>
      <c r="E510" s="241">
        <f>'BOBOT PEK'!J236</f>
        <v>0.31928515377909183</v>
      </c>
      <c r="F510">
        <f>100/('BOBOT PEK'!V236-'BOBOT PEK'!U236+1)</f>
        <v>50</v>
      </c>
      <c r="G510">
        <f t="shared" si="14"/>
        <v>0.15964257688954592</v>
      </c>
      <c r="H510">
        <f>MIN(100,($A510-'BOBOT PEK'!U236+1)/('BOBOT PEK'!V236-'BOBOT PEK'!U236+1)*100)</f>
        <v>100</v>
      </c>
      <c r="I510">
        <f>IFERROR(SUM(INDEX(TS!$M:$AB,69,1):INDEX(TS!$M:$AB,69,$A510))/TS!$L$59*100,0)</f>
        <v>1589.0204463474213</v>
      </c>
      <c r="J510">
        <f t="shared" si="15"/>
        <v>0</v>
      </c>
      <c r="O510" t="str">
        <f>IF(I510&gt;=99.9,"COMPLETED",IF('BOBOT PEK'!U236&gt;$J$7,"NOT STARTED",IF('BOBOT PEK'!V236&lt;$J$7,"CRITICAL",IF(I510+1&lt;H510,"DELAYED","ON SCHEDULE"))))</f>
        <v>COMPLETED</v>
      </c>
      <c r="Q510" t="str">
        <f>IFERROR(IF(AND($A510=$B$8,'BOBOT PEK'!U236&lt;=$B$8,$B$8&lt;='BOBOT PEK'!V236),COUNTIFS($A$17:$A510,$B$8),""),"")</f>
        <v/>
      </c>
    </row>
    <row r="511" spans="1:17" ht="23.25" customHeight="1" x14ac:dyDescent="0.2">
      <c r="A511">
        <f>IFERROR(IF(COUNTIF($C$17:C511,C511)&lt;=('BOBOT PEK'!V237-'BOBOT PEK'!U237+1),'BOBOT PEK'!U237+COUNTIF($C$17:C511,C511)-1,0),0)</f>
        <v>9</v>
      </c>
      <c r="B511" t="str">
        <f>IFERROR(TEXT(INDEX('KALENDER MINGGU'!$B$6:$B$21,$A511),"dd/mm")&amp;" - "&amp;TEXT(INDEX('KALENDER MINGGU'!$C$6:$C$21,$A511),"dd/mm"),"")</f>
        <v>17/09 - 23/09</v>
      </c>
      <c r="C511" t="s">
        <v>550</v>
      </c>
      <c r="D511" s="228" t="str">
        <f>'BOBOT PEK'!C237</f>
        <v>keramik lantai teras
ex platinum 60x60</v>
      </c>
      <c r="E511" s="241">
        <f>'BOBOT PEK'!J237</f>
        <v>7.9821288444772959E-2</v>
      </c>
      <c r="F511">
        <f>100/('BOBOT PEK'!V237-'BOBOT PEK'!U237+1)</f>
        <v>50</v>
      </c>
      <c r="G511">
        <f t="shared" si="14"/>
        <v>3.9910644222386479E-2</v>
      </c>
      <c r="H511">
        <f>MIN(100,($A511-'BOBOT PEK'!U237+1)/('BOBOT PEK'!V237-'BOBOT PEK'!U237+1)*100)</f>
        <v>100</v>
      </c>
      <c r="I511">
        <f>IFERROR(SUM(INDEX(TS!$M:$AB,69,1):INDEX(TS!$M:$AB,69,$A511))/TS!$L$59*100,0)</f>
        <v>1589.0204463474213</v>
      </c>
      <c r="J511">
        <f t="shared" si="15"/>
        <v>0</v>
      </c>
      <c r="O511" t="str">
        <f>IF(I511&gt;=99.9,"COMPLETED",IF('BOBOT PEK'!U237&gt;$J$7,"NOT STARTED",IF('BOBOT PEK'!V237&lt;$J$7,"CRITICAL",IF(I511+1&lt;H511,"DELAYED","ON SCHEDULE"))))</f>
        <v>COMPLETED</v>
      </c>
      <c r="Q511" t="str">
        <f>IFERROR(IF(AND($A511=$B$8,'BOBOT PEK'!U237&lt;=$B$8,$B$8&lt;='BOBOT PEK'!V237),COUNTIFS($A$17:$A511,$B$8),""),"")</f>
        <v/>
      </c>
    </row>
    <row r="512" spans="1:17" ht="23.25" customHeight="1" x14ac:dyDescent="0.2">
      <c r="A512">
        <f>IFERROR(IF(COUNTIF($C$17:C512,C512)&lt;=('BOBOT PEK'!V238-'BOBOT PEK'!U238+1),'BOBOT PEK'!U238+COUNTIF($C$17:C512,C512)-1,0),0)</f>
        <v>8</v>
      </c>
      <c r="B512" t="str">
        <f>IFERROR(TEXT(INDEX('KALENDER MINGGU'!$B$6:$B$21,$A512),"dd/mm")&amp;" - "&amp;TEXT(INDEX('KALENDER MINGGU'!$C$6:$C$21,$A512),"dd/mm"),"")</f>
        <v>10/09 - 16/09</v>
      </c>
      <c r="C512" t="s">
        <v>551</v>
      </c>
      <c r="D512" s="228" t="str">
        <f>'BOBOT PEK'!C238</f>
        <v>plafon
rangka hollow + gypsum 9mm</v>
      </c>
      <c r="E512" s="241">
        <f>'BOBOT PEK'!J238</f>
        <v>0.4052465413350011</v>
      </c>
      <c r="F512">
        <f>100/('BOBOT PEK'!V238-'BOBOT PEK'!U238+1)</f>
        <v>50</v>
      </c>
      <c r="G512">
        <f t="shared" si="14"/>
        <v>0.20262327066750055</v>
      </c>
      <c r="H512">
        <f>MIN(100,($A512-'BOBOT PEK'!U238+1)/('BOBOT PEK'!V238-'BOBOT PEK'!U238+1)*100)</f>
        <v>100</v>
      </c>
      <c r="I512">
        <f>IFERROR(SUM(INDEX(TS!$M:$AB,69,1):INDEX(TS!$M:$AB,69,$A512))/TS!$L$59*100,0)</f>
        <v>1349.6553576838598</v>
      </c>
      <c r="J512">
        <f t="shared" si="15"/>
        <v>0</v>
      </c>
      <c r="O512" t="str">
        <f>IF(I512&gt;=99.9,"COMPLETED",IF('BOBOT PEK'!U238&gt;$J$7,"NOT STARTED",IF('BOBOT PEK'!V238&lt;$J$7,"CRITICAL",IF(I512+1&lt;H512,"DELAYED","ON SCHEDULE"))))</f>
        <v>COMPLETED</v>
      </c>
      <c r="Q512" t="str">
        <f>IFERROR(IF(AND($A512=$B$8,'BOBOT PEK'!U238&lt;=$B$8,$B$8&lt;='BOBOT PEK'!V238),COUNTIFS($A$17:$A512,$B$8),""),"")</f>
        <v/>
      </c>
    </row>
    <row r="513" spans="1:17" ht="23.25" customHeight="1" x14ac:dyDescent="0.2">
      <c r="A513">
        <f>IFERROR(IF(COUNTIF($C$17:C513,C513)&lt;=('BOBOT PEK'!V239-'BOBOT PEK'!U239+1),'BOBOT PEK'!U239+COUNTIF($C$17:C513,C513)-1,0),0)</f>
        <v>10</v>
      </c>
      <c r="B513" t="str">
        <f>IFERROR(TEXT(INDEX('KALENDER MINGGU'!$B$6:$B$21,$A513),"dd/mm")&amp;" - "&amp;TEXT(INDEX('KALENDER MINGGU'!$C$6:$C$21,$A513),"dd/mm"),"")</f>
        <v>24/09 - 30/09</v>
      </c>
      <c r="C513" t="s">
        <v>552</v>
      </c>
      <c r="D513" s="228" t="str">
        <f>'BOBOT PEK'!C239</f>
        <v>kusen aluminium + kaca mati
aluminium 3" putih + kaca bening 8mm</v>
      </c>
      <c r="E513" s="241">
        <f>'BOBOT PEK'!J239</f>
        <v>0.68845861283616672</v>
      </c>
      <c r="F513">
        <f>100/('BOBOT PEK'!V239-'BOBOT PEK'!U239+1)</f>
        <v>50</v>
      </c>
      <c r="G513">
        <f t="shared" si="14"/>
        <v>0.34422930641808336</v>
      </c>
      <c r="H513">
        <f>MIN(100,($A513-'BOBOT PEK'!U239+1)/('BOBOT PEK'!V239-'BOBOT PEK'!U239+1)*100)</f>
        <v>100</v>
      </c>
      <c r="I513">
        <f>IFERROR(SUM(INDEX(TS!$M:$AB,69,1):INDEX(TS!$M:$AB,69,$A513))/TS!$L$59*100,0)</f>
        <v>1745.9640398962356</v>
      </c>
      <c r="J513">
        <f t="shared" si="15"/>
        <v>0</v>
      </c>
      <c r="O513" t="str">
        <f>IF(I513&gt;=99.9,"COMPLETED",IF('BOBOT PEK'!U239&gt;$J$7,"NOT STARTED",IF('BOBOT PEK'!V239&lt;$J$7,"CRITICAL",IF(I513+1&lt;H513,"DELAYED","ON SCHEDULE"))))</f>
        <v>COMPLETED</v>
      </c>
      <c r="Q513" t="str">
        <f>IFERROR(IF(AND($A513=$B$8,'BOBOT PEK'!U239&lt;=$B$8,$B$8&lt;='BOBOT PEK'!V239),COUNTIFS($A$17:$A513,$B$8),""),"")</f>
        <v/>
      </c>
    </row>
    <row r="514" spans="1:17" ht="23.25" customHeight="1" x14ac:dyDescent="0.2">
      <c r="A514">
        <f>IFERROR(IF(COUNTIF($C$17:C514,C514)&lt;=('BOBOT PEK'!V240-'BOBOT PEK'!U240+1),'BOBOT PEK'!U240+COUNTIF($C$17:C514,C514)-1,0),0)</f>
        <v>10</v>
      </c>
      <c r="B514" t="str">
        <f>IFERROR(TEXT(INDEX('KALENDER MINGGU'!$B$6:$B$21,$A514),"dd/mm")&amp;" - "&amp;TEXT(INDEX('KALENDER MINGGU'!$C$6:$C$21,$A514),"dd/mm"),"")</f>
        <v>24/09 - 30/09</v>
      </c>
      <c r="C514" t="s">
        <v>553</v>
      </c>
      <c r="D514" s="228" t="str">
        <f>'BOBOT PEK'!C240</f>
        <v>Kusen pintu floor hinge
aluminium 3" putih + kaca bening 8mm</v>
      </c>
      <c r="E514" s="241">
        <f>'BOBOT PEK'!J240</f>
        <v>0.13303548074128826</v>
      </c>
      <c r="F514">
        <f>100/('BOBOT PEK'!V240-'BOBOT PEK'!U240+1)</f>
        <v>50</v>
      </c>
      <c r="G514">
        <f t="shared" si="14"/>
        <v>6.6517740370644132E-2</v>
      </c>
      <c r="H514">
        <f>MIN(100,($A514-'BOBOT PEK'!U240+1)/('BOBOT PEK'!V240-'BOBOT PEK'!U240+1)*100)</f>
        <v>100</v>
      </c>
      <c r="I514">
        <f>IFERROR(SUM(INDEX(TS!$M:$AB,69,1):INDEX(TS!$M:$AB,69,$A514))/TS!$L$59*100,0)</f>
        <v>1745.9640398962356</v>
      </c>
      <c r="J514">
        <f t="shared" si="15"/>
        <v>0</v>
      </c>
      <c r="O514" t="str">
        <f>IF(I514&gt;=99.9,"COMPLETED",IF('BOBOT PEK'!U240&gt;$J$7,"NOT STARTED",IF('BOBOT PEK'!V240&lt;$J$7,"CRITICAL",IF(I514+1&lt;H514,"DELAYED","ON SCHEDULE"))))</f>
        <v>COMPLETED</v>
      </c>
      <c r="Q514" t="str">
        <f>IFERROR(IF(AND($A514=$B$8,'BOBOT PEK'!U240&lt;=$B$8,$B$8&lt;='BOBOT PEK'!V240),COUNTIFS($A$17:$A514,$B$8),""),"")</f>
        <v/>
      </c>
    </row>
    <row r="515" spans="1:17" ht="23.25" customHeight="1" x14ac:dyDescent="0.2">
      <c r="A515">
        <f>IFERROR(IF(COUNTIF($C$17:C515,C515)&lt;=('BOBOT PEK'!V241-'BOBOT PEK'!U241+1),'BOBOT PEK'!U241+COUNTIF($C$17:C515,C515)-1,0),0)</f>
        <v>10</v>
      </c>
      <c r="B515" t="str">
        <f>IFERROR(TEXT(INDEX('KALENDER MINGGU'!$B$6:$B$21,$A515),"dd/mm")&amp;" - "&amp;TEXT(INDEX('KALENDER MINGGU'!$C$6:$C$21,$A515),"dd/mm"),"")</f>
        <v>24/09 - 30/09</v>
      </c>
      <c r="C515" t="s">
        <v>554</v>
      </c>
      <c r="D515" s="228" t="str">
        <f>'BOBOT PEK'!C241</f>
        <v>Lighting
LED T8 18w 6500K</v>
      </c>
      <c r="E515" s="241">
        <f>'BOBOT PEK'!J241</f>
        <v>5.9865966333579719E-2</v>
      </c>
      <c r="F515">
        <f>100/('BOBOT PEK'!V241-'BOBOT PEK'!U241+1)</f>
        <v>50</v>
      </c>
      <c r="G515">
        <f t="shared" si="14"/>
        <v>2.993298316678986E-2</v>
      </c>
      <c r="H515">
        <f>MIN(100,($A515-'BOBOT PEK'!U241+1)/('BOBOT PEK'!V241-'BOBOT PEK'!U241+1)*100)</f>
        <v>100</v>
      </c>
      <c r="I515">
        <f>IFERROR(SUM(INDEX(TS!$M:$AB,69,1):INDEX(TS!$M:$AB,69,$A515))/TS!$L$59*100,0)</f>
        <v>1745.9640398962356</v>
      </c>
      <c r="J515">
        <f t="shared" si="15"/>
        <v>0</v>
      </c>
      <c r="O515" t="str">
        <f>IF(I515&gt;=99.9,"COMPLETED",IF('BOBOT PEK'!U241&gt;$J$7,"NOT STARTED",IF('BOBOT PEK'!V241&lt;$J$7,"CRITICAL",IF(I515+1&lt;H515,"DELAYED","ON SCHEDULE"))))</f>
        <v>COMPLETED</v>
      </c>
      <c r="Q515" t="str">
        <f>IFERROR(IF(AND($A515=$B$8,'BOBOT PEK'!U241&lt;=$B$8,$B$8&lt;='BOBOT PEK'!V241),COUNTIFS($A$17:$A515,$B$8),""),"")</f>
        <v/>
      </c>
    </row>
    <row r="516" spans="1:17" ht="23.25" customHeight="1" x14ac:dyDescent="0.2">
      <c r="A516">
        <f>IFERROR(IF(COUNTIF($C$17:C516,C516)&lt;=('BOBOT PEK'!V242-'BOBOT PEK'!U242+1),'BOBOT PEK'!U242+COUNTIF($C$17:C516,C516)-1,0),0)</f>
        <v>10</v>
      </c>
      <c r="B516" t="str">
        <f>IFERROR(TEXT(INDEX('KALENDER MINGGU'!$B$6:$B$21,$A516),"dd/mm")&amp;" - "&amp;TEXT(INDEX('KALENDER MINGGU'!$C$6:$C$21,$A516),"dd/mm"),"")</f>
        <v>24/09 - 30/09</v>
      </c>
      <c r="C516" t="s">
        <v>555</v>
      </c>
      <c r="D516" s="228" t="str">
        <f>'BOBOT PEK'!C242</f>
        <v>saklar dan stop kontak
ex schneider classic</v>
      </c>
      <c r="E516" s="241">
        <f>'BOBOT PEK'!J242</f>
        <v>0.10028828548189422</v>
      </c>
      <c r="F516">
        <f>100/('BOBOT PEK'!V242-'BOBOT PEK'!U242+1)</f>
        <v>50</v>
      </c>
      <c r="G516">
        <f t="shared" si="14"/>
        <v>5.0144142740947112E-2</v>
      </c>
      <c r="H516">
        <f>MIN(100,($A516-'BOBOT PEK'!U242+1)/('BOBOT PEK'!V242-'BOBOT PEK'!U242+1)*100)</f>
        <v>100</v>
      </c>
      <c r="I516">
        <f>IFERROR(SUM(INDEX(TS!$M:$AB,69,1):INDEX(TS!$M:$AB,69,$A516))/TS!$L$59*100,0)</f>
        <v>1745.9640398962356</v>
      </c>
      <c r="J516">
        <f t="shared" si="15"/>
        <v>0</v>
      </c>
      <c r="O516" t="str">
        <f>IF(I516&gt;=99.9,"COMPLETED",IF('BOBOT PEK'!U242&gt;$J$7,"NOT STARTED",IF('BOBOT PEK'!V242&lt;$J$7,"CRITICAL",IF(I516+1&lt;H516,"DELAYED","ON SCHEDULE"))))</f>
        <v>COMPLETED</v>
      </c>
      <c r="Q516" t="str">
        <f>IFERROR(IF(AND($A516=$B$8,'BOBOT PEK'!U242&lt;=$B$8,$B$8&lt;='BOBOT PEK'!V242),COUNTIFS($A$17:$A516,$B$8),""),"")</f>
        <v/>
      </c>
    </row>
    <row r="517" spans="1:17" ht="23.25" customHeight="1" x14ac:dyDescent="0.2">
      <c r="A517">
        <f>IFERROR(IF(COUNTIF($C$17:C517,C517)&lt;=('BOBOT PEK'!V243-'BOBOT PEK'!U243+1),'BOBOT PEK'!U243+COUNTIF($C$17:C517,C517)-1,0),0)</f>
        <v>10</v>
      </c>
      <c r="B517" t="str">
        <f>IFERROR(TEXT(INDEX('KALENDER MINGGU'!$B$6:$B$21,$A517),"dd/mm")&amp;" - "&amp;TEXT(INDEX('KALENDER MINGGU'!$C$6:$C$21,$A517),"dd/mm"),"")</f>
        <v>24/09 - 30/09</v>
      </c>
      <c r="C517" t="s">
        <v>556</v>
      </c>
      <c r="D517" s="228" t="str">
        <f>'BOBOT PEK'!C243</f>
        <v>Pengadaan dan pemasangan AC
ex gree 2pk</v>
      </c>
      <c r="E517" s="241">
        <f>'BOBOT PEK'!J243</f>
        <v>0.56540079315047509</v>
      </c>
      <c r="F517">
        <f>100/('BOBOT PEK'!V243-'BOBOT PEK'!U243+1)</f>
        <v>50</v>
      </c>
      <c r="G517">
        <f t="shared" si="14"/>
        <v>0.28270039657523754</v>
      </c>
      <c r="H517">
        <f>MIN(100,($A517-'BOBOT PEK'!U243+1)/('BOBOT PEK'!V243-'BOBOT PEK'!U243+1)*100)</f>
        <v>100</v>
      </c>
      <c r="I517">
        <f>IFERROR(SUM(INDEX(TS!$M:$AB,69,1):INDEX(TS!$M:$AB,69,$A517))/TS!$L$59*100,0)</f>
        <v>1745.9640398962356</v>
      </c>
      <c r="J517">
        <f t="shared" si="15"/>
        <v>0</v>
      </c>
      <c r="O517" t="str">
        <f>IF(I517&gt;=99.9,"COMPLETED",IF('BOBOT PEK'!U243&gt;$J$7,"NOT STARTED",IF('BOBOT PEK'!V243&lt;$J$7,"CRITICAL",IF(I517+1&lt;H517,"DELAYED","ON SCHEDULE"))))</f>
        <v>COMPLETED</v>
      </c>
      <c r="Q517" t="str">
        <f>IFERROR(IF(AND($A517=$B$8,'BOBOT PEK'!U243&lt;=$B$8,$B$8&lt;='BOBOT PEK'!V243),COUNTIFS($A$17:$A517,$B$8),""),"")</f>
        <v/>
      </c>
    </row>
    <row r="518" spans="1:17" ht="23.25" customHeight="1" x14ac:dyDescent="0.2">
      <c r="A518">
        <f>IFERROR(IF(COUNTIF($C$17:C518,C518)&lt;=('BOBOT PEK'!V244-'BOBOT PEK'!U244+1),'BOBOT PEK'!U244+COUNTIF($C$17:C518,C518)-1,0),0)</f>
        <v>11</v>
      </c>
      <c r="B518" t="str">
        <f>IFERROR(TEXT(INDEX('KALENDER MINGGU'!$B$6:$B$21,$A518),"dd/mm")&amp;" - "&amp;TEXT(INDEX('KALENDER MINGGU'!$C$6:$C$21,$A518),"dd/mm"),"")</f>
        <v>01/10 - 07/10</v>
      </c>
      <c r="C518" t="s">
        <v>557</v>
      </c>
      <c r="D518" s="228" t="str">
        <f>'BOBOT PEK'!C244</f>
        <v>Fasad
rangka + MMT + lighting 50w</v>
      </c>
      <c r="E518" s="241">
        <f>'BOBOT PEK'!J244</f>
        <v>9.3124836518901771E-2</v>
      </c>
      <c r="F518">
        <f>100/('BOBOT PEK'!V244-'BOBOT PEK'!U244+1)</f>
        <v>33.333333333333336</v>
      </c>
      <c r="G518">
        <f t="shared" si="14"/>
        <v>3.1041612172967262E-2</v>
      </c>
      <c r="H518">
        <f>MIN(100,($A518-'BOBOT PEK'!U244+1)/('BOBOT PEK'!V244-'BOBOT PEK'!U244+1)*100)</f>
        <v>66.666666666666657</v>
      </c>
      <c r="I518">
        <f>IFERROR(SUM(INDEX(TS!$M:$AB,69,1):INDEX(TS!$M:$AB,69,$A518))/TS!$L$59*100,0)</f>
        <v>1957.4338774804967</v>
      </c>
      <c r="J518">
        <f t="shared" si="15"/>
        <v>0</v>
      </c>
      <c r="O518" t="str">
        <f>IF(I518&gt;=99.9,"COMPLETED",IF('BOBOT PEK'!U244&gt;$J$7,"NOT STARTED",IF('BOBOT PEK'!V244&lt;$J$7,"CRITICAL",IF(I518+1&lt;H518,"DELAYED","ON SCHEDULE"))))</f>
        <v>COMPLETED</v>
      </c>
      <c r="Q518" t="str">
        <f>IFERROR(IF(AND($A518=$B$8,'BOBOT PEK'!U244&lt;=$B$8,$B$8&lt;='BOBOT PEK'!V244),COUNTIFS($A$17:$A518,$B$8),""),"")</f>
        <v/>
      </c>
    </row>
    <row r="519" spans="1:17" ht="23.25" customHeight="1" x14ac:dyDescent="0.2">
      <c r="A519">
        <f>IFERROR(IF(COUNTIF($C$17:C519,C519)&lt;=('BOBOT PEK'!V245-'BOBOT PEK'!U245+1),'BOBOT PEK'!U245+COUNTIF($C$17:C519,C519)-1,0),0)</f>
        <v>11</v>
      </c>
      <c r="B519" t="str">
        <f>IFERROR(TEXT(INDEX('KALENDER MINGGU'!$B$6:$B$21,$A519),"dd/mm")&amp;" - "&amp;TEXT(INDEX('KALENDER MINGGU'!$C$6:$C$21,$A519),"dd/mm"),"")</f>
        <v>01/10 - 07/10</v>
      </c>
      <c r="C519" t="s">
        <v>558</v>
      </c>
      <c r="D519" s="228" t="str">
        <f>'BOBOT PEK'!C245</f>
        <v>Signage
neon box</v>
      </c>
      <c r="E519" s="241">
        <f>'BOBOT PEK'!J245</f>
        <v>0.20466997037121271</v>
      </c>
      <c r="F519">
        <f>100/('BOBOT PEK'!V245-'BOBOT PEK'!U245+1)</f>
        <v>33.333333333333336</v>
      </c>
      <c r="G519">
        <f t="shared" si="14"/>
        <v>6.8223323457070911E-2</v>
      </c>
      <c r="H519">
        <f>MIN(100,($A519-'BOBOT PEK'!U245+1)/('BOBOT PEK'!V245-'BOBOT PEK'!U245+1)*100)</f>
        <v>66.666666666666657</v>
      </c>
      <c r="I519">
        <f>IFERROR(SUM(INDEX(TS!$M:$AB,69,1):INDEX(TS!$M:$AB,69,$A519))/TS!$L$59*100,0)</f>
        <v>1957.4338774804967</v>
      </c>
      <c r="J519">
        <f t="shared" si="15"/>
        <v>0</v>
      </c>
      <c r="O519" t="str">
        <f>IF(I519&gt;=99.9,"COMPLETED",IF('BOBOT PEK'!U245&gt;$J$7,"NOT STARTED",IF('BOBOT PEK'!V245&lt;$J$7,"CRITICAL",IF(I519+1&lt;H519,"DELAYED","ON SCHEDULE"))))</f>
        <v>COMPLETED</v>
      </c>
      <c r="Q519" t="str">
        <f>IFERROR(IF(AND($A519=$B$8,'BOBOT PEK'!U245&lt;=$B$8,$B$8&lt;='BOBOT PEK'!V245),COUNTIFS($A$17:$A519,$B$8),""),"")</f>
        <v/>
      </c>
    </row>
    <row r="520" spans="1:17" ht="12.75" customHeight="1" x14ac:dyDescent="0.2">
      <c r="A520">
        <f>IFERROR(IF(COUNTIF($C$17:C520,C520)&lt;=('BOBOT PEK'!V53-'BOBOT PEK'!U53+1),'BOBOT PEK'!U53+COUNTIF($C$17:C520,C520)-1,0),0)</f>
        <v>13</v>
      </c>
      <c r="B520" t="str">
        <f>IFERROR(TEXT(INDEX('KALENDER MINGGU'!$B$6:$B$21,$A520),"dd/mm")&amp;" - "&amp;TEXT(INDEX('KALENDER MINGGU'!$C$6:$C$21,$A520),"dd/mm"),"")</f>
        <v>15/10 - 21/10</v>
      </c>
      <c r="C520" t="s">
        <v>451</v>
      </c>
      <c r="D520" t="str">
        <f>'BOBOT PEK'!C53</f>
        <v>Pekerjaan refinishing pagar depan</v>
      </c>
      <c r="E520" s="241">
        <f>'BOBOT PEK'!J53</f>
        <v>0.13286918639036166</v>
      </c>
      <c r="F520">
        <f>100/('BOBOT PEK'!V53-'BOBOT PEK'!U53+1)</f>
        <v>50</v>
      </c>
      <c r="G520">
        <f t="shared" si="14"/>
        <v>6.643459319518083E-2</v>
      </c>
      <c r="H520">
        <f>MIN(100,($A520-'BOBOT PEK'!U53+1)/('BOBOT PEK'!V53-'BOBOT PEK'!U53+1)*100)</f>
        <v>50</v>
      </c>
      <c r="I520">
        <f>IFERROR(SUM(INDEX(TS!$M:$AB,31,1):INDEX(TS!$M:$AB,31,$A520))/TS!$L$21*100,0)</f>
        <v>556.87389801468316</v>
      </c>
      <c r="J520">
        <f t="shared" si="15"/>
        <v>0</v>
      </c>
      <c r="O520" t="str">
        <f>IF(I520&gt;=99.9,"COMPLETED",IF('BOBOT PEK'!U53&gt;$J$7,"NOT STARTED",IF('BOBOT PEK'!V53&lt;$J$7,"CRITICAL",IF(I520+1&lt;H520,"DELAYED","ON SCHEDULE"))))</f>
        <v>COMPLETED</v>
      </c>
      <c r="Q520" t="str">
        <f>IFERROR(IF(AND($A520=$B$8,'BOBOT PEK'!U53&lt;=$B$8,$B$8&lt;='BOBOT PEK'!V53),COUNTIFS($A$17:$A520,$B$8),""),"")</f>
        <v/>
      </c>
    </row>
    <row r="521" spans="1:17" ht="12.75" customHeight="1" x14ac:dyDescent="0.2">
      <c r="A521">
        <f>IFERROR(IF(COUNTIF($C$17:C521,C521)&lt;=('BOBOT PEK'!V54-'BOBOT PEK'!U54+1),'BOBOT PEK'!U54+COUNTIF($C$17:C521,C521)-1,0),0)</f>
        <v>13</v>
      </c>
      <c r="B521" t="str">
        <f>IFERROR(TEXT(INDEX('KALENDER MINGGU'!$B$6:$B$21,$A521),"dd/mm")&amp;" - "&amp;TEXT(INDEX('KALENDER MINGGU'!$C$6:$C$21,$A521),"dd/mm"),"")</f>
        <v>15/10 - 21/10</v>
      </c>
      <c r="C521" t="s">
        <v>452</v>
      </c>
      <c r="D521" t="str">
        <f>'BOBOT PEK'!C54</f>
        <v>Pekerjaan refinishing pintu dan tralis pagar depan</v>
      </c>
      <c r="E521" s="241">
        <f>'BOBOT PEK'!J54</f>
        <v>0.21746184351941347</v>
      </c>
      <c r="F521">
        <f>100/('BOBOT PEK'!V54-'BOBOT PEK'!U54+1)</f>
        <v>50</v>
      </c>
      <c r="G521">
        <f t="shared" si="14"/>
        <v>0.10873092175970674</v>
      </c>
      <c r="H521">
        <f>MIN(100,($A521-'BOBOT PEK'!U54+1)/('BOBOT PEK'!V54-'BOBOT PEK'!U54+1)*100)</f>
        <v>50</v>
      </c>
      <c r="I521">
        <f>IFERROR(SUM(INDEX(TS!$M:$AB,31,1):INDEX(TS!$M:$AB,31,$A521))/TS!$L$21*100,0)</f>
        <v>556.87389801468316</v>
      </c>
      <c r="J521">
        <f t="shared" si="15"/>
        <v>0</v>
      </c>
      <c r="O521" t="str">
        <f>IF(I521&gt;=99.9,"COMPLETED",IF('BOBOT PEK'!U54&gt;$J$7,"NOT STARTED",IF('BOBOT PEK'!V54&lt;$J$7,"CRITICAL",IF(I521+1&lt;H521,"DELAYED","ON SCHEDULE"))))</f>
        <v>COMPLETED</v>
      </c>
      <c r="Q521" t="str">
        <f>IFERROR(IF(AND($A521=$B$8,'BOBOT PEK'!U54&lt;=$B$8,$B$8&lt;='BOBOT PEK'!V54),COUNTIFS($A$17:$A521,$B$8),""),"")</f>
        <v/>
      </c>
    </row>
    <row r="522" spans="1:17" ht="12.75" customHeight="1" x14ac:dyDescent="0.2">
      <c r="A522">
        <f>IFERROR(IF(COUNTIF($C$17:C522,C522)&lt;=('BOBOT PEK'!V55-'BOBOT PEK'!U55+1),'BOBOT PEK'!U55+COUNTIF($C$17:C522,C522)-1,0),0)</f>
        <v>13</v>
      </c>
      <c r="B522" t="str">
        <f>IFERROR(TEXT(INDEX('KALENDER MINGGU'!$B$6:$B$21,$A522),"dd/mm")&amp;" - "&amp;TEXT(INDEX('KALENDER MINGGU'!$C$6:$C$21,$A522),"dd/mm"),"")</f>
        <v>15/10 - 21/10</v>
      </c>
      <c r="C522" t="s">
        <v>453</v>
      </c>
      <c r="D522" t="str">
        <f>'BOBOT PEK'!C55</f>
        <v>Pekerjaan pintu boom gate pintu utama</v>
      </c>
      <c r="E522" s="241">
        <f>'BOBOT PEK'!J55</f>
        <v>0</v>
      </c>
      <c r="F522">
        <f>100/('BOBOT PEK'!V55-'BOBOT PEK'!U55+1)</f>
        <v>50</v>
      </c>
      <c r="G522">
        <f t="shared" si="14"/>
        <v>0</v>
      </c>
      <c r="H522">
        <f>MIN(100,($A522-'BOBOT PEK'!U55+1)/('BOBOT PEK'!V55-'BOBOT PEK'!U55+1)*100)</f>
        <v>50</v>
      </c>
      <c r="I522">
        <f>IFERROR(SUM(INDEX(TS!$M:$AB,31,1):INDEX(TS!$M:$AB,31,$A522))/TS!$L$21*100,0)</f>
        <v>556.87389801468316</v>
      </c>
      <c r="J522">
        <f t="shared" si="15"/>
        <v>0</v>
      </c>
      <c r="O522" t="str">
        <f>IF(I522&gt;=99.9,"COMPLETED",IF('BOBOT PEK'!U55&gt;$J$7,"NOT STARTED",IF('BOBOT PEK'!V55&lt;$J$7,"CRITICAL",IF(I522+1&lt;H522,"DELAYED","ON SCHEDULE"))))</f>
        <v>COMPLETED</v>
      </c>
      <c r="Q522" t="str">
        <f>IFERROR(IF(AND($A522=$B$8,'BOBOT PEK'!U55&lt;=$B$8,$B$8&lt;='BOBOT PEK'!V55),COUNTIFS($A$17:$A522,$B$8),""),"")</f>
        <v/>
      </c>
    </row>
    <row r="523" spans="1:17" ht="12.75" customHeight="1" x14ac:dyDescent="0.2">
      <c r="A523">
        <f>IFERROR(IF(COUNTIF($C$17:C523,C523)&lt;=('BOBOT PEK'!V56-'BOBOT PEK'!U56+1),'BOBOT PEK'!U56+COUNTIF($C$17:C523,C523)-1,0),0)</f>
        <v>13</v>
      </c>
      <c r="B523" t="str">
        <f>IFERROR(TEXT(INDEX('KALENDER MINGGU'!$B$6:$B$21,$A523),"dd/mm")&amp;" - "&amp;TEXT(INDEX('KALENDER MINGGU'!$C$6:$C$21,$A523),"dd/mm"),"")</f>
        <v>15/10 - 21/10</v>
      </c>
      <c r="C523" t="s">
        <v>454</v>
      </c>
      <c r="D523" t="str">
        <f>'BOBOT PEK'!C56</f>
        <v>pondasi struktur boom gate</v>
      </c>
      <c r="E523" s="241">
        <f>'BOBOT PEK'!J56</f>
        <v>0.10233498518560635</v>
      </c>
      <c r="F523">
        <f>100/('BOBOT PEK'!V56-'BOBOT PEK'!U56+1)</f>
        <v>50</v>
      </c>
      <c r="G523">
        <f t="shared" si="14"/>
        <v>5.1167492592803177E-2</v>
      </c>
      <c r="H523">
        <f>MIN(100,($A523-'BOBOT PEK'!U56+1)/('BOBOT PEK'!V56-'BOBOT PEK'!U56+1)*100)</f>
        <v>50</v>
      </c>
      <c r="I523">
        <f>IFERROR(SUM(INDEX(TS!$M:$AB,31,1):INDEX(TS!$M:$AB,31,$A523))/TS!$L$21*100,0)</f>
        <v>556.87389801468316</v>
      </c>
      <c r="J523">
        <f t="shared" si="15"/>
        <v>0</v>
      </c>
      <c r="O523" t="str">
        <f>IF(I523&gt;=99.9,"COMPLETED",IF('BOBOT PEK'!U56&gt;$J$7,"NOT STARTED",IF('BOBOT PEK'!V56&lt;$J$7,"CRITICAL",IF(I523+1&lt;H523,"DELAYED","ON SCHEDULE"))))</f>
        <v>COMPLETED</v>
      </c>
      <c r="Q523" t="str">
        <f>IFERROR(IF(AND($A523=$B$8,'BOBOT PEK'!U56&lt;=$B$8,$B$8&lt;='BOBOT PEK'!V56),COUNTIFS($A$17:$A523,$B$8),""),"")</f>
        <v/>
      </c>
    </row>
    <row r="524" spans="1:17" ht="12.75" customHeight="1" x14ac:dyDescent="0.2">
      <c r="A524">
        <f>IFERROR(IF(COUNTIF($C$17:C524,C524)&lt;=('BOBOT PEK'!V57-'BOBOT PEK'!U57+1),'BOBOT PEK'!U57+COUNTIF($C$17:C524,C524)-1,0),0)</f>
        <v>13</v>
      </c>
      <c r="B524" t="str">
        <f>IFERROR(TEXT(INDEX('KALENDER MINGGU'!$B$6:$B$21,$A524),"dd/mm")&amp;" - "&amp;TEXT(INDEX('KALENDER MINGGU'!$C$6:$C$21,$A524),"dd/mm"),"")</f>
        <v>15/10 - 21/10</v>
      </c>
      <c r="C524" t="s">
        <v>455</v>
      </c>
      <c r="D524" t="str">
        <f>'BOBOT PEK'!C57</f>
        <v>Boom gate 6m</v>
      </c>
      <c r="E524" s="241">
        <f>'BOBOT PEK'!J57</f>
        <v>0.76751238889204765</v>
      </c>
      <c r="F524">
        <f>100/('BOBOT PEK'!V57-'BOBOT PEK'!U57+1)</f>
        <v>50</v>
      </c>
      <c r="G524">
        <f t="shared" si="14"/>
        <v>0.38375619444602382</v>
      </c>
      <c r="H524">
        <f>MIN(100,($A524-'BOBOT PEK'!U57+1)/('BOBOT PEK'!V57-'BOBOT PEK'!U57+1)*100)</f>
        <v>50</v>
      </c>
      <c r="I524">
        <f>IFERROR(SUM(INDEX(TS!$M:$AB,31,1):INDEX(TS!$M:$AB,31,$A524))/TS!$L$21*100,0)</f>
        <v>556.87389801468316</v>
      </c>
      <c r="J524">
        <f t="shared" si="15"/>
        <v>0</v>
      </c>
      <c r="O524" t="str">
        <f>IF(I524&gt;=99.9,"COMPLETED",IF('BOBOT PEK'!U57&gt;$J$7,"NOT STARTED",IF('BOBOT PEK'!V57&lt;$J$7,"CRITICAL",IF(I524+1&lt;H524,"DELAYED","ON SCHEDULE"))))</f>
        <v>COMPLETED</v>
      </c>
      <c r="Q524" t="str">
        <f>IFERROR(IF(AND($A524=$B$8,'BOBOT PEK'!U57&lt;=$B$8,$B$8&lt;='BOBOT PEK'!V57),COUNTIFS($A$17:$A524,$B$8),""),"")</f>
        <v/>
      </c>
    </row>
    <row r="525" spans="1:17" ht="12.75" customHeight="1" x14ac:dyDescent="0.2">
      <c r="A525">
        <f>IFERROR(IF(COUNTIF($C$17:C525,C525)&lt;=('BOBOT PEK'!V58-'BOBOT PEK'!U58+1),'BOBOT PEK'!U58+COUNTIF($C$17:C525,C525)-1,0),0)</f>
        <v>13</v>
      </c>
      <c r="B525" t="str">
        <f>IFERROR(TEXT(INDEX('KALENDER MINGGU'!$B$6:$B$21,$A525),"dd/mm")&amp;" - "&amp;TEXT(INDEX('KALENDER MINGGU'!$C$6:$C$21,$A525),"dd/mm"),"")</f>
        <v>15/10 - 21/10</v>
      </c>
      <c r="C525" t="s">
        <v>456</v>
      </c>
      <c r="D525" t="str">
        <f>'BOBOT PEK'!C58</f>
        <v xml:space="preserve">instalasi listrik </v>
      </c>
      <c r="E525" s="241">
        <f>'BOBOT PEK'!J58</f>
        <v>6.3959365741003971E-2</v>
      </c>
      <c r="F525">
        <f>100/('BOBOT PEK'!V58-'BOBOT PEK'!U58+1)</f>
        <v>50</v>
      </c>
      <c r="G525">
        <f t="shared" si="14"/>
        <v>3.1979682870501985E-2</v>
      </c>
      <c r="H525">
        <f>MIN(100,($A525-'BOBOT PEK'!U58+1)/('BOBOT PEK'!V58-'BOBOT PEK'!U58+1)*100)</f>
        <v>50</v>
      </c>
      <c r="I525">
        <f>IFERROR(SUM(INDEX(TS!$M:$AB,31,1):INDEX(TS!$M:$AB,31,$A525))/TS!$L$21*100,0)</f>
        <v>556.87389801468316</v>
      </c>
      <c r="J525">
        <f t="shared" si="15"/>
        <v>0</v>
      </c>
      <c r="O525" t="str">
        <f>IF(I525&gt;=99.9,"COMPLETED",IF('BOBOT PEK'!U58&gt;$J$7,"NOT STARTED",IF('BOBOT PEK'!V58&lt;$J$7,"CRITICAL",IF(I525+1&lt;H525,"DELAYED","ON SCHEDULE"))))</f>
        <v>COMPLETED</v>
      </c>
      <c r="Q525" t="str">
        <f>IFERROR(IF(AND($A525=$B$8,'BOBOT PEK'!U58&lt;=$B$8,$B$8&lt;='BOBOT PEK'!V58),COUNTIFS($A$17:$A525,$B$8),""),"")</f>
        <v/>
      </c>
    </row>
    <row r="526" spans="1:17" ht="12.75" customHeight="1" x14ac:dyDescent="0.2">
      <c r="A526">
        <f>IFERROR(IF(COUNTIF($C$17:C526,C526)&lt;=('BOBOT PEK'!V77-'BOBOT PEK'!U77+1),'BOBOT PEK'!U77+COUNTIF($C$17:C526,C526)-1,0),0)</f>
        <v>13</v>
      </c>
      <c r="B526" t="str">
        <f>IFERROR(TEXT(INDEX('KALENDER MINGGU'!$B$6:$B$21,$A526),"dd/mm")&amp;" - "&amp;TEXT(INDEX('KALENDER MINGGU'!$C$6:$C$21,$A526),"dd/mm"),"")</f>
        <v>15/10 - 21/10</v>
      </c>
      <c r="C526" t="s">
        <v>464</v>
      </c>
      <c r="D526" t="str">
        <f>'BOBOT PEK'!C77</f>
        <v xml:space="preserve">Pengupasan aspal existing </v>
      </c>
      <c r="E526" s="241">
        <f>'BOBOT PEK'!J77</f>
        <v>3.3576108639397444</v>
      </c>
      <c r="F526">
        <f>100/('BOBOT PEK'!V77-'BOBOT PEK'!U77+1)</f>
        <v>6.25</v>
      </c>
      <c r="G526">
        <f t="shared" si="14"/>
        <v>0.20985067899623402</v>
      </c>
      <c r="H526">
        <f>MIN(100,($A526-'BOBOT PEK'!U77+1)/('BOBOT PEK'!V77-'BOBOT PEK'!U77+1)*100)</f>
        <v>81.25</v>
      </c>
      <c r="I526">
        <f>IFERROR(SUM(INDEX(TS!$M:$AB,37,1):INDEX(TS!$M:$AB,37,$A526))/TS!$L$27*100,0)</f>
        <v>3.4799918820120639</v>
      </c>
      <c r="J526">
        <f t="shared" si="15"/>
        <v>96.520008117987942</v>
      </c>
      <c r="O526" t="str">
        <f ca="1">IF(I526&gt;=99.9,"COMPLETED",IF('BOBOT PEK'!U77&gt;$J$7,"NOT STARTED",IF('BOBOT PEK'!V77&lt;$J$7,"CRITICAL",IF(I526+1&lt;H526,"DELAYED","ON SCHEDULE"))))</f>
        <v>DELAYED</v>
      </c>
      <c r="Q526" t="str">
        <f>IFERROR(IF(AND($A526=$B$8,'BOBOT PEK'!U77&lt;=$B$8,$B$8&lt;='BOBOT PEK'!V77),COUNTIFS($A$17:$A526,$B$8),""),"")</f>
        <v/>
      </c>
    </row>
    <row r="527" spans="1:17" ht="12.75" customHeight="1" x14ac:dyDescent="0.2">
      <c r="A527">
        <f>IFERROR(IF(COUNTIF($C$17:C527,C527)&lt;=('BOBOT PEK'!V78-'BOBOT PEK'!U78+1),'BOBOT PEK'!U78+COUNTIF($C$17:C527,C527)-1,0),0)</f>
        <v>13</v>
      </c>
      <c r="B527" t="str">
        <f>IFERROR(TEXT(INDEX('KALENDER MINGGU'!$B$6:$B$21,$A527),"dd/mm")&amp;" - "&amp;TEXT(INDEX('KALENDER MINGGU'!$C$6:$C$21,$A527),"dd/mm"),"")</f>
        <v>15/10 - 21/10</v>
      </c>
      <c r="C527" t="s">
        <v>465</v>
      </c>
      <c r="D527" t="str">
        <f>'BOBOT PEK'!C78</f>
        <v xml:space="preserve">Pengupasan beton existing </v>
      </c>
      <c r="E527" s="241">
        <f>'BOBOT PEK'!J78</f>
        <v>1.9430855312117006</v>
      </c>
      <c r="F527">
        <f>100/('BOBOT PEK'!V78-'BOBOT PEK'!U78+1)</f>
        <v>6.25</v>
      </c>
      <c r="G527">
        <f t="shared" si="14"/>
        <v>0.12144284570073129</v>
      </c>
      <c r="H527">
        <f>MIN(100,($A527-'BOBOT PEK'!U78+1)/('BOBOT PEK'!V78-'BOBOT PEK'!U78+1)*100)</f>
        <v>81.25</v>
      </c>
      <c r="I527">
        <f>IFERROR(SUM(INDEX(TS!$M:$AB,37,1):INDEX(TS!$M:$AB,37,$A527))/TS!$L$27*100,0)</f>
        <v>3.4799918820120639</v>
      </c>
      <c r="J527">
        <f t="shared" si="15"/>
        <v>96.520008117987942</v>
      </c>
      <c r="O527" t="str">
        <f ca="1">IF(I527&gt;=99.9,"COMPLETED",IF('BOBOT PEK'!U78&gt;$J$7,"NOT STARTED",IF('BOBOT PEK'!V78&lt;$J$7,"CRITICAL",IF(I527+1&lt;H527,"DELAYED","ON SCHEDULE"))))</f>
        <v>DELAYED</v>
      </c>
      <c r="Q527" t="str">
        <f>IFERROR(IF(AND($A527=$B$8,'BOBOT PEK'!U78&lt;=$B$8,$B$8&lt;='BOBOT PEK'!V78),COUNTIFS($A$17:$A527,$B$8),""),"")</f>
        <v/>
      </c>
    </row>
    <row r="528" spans="1:17" ht="12.75" customHeight="1" x14ac:dyDescent="0.2">
      <c r="A528">
        <f>IFERROR(IF(COUNTIF($C$17:C528,C528)&lt;=('BOBOT PEK'!V79-'BOBOT PEK'!U79+1),'BOBOT PEK'!U79+COUNTIF($C$17:C528,C528)-1,0),0)</f>
        <v>13</v>
      </c>
      <c r="B528" t="str">
        <f>IFERROR(TEXT(INDEX('KALENDER MINGGU'!$B$6:$B$21,$A528),"dd/mm")&amp;" - "&amp;TEXT(INDEX('KALENDER MINGGU'!$C$6:$C$21,$A528),"dd/mm"),"")</f>
        <v>15/10 - 21/10</v>
      </c>
      <c r="C528" t="s">
        <v>466</v>
      </c>
      <c r="D528" t="str">
        <f>'BOBOT PEK'!C79</f>
        <v>Pembuangan puing sewa truk</v>
      </c>
      <c r="E528" s="241">
        <f>'BOBOT PEK'!J79</f>
        <v>3.3766707549305637</v>
      </c>
      <c r="F528">
        <f>100/('BOBOT PEK'!V79-'BOBOT PEK'!U79+1)</f>
        <v>6.25</v>
      </c>
      <c r="G528">
        <f t="shared" si="14"/>
        <v>0.21104192218316023</v>
      </c>
      <c r="H528">
        <f>MIN(100,($A528-'BOBOT PEK'!U79+1)/('BOBOT PEK'!V79-'BOBOT PEK'!U79+1)*100)</f>
        <v>81.25</v>
      </c>
      <c r="I528">
        <f>IFERROR(SUM(INDEX(TS!$M:$AB,37,1):INDEX(TS!$M:$AB,37,$A528))/TS!$L$27*100,0)</f>
        <v>3.4799918820120639</v>
      </c>
      <c r="J528">
        <f t="shared" si="15"/>
        <v>96.520008117987942</v>
      </c>
      <c r="O528" t="str">
        <f ca="1">IF(I528&gt;=99.9,"COMPLETED",IF('BOBOT PEK'!U79&gt;$J$7,"NOT STARTED",IF('BOBOT PEK'!V79&lt;$J$7,"CRITICAL",IF(I528+1&lt;H528,"DELAYED","ON SCHEDULE"))))</f>
        <v>DELAYED</v>
      </c>
      <c r="Q528" t="str">
        <f>IFERROR(IF(AND($A528=$B$8,'BOBOT PEK'!U79&lt;=$B$8,$B$8&lt;='BOBOT PEK'!V79),COUNTIFS($A$17:$A528,$B$8),""),"")</f>
        <v/>
      </c>
    </row>
    <row r="529" spans="1:17" ht="12.75" customHeight="1" x14ac:dyDescent="0.2">
      <c r="A529">
        <f>IFERROR(IF(COUNTIF($C$17:C529,C529)&lt;=('BOBOT PEK'!V80-'BOBOT PEK'!U80+1),'BOBOT PEK'!U80+COUNTIF($C$17:C529,C529)-1,0),0)</f>
        <v>13</v>
      </c>
      <c r="B529" t="str">
        <f>IFERROR(TEXT(INDEX('KALENDER MINGGU'!$B$6:$B$21,$A529),"dd/mm")&amp;" - "&amp;TEXT(INDEX('KALENDER MINGGU'!$C$6:$C$21,$A529),"dd/mm"),"")</f>
        <v>15/10 - 21/10</v>
      </c>
      <c r="C529" t="s">
        <v>467</v>
      </c>
      <c r="D529" t="str">
        <f>'BOBOT PEK'!C80</f>
        <v>Besi 13 ulir , kotak 30x30cm</v>
      </c>
      <c r="E529" s="241">
        <f>'BOBOT PEK'!J80</f>
        <v>15.224105695407308</v>
      </c>
      <c r="F529">
        <f>100/('BOBOT PEK'!V80-'BOBOT PEK'!U80+1)</f>
        <v>6.25</v>
      </c>
      <c r="G529">
        <f t="shared" ref="G529:G592" si="16">F529/100*E529</f>
        <v>0.95150660596295678</v>
      </c>
      <c r="H529">
        <f>MIN(100,($A529-'BOBOT PEK'!U80+1)/('BOBOT PEK'!V80-'BOBOT PEK'!U80+1)*100)</f>
        <v>81.25</v>
      </c>
      <c r="I529">
        <f>IFERROR(SUM(INDEX(TS!$M:$AB,37,1):INDEX(TS!$M:$AB,37,$A529))/TS!$L$27*100,0)</f>
        <v>3.4799918820120639</v>
      </c>
      <c r="J529">
        <f t="shared" ref="J529:J592" si="17">MAX(0,100-I529)</f>
        <v>96.520008117987942</v>
      </c>
      <c r="O529" t="str">
        <f ca="1">IF(I529&gt;=99.9,"COMPLETED",IF('BOBOT PEK'!U80&gt;$J$7,"NOT STARTED",IF('BOBOT PEK'!V80&lt;$J$7,"CRITICAL",IF(I529+1&lt;H529,"DELAYED","ON SCHEDULE"))))</f>
        <v>DELAYED</v>
      </c>
      <c r="Q529" t="str">
        <f>IFERROR(IF(AND($A529=$B$8,'BOBOT PEK'!U80&lt;=$B$8,$B$8&lt;='BOBOT PEK'!V80),COUNTIFS($A$17:$A529,$B$8),""),"")</f>
        <v/>
      </c>
    </row>
    <row r="530" spans="1:17" ht="12.75" customHeight="1" x14ac:dyDescent="0.2">
      <c r="A530">
        <f>IFERROR(IF(COUNTIF($C$17:C530,C530)&lt;=('BOBOT PEK'!V81-'BOBOT PEK'!U81+1),'BOBOT PEK'!U81+COUNTIF($C$17:C530,C530)-1,0),0)</f>
        <v>13</v>
      </c>
      <c r="B530" t="str">
        <f>IFERROR(TEXT(INDEX('KALENDER MINGGU'!$B$6:$B$21,$A530),"dd/mm")&amp;" - "&amp;TEXT(INDEX('KALENDER MINGGU'!$C$6:$C$21,$A530),"dd/mm"),"")</f>
        <v>15/10 - 21/10</v>
      </c>
      <c r="C530" t="s">
        <v>468</v>
      </c>
      <c r="D530" t="str">
        <f>'BOBOT PEK'!C81</f>
        <v>Cor ready mix K-350 (tanpa trowel dan line cutting)</v>
      </c>
      <c r="E530" s="241">
        <f>'BOBOT PEK'!J81</f>
        <v>18.885237150790225</v>
      </c>
      <c r="F530">
        <f>100/('BOBOT PEK'!V81-'BOBOT PEK'!U81+1)</f>
        <v>6.25</v>
      </c>
      <c r="G530">
        <f t="shared" si="16"/>
        <v>1.1803273219243891</v>
      </c>
      <c r="H530">
        <f>MIN(100,($A530-'BOBOT PEK'!U81+1)/('BOBOT PEK'!V81-'BOBOT PEK'!U81+1)*100)</f>
        <v>81.25</v>
      </c>
      <c r="I530">
        <f>IFERROR(SUM(INDEX(TS!$M:$AB,37,1):INDEX(TS!$M:$AB,37,$A530))/TS!$L$27*100,0)</f>
        <v>3.4799918820120639</v>
      </c>
      <c r="J530">
        <f t="shared" si="17"/>
        <v>96.520008117987942</v>
      </c>
      <c r="O530" t="str">
        <f ca="1">IF(I530&gt;=99.9,"COMPLETED",IF('BOBOT PEK'!U81&gt;$J$7,"NOT STARTED",IF('BOBOT PEK'!V81&lt;$J$7,"CRITICAL",IF(I530+1&lt;H530,"DELAYED","ON SCHEDULE"))))</f>
        <v>DELAYED</v>
      </c>
      <c r="Q530" t="str">
        <f>IFERROR(IF(AND($A530=$B$8,'BOBOT PEK'!U81&lt;=$B$8,$B$8&lt;='BOBOT PEK'!V81),COUNTIFS($A$17:$A530,$B$8),""),"")</f>
        <v/>
      </c>
    </row>
    <row r="531" spans="1:17" ht="12.75" customHeight="1" x14ac:dyDescent="0.2">
      <c r="A531">
        <f>IFERROR(IF(COUNTIF($C$17:C531,C531)&lt;=('BOBOT PEK'!V85-'BOBOT PEK'!U85+1),'BOBOT PEK'!U85+COUNTIF($C$17:C531,C531)-1,0),0)</f>
        <v>13</v>
      </c>
      <c r="B531" t="str">
        <f>IFERROR(TEXT(INDEX('KALENDER MINGGU'!$B$6:$B$21,$A531),"dd/mm")&amp;" - "&amp;TEXT(INDEX('KALENDER MINGGU'!$C$6:$C$21,$A531),"dd/mm"),"")</f>
        <v>15/10 - 21/10</v>
      </c>
      <c r="C531" t="s">
        <v>469</v>
      </c>
      <c r="D531" t="str">
        <f>'BOBOT PEK'!C85</f>
        <v>Pekerjaan refinishing dinding pagar timur &amp; utara</v>
      </c>
      <c r="E531" s="241">
        <f>'BOBOT PEK'!J85</f>
        <v>1.0803504386044462</v>
      </c>
      <c r="F531">
        <f>100/('BOBOT PEK'!V85-'BOBOT PEK'!U85+1)</f>
        <v>10</v>
      </c>
      <c r="G531">
        <f t="shared" si="16"/>
        <v>0.10803504386044463</v>
      </c>
      <c r="H531">
        <f>MIN(100,($A531-'BOBOT PEK'!U85+1)/('BOBOT PEK'!V85-'BOBOT PEK'!U85+1)*100)</f>
        <v>90</v>
      </c>
      <c r="I531">
        <f>IFERROR(SUM(INDEX(TS!$M:$AB,39,1):INDEX(TS!$M:$AB,39,$A531))/TS!$L$29*100,0)</f>
        <v>26.078611366101978</v>
      </c>
      <c r="J531">
        <f t="shared" si="17"/>
        <v>73.921388633898019</v>
      </c>
      <c r="O531" t="str">
        <f ca="1">IF(I531&gt;=99.9,"COMPLETED",IF('BOBOT PEK'!U85&gt;$J$7,"NOT STARTED",IF('BOBOT PEK'!V85&lt;$J$7,"CRITICAL",IF(I531+1&lt;H531,"DELAYED","ON SCHEDULE"))))</f>
        <v>DELAYED</v>
      </c>
      <c r="Q531" t="str">
        <f>IFERROR(IF(AND($A531=$B$8,'BOBOT PEK'!U85&lt;=$B$8,$B$8&lt;='BOBOT PEK'!V85),COUNTIFS($A$17:$A531,$B$8),""),"")</f>
        <v/>
      </c>
    </row>
    <row r="532" spans="1:17" ht="12.75" customHeight="1" x14ac:dyDescent="0.2">
      <c r="A532">
        <f>IFERROR(IF(COUNTIF($C$17:C532,C532)&lt;=('BOBOT PEK'!V86-'BOBOT PEK'!U86+1),'BOBOT PEK'!U86+COUNTIF($C$17:C532,C532)-1,0),0)</f>
        <v>13</v>
      </c>
      <c r="B532" t="str">
        <f>IFERROR(TEXT(INDEX('KALENDER MINGGU'!$B$6:$B$21,$A532),"dd/mm")&amp;" - "&amp;TEXT(INDEX('KALENDER MINGGU'!$C$6:$C$21,$A532),"dd/mm"),"")</f>
        <v>15/10 - 21/10</v>
      </c>
      <c r="C532" t="s">
        <v>470</v>
      </c>
      <c r="D532" t="str">
        <f>'BOBOT PEK'!C86</f>
        <v>Pekerjaan refinishing dinding barat</v>
      </c>
      <c r="E532" s="241">
        <f>'BOBOT PEK'!J86</f>
        <v>0.75906975261423504</v>
      </c>
      <c r="F532">
        <f>100/('BOBOT PEK'!V86-'BOBOT PEK'!U86+1)</f>
        <v>10</v>
      </c>
      <c r="G532">
        <f t="shared" si="16"/>
        <v>7.5906975261423509E-2</v>
      </c>
      <c r="H532">
        <f>MIN(100,($A532-'BOBOT PEK'!U86+1)/('BOBOT PEK'!V86-'BOBOT PEK'!U86+1)*100)</f>
        <v>90</v>
      </c>
      <c r="I532">
        <f>IFERROR(SUM(INDEX(TS!$M:$AB,39,1):INDEX(TS!$M:$AB,39,$A532))/TS!$L$29*100,0)</f>
        <v>26.078611366101978</v>
      </c>
      <c r="J532">
        <f t="shared" si="17"/>
        <v>73.921388633898019</v>
      </c>
      <c r="O532" t="str">
        <f ca="1">IF(I532&gt;=99.9,"COMPLETED",IF('BOBOT PEK'!U86&gt;$J$7,"NOT STARTED",IF('BOBOT PEK'!V86&lt;$J$7,"CRITICAL",IF(I532+1&lt;H532,"DELAYED","ON SCHEDULE"))))</f>
        <v>DELAYED</v>
      </c>
      <c r="Q532" t="str">
        <f>IFERROR(IF(AND($A532=$B$8,'BOBOT PEK'!U86&lt;=$B$8,$B$8&lt;='BOBOT PEK'!V86),COUNTIFS($A$17:$A532,$B$8),""),"")</f>
        <v/>
      </c>
    </row>
    <row r="533" spans="1:17" ht="12.75" customHeight="1" x14ac:dyDescent="0.2">
      <c r="A533">
        <f>IFERROR(IF(COUNTIF($C$17:C533,C533)&lt;=('BOBOT PEK'!V118-'BOBOT PEK'!U118+1),'BOBOT PEK'!U118+COUNTIF($C$17:C533,C533)-1,0),0)</f>
        <v>9</v>
      </c>
      <c r="B533" t="str">
        <f>IFERROR(TEXT(INDEX('KALENDER MINGGU'!$B$6:$B$21,$A533),"dd/mm")&amp;" - "&amp;TEXT(INDEX('KALENDER MINGGU'!$C$6:$C$21,$A533),"dd/mm"),"")</f>
        <v>17/09 - 23/09</v>
      </c>
      <c r="C533" t="s">
        <v>491</v>
      </c>
      <c r="D533" t="str">
        <f>'BOBOT PEK'!C118</f>
        <v>Instalasi penerangan lampu PJU</v>
      </c>
      <c r="E533" s="241">
        <f>'BOBOT PEK'!J118</f>
        <v>0.60172971289136523</v>
      </c>
      <c r="F533">
        <f>100/('BOBOT PEK'!V118-'BOBOT PEK'!U118+1)</f>
        <v>33.333333333333336</v>
      </c>
      <c r="G533">
        <f t="shared" si="16"/>
        <v>0.20057657096378842</v>
      </c>
      <c r="H533">
        <f>MIN(100,($A533-'BOBOT PEK'!U118+1)/('BOBOT PEK'!V118-'BOBOT PEK'!U118+1)*100)</f>
        <v>100</v>
      </c>
      <c r="I533">
        <f>IFERROR(SUM(INDEX(TS!$M:$AB,45,1):INDEX(TS!$M:$AB,45,$A533))/TS!$L$35*100,0)</f>
        <v>25.392762577228602</v>
      </c>
      <c r="J533">
        <f t="shared" si="17"/>
        <v>74.607237422771391</v>
      </c>
      <c r="O533" t="str">
        <f ca="1">IF(I533&gt;=99.9,"COMPLETED",IF('BOBOT PEK'!U118&gt;$J$7,"NOT STARTED",IF('BOBOT PEK'!V118&lt;$J$7,"CRITICAL",IF(I533+1&lt;H533,"DELAYED","ON SCHEDULE"))))</f>
        <v>CRITICAL</v>
      </c>
      <c r="Q533" t="str">
        <f>IFERROR(IF(AND($A533=$B$8,'BOBOT PEK'!U118&lt;=$B$8,$B$8&lt;='BOBOT PEK'!V118),COUNTIFS($A$17:$A533,$B$8),""),"")</f>
        <v/>
      </c>
    </row>
    <row r="534" spans="1:17" ht="12.75" customHeight="1" x14ac:dyDescent="0.2">
      <c r="A534">
        <f>IFERROR(IF(COUNTIF($C$17:C534,C534)&lt;=('BOBOT PEK'!V119-'BOBOT PEK'!U119+1),'BOBOT PEK'!U119+COUNTIF($C$17:C534,C534)-1,0),0)</f>
        <v>9</v>
      </c>
      <c r="B534" t="str">
        <f>IFERROR(TEXT(INDEX('KALENDER MINGGU'!$B$6:$B$21,$A534),"dd/mm")&amp;" - "&amp;TEXT(INDEX('KALENDER MINGGU'!$C$6:$C$21,$A534),"dd/mm"),"")</f>
        <v>17/09 - 23/09</v>
      </c>
      <c r="C534" t="s">
        <v>492</v>
      </c>
      <c r="D534" t="str">
        <f>'BOBOT PEK'!C119</f>
        <v>Pasang lampu PJU</v>
      </c>
      <c r="E534" s="241">
        <f>'BOBOT PEK'!J119</f>
        <v>0.51935004981695221</v>
      </c>
      <c r="F534">
        <f>100/('BOBOT PEK'!V119-'BOBOT PEK'!U119+1)</f>
        <v>33.333333333333336</v>
      </c>
      <c r="G534">
        <f t="shared" si="16"/>
        <v>0.17311668327231741</v>
      </c>
      <c r="H534">
        <f>MIN(100,($A534-'BOBOT PEK'!U119+1)/('BOBOT PEK'!V119-'BOBOT PEK'!U119+1)*100)</f>
        <v>100</v>
      </c>
      <c r="I534">
        <f>IFERROR(SUM(INDEX(TS!$M:$AB,45,1):INDEX(TS!$M:$AB,45,$A534))/TS!$L$35*100,0)</f>
        <v>25.392762577228602</v>
      </c>
      <c r="J534">
        <f t="shared" si="17"/>
        <v>74.607237422771391</v>
      </c>
      <c r="O534" t="str">
        <f ca="1">IF(I534&gt;=99.9,"COMPLETED",IF('BOBOT PEK'!U119&gt;$J$7,"NOT STARTED",IF('BOBOT PEK'!V119&lt;$J$7,"CRITICAL",IF(I534+1&lt;H534,"DELAYED","ON SCHEDULE"))))</f>
        <v>CRITICAL</v>
      </c>
      <c r="Q534" t="str">
        <f>IFERROR(IF(AND($A534=$B$8,'BOBOT PEK'!U119&lt;=$B$8,$B$8&lt;='BOBOT PEK'!V119),COUNTIFS($A$17:$A534,$B$8),""),"")</f>
        <v/>
      </c>
    </row>
    <row r="535" spans="1:17" ht="12.75" customHeight="1" x14ac:dyDescent="0.2">
      <c r="A535">
        <f>IFERROR(IF(COUNTIF($C$17:C535,C535)&lt;=('BOBOT PEK'!V120-'BOBOT PEK'!U120+1),'BOBOT PEK'!U120+COUNTIF($C$17:C535,C535)-1,0),0)</f>
        <v>9</v>
      </c>
      <c r="B535" t="str">
        <f>IFERROR(TEXT(INDEX('KALENDER MINGGU'!$B$6:$B$21,$A535),"dd/mm")&amp;" - "&amp;TEXT(INDEX('KALENDER MINGGU'!$C$6:$C$21,$A535),"dd/mm"),"")</f>
        <v>17/09 - 23/09</v>
      </c>
      <c r="C535" t="s">
        <v>493</v>
      </c>
      <c r="D535" t="str">
        <f>'BOBOT PEK'!C120</f>
        <v>Terminasi kabel ke panel dan test merger</v>
      </c>
      <c r="E535" s="241">
        <f>'BOBOT PEK'!J120</f>
        <v>3.8375619444602382E-2</v>
      </c>
      <c r="F535">
        <f>100/('BOBOT PEK'!V120-'BOBOT PEK'!U120+1)</f>
        <v>33.333333333333336</v>
      </c>
      <c r="G535">
        <f t="shared" si="16"/>
        <v>1.2791873148200796E-2</v>
      </c>
      <c r="H535">
        <f>MIN(100,($A535-'BOBOT PEK'!U120+1)/('BOBOT PEK'!V120-'BOBOT PEK'!U120+1)*100)</f>
        <v>100</v>
      </c>
      <c r="I535">
        <f>IFERROR(SUM(INDEX(TS!$M:$AB,45,1):INDEX(TS!$M:$AB,45,$A535))/TS!$L$35*100,0)</f>
        <v>25.392762577228602</v>
      </c>
      <c r="J535">
        <f t="shared" si="17"/>
        <v>74.607237422771391</v>
      </c>
      <c r="O535" t="str">
        <f ca="1">IF(I535&gt;=99.9,"COMPLETED",IF('BOBOT PEK'!U120&gt;$J$7,"NOT STARTED",IF('BOBOT PEK'!V120&lt;$J$7,"CRITICAL",IF(I535+1&lt;H535,"DELAYED","ON SCHEDULE"))))</f>
        <v>CRITICAL</v>
      </c>
      <c r="Q535" t="str">
        <f>IFERROR(IF(AND($A535=$B$8,'BOBOT PEK'!U120&lt;=$B$8,$B$8&lt;='BOBOT PEK'!V120),COUNTIFS($A$17:$A535,$B$8),""),"")</f>
        <v/>
      </c>
    </row>
    <row r="536" spans="1:17" ht="12.75" customHeight="1" x14ac:dyDescent="0.2">
      <c r="A536">
        <f>IFERROR(IF(COUNTIF($C$17:C536,C536)&lt;=('BOBOT PEK'!V193-'BOBOT PEK'!U193+1),'BOBOT PEK'!U193+COUNTIF($C$17:C536,C536)-1,0),0)</f>
        <v>13</v>
      </c>
      <c r="B536" t="str">
        <f>IFERROR(TEXT(INDEX('KALENDER MINGGU'!$B$6:$B$21,$A536),"dd/mm")&amp;" - "&amp;TEXT(INDEX('KALENDER MINGGU'!$C$6:$C$21,$A536),"dd/mm"),"")</f>
        <v>15/10 - 21/10</v>
      </c>
      <c r="C536" t="s">
        <v>523</v>
      </c>
      <c r="D536" t="str">
        <f>'BOBOT PEK'!C193</f>
        <v>Pembuatan partisi gudang</v>
      </c>
      <c r="E536" s="241">
        <f>'BOBOT PEK'!J193</f>
        <v>0.34921813694588166</v>
      </c>
      <c r="F536">
        <f>100/('BOBOT PEK'!V193-'BOBOT PEK'!U193+1)</f>
        <v>16.666666666666668</v>
      </c>
      <c r="G536">
        <f t="shared" si="16"/>
        <v>5.8203022824313617E-2</v>
      </c>
      <c r="H536">
        <f>MIN(100,($A536-'BOBOT PEK'!U193+1)/('BOBOT PEK'!V193-'BOBOT PEK'!U193+1)*100)</f>
        <v>83.333333333333343</v>
      </c>
      <c r="I536">
        <f>IFERROR(SUM(INDEX(TS!$M:$AB,58,1):INDEX(TS!$M:$AB,58,$A536))/TS!$L$48*100,0)</f>
        <v>11.179230742884544</v>
      </c>
      <c r="J536">
        <f t="shared" si="17"/>
        <v>88.820769257115458</v>
      </c>
      <c r="O536" t="str">
        <f ca="1">IF(I536&gt;=99.9,"COMPLETED",IF('BOBOT PEK'!U193&gt;$J$7,"NOT STARTED",IF('BOBOT PEK'!V193&lt;$J$7,"CRITICAL",IF(I536+1&lt;H536,"DELAYED","ON SCHEDULE"))))</f>
        <v>DELAYED</v>
      </c>
      <c r="Q536" t="str">
        <f>IFERROR(IF(AND($A536=$B$8,'BOBOT PEK'!U193&lt;=$B$8,$B$8&lt;='BOBOT PEK'!V193),COUNTIFS($A$17:$A536,$B$8),""),"")</f>
        <v/>
      </c>
    </row>
    <row r="537" spans="1:17" ht="12.75" customHeight="1" x14ac:dyDescent="0.2">
      <c r="A537">
        <f>IFERROR(IF(COUNTIF($C$17:C537,C537)&lt;=('BOBOT PEK'!V194-'BOBOT PEK'!U194+1),'BOBOT PEK'!U194+COUNTIF($C$17:C537,C537)-1,0),0)</f>
        <v>13</v>
      </c>
      <c r="B537" t="str">
        <f>IFERROR(TEXT(INDEX('KALENDER MINGGU'!$B$6:$B$21,$A537),"dd/mm")&amp;" - "&amp;TEXT(INDEX('KALENDER MINGGU'!$C$6:$C$21,$A537),"dd/mm"),"")</f>
        <v>15/10 - 21/10</v>
      </c>
      <c r="C537" t="s">
        <v>524</v>
      </c>
      <c r="D537" t="str">
        <f>'BOBOT PEK'!C194</f>
        <v>Pembuatan pintu gudang (kupu tarung)</v>
      </c>
      <c r="E537" s="241">
        <f>'BOBOT PEK'!J194</f>
        <v>7.6751238889204765E-2</v>
      </c>
      <c r="F537">
        <f>100/('BOBOT PEK'!V194-'BOBOT PEK'!U194+1)</f>
        <v>16.666666666666668</v>
      </c>
      <c r="G537">
        <f t="shared" si="16"/>
        <v>1.2791873148200796E-2</v>
      </c>
      <c r="H537">
        <f>MIN(100,($A537-'BOBOT PEK'!U194+1)/('BOBOT PEK'!V194-'BOBOT PEK'!U194+1)*100)</f>
        <v>83.333333333333343</v>
      </c>
      <c r="I537">
        <f>IFERROR(SUM(INDEX(TS!$M:$AB,58,1):INDEX(TS!$M:$AB,58,$A537))/TS!$L$48*100,0)</f>
        <v>11.179230742884544</v>
      </c>
      <c r="J537">
        <f t="shared" si="17"/>
        <v>88.820769257115458</v>
      </c>
      <c r="O537" t="str">
        <f ca="1">IF(I537&gt;=99.9,"COMPLETED",IF('BOBOT PEK'!U194&gt;$J$7,"NOT STARTED",IF('BOBOT PEK'!V194&lt;$J$7,"CRITICAL",IF(I537+1&lt;H537,"DELAYED","ON SCHEDULE"))))</f>
        <v>DELAYED</v>
      </c>
      <c r="Q537" t="str">
        <f>IFERROR(IF(AND($A537=$B$8,'BOBOT PEK'!U194&lt;=$B$8,$B$8&lt;='BOBOT PEK'!V194),COUNTIFS($A$17:$A537,$B$8),""),"")</f>
        <v/>
      </c>
    </row>
    <row r="538" spans="1:17" ht="12.75" customHeight="1" x14ac:dyDescent="0.2">
      <c r="A538">
        <f>IFERROR(IF(COUNTIF($C$17:C538,C538)&lt;=('BOBOT PEK'!V195-'BOBOT PEK'!U195+1),'BOBOT PEK'!U195+COUNTIF($C$17:C538,C538)-1,0),0)</f>
        <v>0</v>
      </c>
      <c r="B538" t="str">
        <f>IFERROR(TEXT(INDEX('KALENDER MINGGU'!$B$6:$B$21,$A538),"dd/mm")&amp;" - "&amp;TEXT(INDEX('KALENDER MINGGU'!$C$6:$C$21,$A538),"dd/mm"),"")</f>
        <v/>
      </c>
      <c r="C538" t="s">
        <v>525</v>
      </c>
      <c r="D538" t="str">
        <f>'BOBOT PEK'!C195</f>
        <v>Pemasangan gypsum 1 sisi</v>
      </c>
      <c r="E538" s="241">
        <f>'BOBOT PEK'!J195</f>
        <v>0.52062923713177223</v>
      </c>
      <c r="F538">
        <f>100/('BOBOT PEK'!V195-'BOBOT PEK'!U195+1)</f>
        <v>33.333333333333336</v>
      </c>
      <c r="G538">
        <f t="shared" si="16"/>
        <v>0.1735430790439241</v>
      </c>
      <c r="H538">
        <f>MIN(100,($A538-'BOBOT PEK'!U195+1)/('BOBOT PEK'!V195-'BOBOT PEK'!U195+1)*100)</f>
        <v>-166.66666666666669</v>
      </c>
      <c r="I538">
        <f>IFERROR(SUM(INDEX(TS!$M:$AB,58,1):INDEX(TS!$M:$AB,58,$A538))/TS!$L$48*100,0)</f>
        <v>11.179230742884544</v>
      </c>
      <c r="J538">
        <f t="shared" si="17"/>
        <v>88.820769257115458</v>
      </c>
      <c r="O538" t="str">
        <f ca="1">IF(I538&gt;=99.9,"COMPLETED",IF('BOBOT PEK'!U195&gt;$J$7,"NOT STARTED",IF('BOBOT PEK'!V195&lt;$J$7,"CRITICAL",IF(I538+1&lt;H538,"DELAYED","ON SCHEDULE"))))</f>
        <v>CRITICAL</v>
      </c>
      <c r="Q538" t="str">
        <f>IFERROR(IF(AND($A538=$B$8,'BOBOT PEK'!U195&lt;=$B$8,$B$8&lt;='BOBOT PEK'!V195),COUNTIFS($A$17:$A538,$B$8),""),"")</f>
        <v/>
      </c>
    </row>
    <row r="539" spans="1:17" ht="12.75" customHeight="1" x14ac:dyDescent="0.2">
      <c r="A539">
        <f>IFERROR(IF(COUNTIF($C$17:C539,C539)&lt;=('BOBOT PEK'!V198-'BOBOT PEK'!U198+1),'BOBOT PEK'!U198+COUNTIF($C$17:C539,C539)-1,0),0)</f>
        <v>13</v>
      </c>
      <c r="B539" t="str">
        <f>IFERROR(TEXT(INDEX('KALENDER MINGGU'!$B$6:$B$21,$A539),"dd/mm")&amp;" - "&amp;TEXT(INDEX('KALENDER MINGGU'!$C$6:$C$21,$A539),"dd/mm"),"")</f>
        <v>15/10 - 21/10</v>
      </c>
      <c r="C539" t="s">
        <v>526</v>
      </c>
      <c r="D539" t="str">
        <f>'BOBOT PEK'!C198</f>
        <v>penggantian lighting</v>
      </c>
      <c r="E539" s="241">
        <f>'BOBOT PEK'!J198</f>
        <v>4.5283230944630805E-2</v>
      </c>
      <c r="F539">
        <f>100/('BOBOT PEK'!V198-'BOBOT PEK'!U198+1)</f>
        <v>16.666666666666668</v>
      </c>
      <c r="G539">
        <f t="shared" si="16"/>
        <v>7.5472051574384681E-3</v>
      </c>
      <c r="H539">
        <f>MIN(100,($A539-'BOBOT PEK'!U198+1)/('BOBOT PEK'!V198-'BOBOT PEK'!U198+1)*100)</f>
        <v>83.333333333333343</v>
      </c>
      <c r="I539">
        <f>IFERROR(SUM(INDEX(TS!$M:$AB,58,1):INDEX(TS!$M:$AB,58,$A539))/TS!$L$48*100,0)</f>
        <v>11.179230742884544</v>
      </c>
      <c r="J539">
        <f t="shared" si="17"/>
        <v>88.820769257115458</v>
      </c>
      <c r="O539" t="str">
        <f ca="1">IF(I539&gt;=99.9,"COMPLETED",IF('BOBOT PEK'!U198&gt;$J$7,"NOT STARTED",IF('BOBOT PEK'!V198&lt;$J$7,"CRITICAL",IF(I539+1&lt;H539,"DELAYED","ON SCHEDULE"))))</f>
        <v>DELAYED</v>
      </c>
      <c r="Q539" t="str">
        <f>IFERROR(IF(AND($A539=$B$8,'BOBOT PEK'!U198&lt;=$B$8,$B$8&lt;='BOBOT PEK'!V198),COUNTIFS($A$17:$A539,$B$8),""),"")</f>
        <v/>
      </c>
    </row>
    <row r="540" spans="1:17" ht="12.75" customHeight="1" x14ac:dyDescent="0.2">
      <c r="A540">
        <f>IFERROR(IF(COUNTIF($C$17:C540,C540)&lt;=('BOBOT PEK'!V199-'BOBOT PEK'!U199+1),'BOBOT PEK'!U199+COUNTIF($C$17:C540,C540)-1,0),0)</f>
        <v>13</v>
      </c>
      <c r="B540" t="str">
        <f>IFERROR(TEXT(INDEX('KALENDER MINGGU'!$B$6:$B$21,$A540),"dd/mm")&amp;" - "&amp;TEXT(INDEX('KALENDER MINGGU'!$C$6:$C$21,$A540),"dd/mm"),"")</f>
        <v>15/10 - 21/10</v>
      </c>
      <c r="C540" t="s">
        <v>527</v>
      </c>
      <c r="D540" t="str">
        <f>'BOBOT PEK'!C199</f>
        <v>penggantian lighting</v>
      </c>
      <c r="E540" s="241">
        <f>'BOBOT PEK'!J199</f>
        <v>0.16373597629697018</v>
      </c>
      <c r="F540">
        <f>100/('BOBOT PEK'!V199-'BOBOT PEK'!U199+1)</f>
        <v>16.666666666666668</v>
      </c>
      <c r="G540">
        <f t="shared" si="16"/>
        <v>2.7289329382828367E-2</v>
      </c>
      <c r="H540">
        <f>MIN(100,($A540-'BOBOT PEK'!U199+1)/('BOBOT PEK'!V199-'BOBOT PEK'!U199+1)*100)</f>
        <v>83.333333333333343</v>
      </c>
      <c r="I540">
        <f>IFERROR(SUM(INDEX(TS!$M:$AB,58,1):INDEX(TS!$M:$AB,58,$A540))/TS!$L$48*100,0)</f>
        <v>11.179230742884544</v>
      </c>
      <c r="J540">
        <f t="shared" si="17"/>
        <v>88.820769257115458</v>
      </c>
      <c r="O540" t="str">
        <f ca="1">IF(I540&gt;=99.9,"COMPLETED",IF('BOBOT PEK'!U199&gt;$J$7,"NOT STARTED",IF('BOBOT PEK'!V199&lt;$J$7,"CRITICAL",IF(I540+1&lt;H540,"DELAYED","ON SCHEDULE"))))</f>
        <v>DELAYED</v>
      </c>
      <c r="Q540" t="str">
        <f>IFERROR(IF(AND($A540=$B$8,'BOBOT PEK'!U199&lt;=$B$8,$B$8&lt;='BOBOT PEK'!V199),COUNTIFS($A$17:$A540,$B$8),""),"")</f>
        <v/>
      </c>
    </row>
    <row r="541" spans="1:17" ht="12.75" customHeight="1" x14ac:dyDescent="0.2">
      <c r="A541">
        <f>IFERROR(IF(COUNTIF($C$17:C541,C541)&lt;=('BOBOT PEK'!V201-'BOBOT PEK'!U201+1),'BOBOT PEK'!U201+COUNTIF($C$17:C541,C541)-1,0),0)</f>
        <v>13</v>
      </c>
      <c r="B541" t="str">
        <f>IFERROR(TEXT(INDEX('KALENDER MINGGU'!$B$6:$B$21,$A541),"dd/mm")&amp;" - "&amp;TEXT(INDEX('KALENDER MINGGU'!$C$6:$C$21,$A541),"dd/mm"),"")</f>
        <v>15/10 - 21/10</v>
      </c>
      <c r="C541" t="s">
        <v>528</v>
      </c>
      <c r="D541" t="str">
        <f>'BOBOT PEK'!C201</f>
        <v>Pengadaan dan pemasangan turbin ventilator 32"</v>
      </c>
      <c r="E541" s="241">
        <f>'BOBOT PEK'!J201</f>
        <v>0.38375619444602382</v>
      </c>
      <c r="F541">
        <f>100/('BOBOT PEK'!V201-'BOBOT PEK'!U201+1)</f>
        <v>16.666666666666668</v>
      </c>
      <c r="G541">
        <f t="shared" si="16"/>
        <v>6.3959365741003985E-2</v>
      </c>
      <c r="H541">
        <f>MIN(100,($A541-'BOBOT PEK'!U201+1)/('BOBOT PEK'!V201-'BOBOT PEK'!U201+1)*100)</f>
        <v>83.333333333333343</v>
      </c>
      <c r="I541">
        <f>IFERROR(SUM(INDEX(TS!$M:$AB,58,1):INDEX(TS!$M:$AB,58,$A541))/TS!$L$48*100,0)</f>
        <v>11.179230742884544</v>
      </c>
      <c r="J541">
        <f t="shared" si="17"/>
        <v>88.820769257115458</v>
      </c>
      <c r="O541" t="str">
        <f ca="1">IF(I541&gt;=99.9,"COMPLETED",IF('BOBOT PEK'!U201&gt;$J$7,"NOT STARTED",IF('BOBOT PEK'!V201&lt;$J$7,"CRITICAL",IF(I541+1&lt;H541,"DELAYED","ON SCHEDULE"))))</f>
        <v>DELAYED</v>
      </c>
      <c r="Q541" t="str">
        <f>IFERROR(IF(AND($A541=$B$8,'BOBOT PEK'!U201&lt;=$B$8,$B$8&lt;='BOBOT PEK'!V201),COUNTIFS($A$17:$A541,$B$8),""),"")</f>
        <v/>
      </c>
    </row>
    <row r="542" spans="1:17" ht="12.75" customHeight="1" x14ac:dyDescent="0.2">
      <c r="A542">
        <f>IFERROR(IF(COUNTIF($C$17:C542,C542)&lt;=('BOBOT PEK'!V202-'BOBOT PEK'!U202+1),'BOBOT PEK'!U202+COUNTIF($C$17:C542,C542)-1,0),0)</f>
        <v>13</v>
      </c>
      <c r="B542" t="str">
        <f>IFERROR(TEXT(INDEX('KALENDER MINGGU'!$B$6:$B$21,$A542),"dd/mm")&amp;" - "&amp;TEXT(INDEX('KALENDER MINGGU'!$C$6:$C$21,$A542),"dd/mm"),"")</f>
        <v>15/10 - 21/10</v>
      </c>
      <c r="C542" t="s">
        <v>529</v>
      </c>
      <c r="D542" t="str">
        <f>'BOBOT PEK'!C202</f>
        <v>Pasang aluminium bubble dibawah atap+plat strip</v>
      </c>
      <c r="E542" s="241">
        <f>'BOBOT PEK'!J202</f>
        <v>4.789277306686377</v>
      </c>
      <c r="F542">
        <f>100/('BOBOT PEK'!V202-'BOBOT PEK'!U202+1)</f>
        <v>16.666666666666668</v>
      </c>
      <c r="G542">
        <f t="shared" si="16"/>
        <v>0.79821288444772953</v>
      </c>
      <c r="H542">
        <f>MIN(100,($A542-'BOBOT PEK'!U202+1)/('BOBOT PEK'!V202-'BOBOT PEK'!U202+1)*100)</f>
        <v>83.333333333333343</v>
      </c>
      <c r="I542">
        <f>IFERROR(SUM(INDEX(TS!$M:$AB,58,1):INDEX(TS!$M:$AB,58,$A542))/TS!$L$48*100,0)</f>
        <v>11.179230742884544</v>
      </c>
      <c r="J542">
        <f t="shared" si="17"/>
        <v>88.820769257115458</v>
      </c>
      <c r="O542" t="str">
        <f ca="1">IF(I542&gt;=99.9,"COMPLETED",IF('BOBOT PEK'!U202&gt;$J$7,"NOT STARTED",IF('BOBOT PEK'!V202&lt;$J$7,"CRITICAL",IF(I542+1&lt;H542,"DELAYED","ON SCHEDULE"))))</f>
        <v>DELAYED</v>
      </c>
      <c r="Q542" t="str">
        <f>IFERROR(IF(AND($A542=$B$8,'BOBOT PEK'!U202&lt;=$B$8,$B$8&lt;='BOBOT PEK'!V202),COUNTIFS($A$17:$A542,$B$8),""),"")</f>
        <v/>
      </c>
    </row>
    <row r="543" spans="1:17" ht="12.75" customHeight="1" x14ac:dyDescent="0.2">
      <c r="A543">
        <f>IFERROR(IF(COUNTIF($C$17:C543,C543)&lt;=('BOBOT PEK'!V203-'BOBOT PEK'!U203+1),'BOBOT PEK'!U203+COUNTIF($C$17:C543,C543)-1,0),0)</f>
        <v>13</v>
      </c>
      <c r="B543" t="str">
        <f>IFERROR(TEXT(INDEX('KALENDER MINGGU'!$B$6:$B$21,$A543),"dd/mm")&amp;" - "&amp;TEXT(INDEX('KALENDER MINGGU'!$C$6:$C$21,$A543),"dd/mm"),"")</f>
        <v>15/10 - 21/10</v>
      </c>
      <c r="C543" t="s">
        <v>530</v>
      </c>
      <c r="D543" t="str">
        <f>'BOBOT PEK'!C203</f>
        <v>Pekerjaan finishing cat dinding dan partisi</v>
      </c>
      <c r="E543" s="241">
        <f>'BOBOT PEK'!J203</f>
        <v>1.0131163533375029</v>
      </c>
      <c r="F543">
        <f>100/('BOBOT PEK'!V203-'BOBOT PEK'!U203+1)</f>
        <v>16.666666666666668</v>
      </c>
      <c r="G543">
        <f t="shared" si="16"/>
        <v>0.1688527255562505</v>
      </c>
      <c r="H543">
        <f>MIN(100,($A543-'BOBOT PEK'!U203+1)/('BOBOT PEK'!V203-'BOBOT PEK'!U203+1)*100)</f>
        <v>83.333333333333343</v>
      </c>
      <c r="I543">
        <f>IFERROR(SUM(INDEX(TS!$M:$AB,58,1):INDEX(TS!$M:$AB,58,$A543))/TS!$L$48*100,0)</f>
        <v>11.179230742884544</v>
      </c>
      <c r="J543">
        <f t="shared" si="17"/>
        <v>88.820769257115458</v>
      </c>
      <c r="O543" t="str">
        <f ca="1">IF(I543&gt;=99.9,"COMPLETED",IF('BOBOT PEK'!U203&gt;$J$7,"NOT STARTED",IF('BOBOT PEK'!V203&lt;$J$7,"CRITICAL",IF(I543+1&lt;H543,"DELAYED","ON SCHEDULE"))))</f>
        <v>DELAYED</v>
      </c>
      <c r="Q543" t="str">
        <f>IFERROR(IF(AND($A543=$B$8,'BOBOT PEK'!U203&lt;=$B$8,$B$8&lt;='BOBOT PEK'!V203),COUNTIFS($A$17:$A543,$B$8),""),"")</f>
        <v/>
      </c>
    </row>
    <row r="544" spans="1:17" ht="23.25" customHeight="1" x14ac:dyDescent="0.2">
      <c r="A544">
        <f>IFERROR(IF(COUNTIF($C$17:C544,C544)&lt;=('BOBOT PEK'!V233-'BOBOT PEK'!U233+1),'BOBOT PEK'!U233+COUNTIF($C$17:C544,C544)-1,0),0)</f>
        <v>7</v>
      </c>
      <c r="B544" t="str">
        <f>IFERROR(TEXT(INDEX('KALENDER MINGGU'!$B$6:$B$21,$A544),"dd/mm")&amp;" - "&amp;TEXT(INDEX('KALENDER MINGGU'!$C$6:$C$21,$A544),"dd/mm"),"")</f>
        <v>03/09 - 09/09</v>
      </c>
      <c r="C544" t="s">
        <v>546</v>
      </c>
      <c r="D544" s="228" t="str">
        <f>'BOBOT PEK'!C233</f>
        <v>Pasangan dinding hebel
7,5cm fin plester aci</v>
      </c>
      <c r="E544" s="241">
        <f>'BOBOT PEK'!J233</f>
        <v>0.93124836518901777</v>
      </c>
      <c r="F544">
        <f>100/('BOBOT PEK'!V233-'BOBOT PEK'!U233+1)</f>
        <v>33.333333333333336</v>
      </c>
      <c r="G544">
        <f t="shared" si="16"/>
        <v>0.31041612172967264</v>
      </c>
      <c r="H544">
        <f>MIN(100,($A544-'BOBOT PEK'!U233+1)/('BOBOT PEK'!V233-'BOBOT PEK'!U233+1)*100)</f>
        <v>100</v>
      </c>
      <c r="I544">
        <f>IFERROR(SUM(INDEX(TS!$M:$AB,69,1):INDEX(TS!$M:$AB,69,$A544))/TS!$L$59*100,0)</f>
        <v>1162.1489375047338</v>
      </c>
      <c r="J544">
        <f t="shared" si="17"/>
        <v>0</v>
      </c>
      <c r="O544" t="str">
        <f>IF(I544&gt;=99.9,"COMPLETED",IF('BOBOT PEK'!U233&gt;$J$7,"NOT STARTED",IF('BOBOT PEK'!V233&lt;$J$7,"CRITICAL",IF(I544+1&lt;H544,"DELAYED","ON SCHEDULE"))))</f>
        <v>COMPLETED</v>
      </c>
      <c r="Q544" t="str">
        <f>IFERROR(IF(AND($A544=$B$8,'BOBOT PEK'!U233&lt;=$B$8,$B$8&lt;='BOBOT PEK'!V233),COUNTIFS($A$17:$A544,$B$8),""),"")</f>
        <v/>
      </c>
    </row>
    <row r="545" spans="1:17" ht="23.25" customHeight="1" x14ac:dyDescent="0.2">
      <c r="A545">
        <f>IFERROR(IF(COUNTIF($C$17:C545,C545)&lt;=('BOBOT PEK'!V234-'BOBOT PEK'!U234+1),'BOBOT PEK'!U234+COUNTIF($C$17:C545,C545)-1,0),0)</f>
        <v>0</v>
      </c>
      <c r="B545" t="str">
        <f>IFERROR(TEXT(INDEX('KALENDER MINGGU'!$B$6:$B$21,$A545),"dd/mm")&amp;" - "&amp;TEXT(INDEX('KALENDER MINGGU'!$C$6:$C$21,$A545),"dd/mm"),"")</f>
        <v/>
      </c>
      <c r="C545" t="s">
        <v>547</v>
      </c>
      <c r="D545" s="228" t="str">
        <f>'BOBOT PEK'!C234</f>
        <v>cat exterior
ex catylac exterior</v>
      </c>
      <c r="E545" s="241">
        <f>'BOBOT PEK'!J234</f>
        <v>8.8263924722585471E-2</v>
      </c>
      <c r="F545">
        <f>100/('BOBOT PEK'!V234-'BOBOT PEK'!U234+1)</f>
        <v>50</v>
      </c>
      <c r="G545">
        <f t="shared" si="16"/>
        <v>4.4131962361292736E-2</v>
      </c>
      <c r="H545">
        <f>MIN(100,($A545-'BOBOT PEK'!U234+1)/('BOBOT PEK'!V234-'BOBOT PEK'!U234+1)*100)</f>
        <v>-300</v>
      </c>
      <c r="I545">
        <f>IFERROR(SUM(INDEX(TS!$M:$AB,69,1):INDEX(TS!$M:$AB,69,$A545))/TS!$L$59*100,0)</f>
        <v>2664.4387828523818</v>
      </c>
      <c r="J545">
        <f t="shared" si="17"/>
        <v>0</v>
      </c>
      <c r="O545" t="str">
        <f>IF(I545&gt;=99.9,"COMPLETED",IF('BOBOT PEK'!U234&gt;$J$7,"NOT STARTED",IF('BOBOT PEK'!V234&lt;$J$7,"CRITICAL",IF(I545+1&lt;H545,"DELAYED","ON SCHEDULE"))))</f>
        <v>COMPLETED</v>
      </c>
      <c r="Q545" t="str">
        <f>IFERROR(IF(AND($A545=$B$8,'BOBOT PEK'!U234&lt;=$B$8,$B$8&lt;='BOBOT PEK'!V234),COUNTIFS($A$17:$A545,$B$8),""),"")</f>
        <v/>
      </c>
    </row>
    <row r="546" spans="1:17" ht="23.25" customHeight="1" x14ac:dyDescent="0.2">
      <c r="A546">
        <f>IFERROR(IF(COUNTIF($C$17:C546,C546)&lt;=('BOBOT PEK'!V235-'BOBOT PEK'!U235+1),'BOBOT PEK'!U235+COUNTIF($C$17:C546,C546)-1,0),0)</f>
        <v>0</v>
      </c>
      <c r="B546" t="str">
        <f>IFERROR(TEXT(INDEX('KALENDER MINGGU'!$B$6:$B$21,$A546),"dd/mm")&amp;" - "&amp;TEXT(INDEX('KALENDER MINGGU'!$C$6:$C$21,$A546),"dd/mm"),"")</f>
        <v/>
      </c>
      <c r="C546" t="s">
        <v>548</v>
      </c>
      <c r="D546" s="228" t="str">
        <f>'BOBOT PEK'!C235</f>
        <v>cat interior
ex catylac interior</v>
      </c>
      <c r="E546" s="241">
        <f>'BOBOT PEK'!J235</f>
        <v>8.4426362778125236E-2</v>
      </c>
      <c r="F546">
        <f>100/('BOBOT PEK'!V235-'BOBOT PEK'!U235+1)</f>
        <v>50</v>
      </c>
      <c r="G546">
        <f t="shared" si="16"/>
        <v>4.2213181389062618E-2</v>
      </c>
      <c r="H546">
        <f>MIN(100,($A546-'BOBOT PEK'!U235+1)/('BOBOT PEK'!V235-'BOBOT PEK'!U235+1)*100)</f>
        <v>-300</v>
      </c>
      <c r="I546">
        <f>IFERROR(SUM(INDEX(TS!$M:$AB,69,1):INDEX(TS!$M:$AB,69,$A546))/TS!$L$59*100,0)</f>
        <v>2664.4387828523818</v>
      </c>
      <c r="J546">
        <f t="shared" si="17"/>
        <v>0</v>
      </c>
      <c r="O546" t="str">
        <f>IF(I546&gt;=99.9,"COMPLETED",IF('BOBOT PEK'!U235&gt;$J$7,"NOT STARTED",IF('BOBOT PEK'!V235&lt;$J$7,"CRITICAL",IF(I546+1&lt;H546,"DELAYED","ON SCHEDULE"))))</f>
        <v>COMPLETED</v>
      </c>
      <c r="Q546" t="str">
        <f>IFERROR(IF(AND($A546=$B$8,'BOBOT PEK'!U235&lt;=$B$8,$B$8&lt;='BOBOT PEK'!V235),COUNTIFS($A$17:$A546,$B$8),""),"")</f>
        <v/>
      </c>
    </row>
    <row r="547" spans="1:17" ht="23.25" customHeight="1" x14ac:dyDescent="0.2">
      <c r="A547">
        <f>IFERROR(IF(COUNTIF($C$17:C547,C547)&lt;=('BOBOT PEK'!V236-'BOBOT PEK'!U236+1),'BOBOT PEK'!U236+COUNTIF($C$17:C547,C547)-1,0),0)</f>
        <v>0</v>
      </c>
      <c r="B547" t="str">
        <f>IFERROR(TEXT(INDEX('KALENDER MINGGU'!$B$6:$B$21,$A547),"dd/mm")&amp;" - "&amp;TEXT(INDEX('KALENDER MINGGU'!$C$6:$C$21,$A547),"dd/mm"),"")</f>
        <v/>
      </c>
      <c r="C547" t="s">
        <v>549</v>
      </c>
      <c r="D547" s="228" t="str">
        <f>'BOBOT PEK'!C236</f>
        <v>keramik lantai interior
ex platinum 60x60</v>
      </c>
      <c r="E547" s="241">
        <f>'BOBOT PEK'!J236</f>
        <v>0.31928515377909183</v>
      </c>
      <c r="F547">
        <f>100/('BOBOT PEK'!V236-'BOBOT PEK'!U236+1)</f>
        <v>50</v>
      </c>
      <c r="G547">
        <f t="shared" si="16"/>
        <v>0.15964257688954592</v>
      </c>
      <c r="H547">
        <f>MIN(100,($A547-'BOBOT PEK'!U236+1)/('BOBOT PEK'!V236-'BOBOT PEK'!U236+1)*100)</f>
        <v>-350</v>
      </c>
      <c r="I547">
        <f>IFERROR(SUM(INDEX(TS!$M:$AB,69,1):INDEX(TS!$M:$AB,69,$A547))/TS!$L$59*100,0)</f>
        <v>2664.4387828523818</v>
      </c>
      <c r="J547">
        <f t="shared" si="17"/>
        <v>0</v>
      </c>
      <c r="O547" t="str">
        <f>IF(I547&gt;=99.9,"COMPLETED",IF('BOBOT PEK'!U236&gt;$J$7,"NOT STARTED",IF('BOBOT PEK'!V236&lt;$J$7,"CRITICAL",IF(I547+1&lt;H547,"DELAYED","ON SCHEDULE"))))</f>
        <v>COMPLETED</v>
      </c>
      <c r="Q547" t="str">
        <f>IFERROR(IF(AND($A547=$B$8,'BOBOT PEK'!U236&lt;=$B$8,$B$8&lt;='BOBOT PEK'!V236),COUNTIFS($A$17:$A547,$B$8),""),"")</f>
        <v/>
      </c>
    </row>
    <row r="548" spans="1:17" ht="23.25" customHeight="1" x14ac:dyDescent="0.2">
      <c r="A548">
        <f>IFERROR(IF(COUNTIF($C$17:C548,C548)&lt;=('BOBOT PEK'!V237-'BOBOT PEK'!U237+1),'BOBOT PEK'!U237+COUNTIF($C$17:C548,C548)-1,0),0)</f>
        <v>0</v>
      </c>
      <c r="B548" t="str">
        <f>IFERROR(TEXT(INDEX('KALENDER MINGGU'!$B$6:$B$21,$A548),"dd/mm")&amp;" - "&amp;TEXT(INDEX('KALENDER MINGGU'!$C$6:$C$21,$A548),"dd/mm"),"")</f>
        <v/>
      </c>
      <c r="C548" t="s">
        <v>550</v>
      </c>
      <c r="D548" s="228" t="str">
        <f>'BOBOT PEK'!C237</f>
        <v>keramik lantai teras
ex platinum 60x60</v>
      </c>
      <c r="E548" s="241">
        <f>'BOBOT PEK'!J237</f>
        <v>7.9821288444772959E-2</v>
      </c>
      <c r="F548">
        <f>100/('BOBOT PEK'!V237-'BOBOT PEK'!U237+1)</f>
        <v>50</v>
      </c>
      <c r="G548">
        <f t="shared" si="16"/>
        <v>3.9910644222386479E-2</v>
      </c>
      <c r="H548">
        <f>MIN(100,($A548-'BOBOT PEK'!U237+1)/('BOBOT PEK'!V237-'BOBOT PEK'!U237+1)*100)</f>
        <v>-350</v>
      </c>
      <c r="I548">
        <f>IFERROR(SUM(INDEX(TS!$M:$AB,69,1):INDEX(TS!$M:$AB,69,$A548))/TS!$L$59*100,0)</f>
        <v>2664.4387828523818</v>
      </c>
      <c r="J548">
        <f t="shared" si="17"/>
        <v>0</v>
      </c>
      <c r="O548" t="str">
        <f>IF(I548&gt;=99.9,"COMPLETED",IF('BOBOT PEK'!U237&gt;$J$7,"NOT STARTED",IF('BOBOT PEK'!V237&lt;$J$7,"CRITICAL",IF(I548+1&lt;H548,"DELAYED","ON SCHEDULE"))))</f>
        <v>COMPLETED</v>
      </c>
      <c r="Q548" t="str">
        <f>IFERROR(IF(AND($A548=$B$8,'BOBOT PEK'!U237&lt;=$B$8,$B$8&lt;='BOBOT PEK'!V237),COUNTIFS($A$17:$A548,$B$8),""),"")</f>
        <v/>
      </c>
    </row>
    <row r="549" spans="1:17" ht="23.25" customHeight="1" x14ac:dyDescent="0.2">
      <c r="A549">
        <f>IFERROR(IF(COUNTIF($C$17:C549,C549)&lt;=('BOBOT PEK'!V238-'BOBOT PEK'!U238+1),'BOBOT PEK'!U238+COUNTIF($C$17:C549,C549)-1,0),0)</f>
        <v>0</v>
      </c>
      <c r="B549" t="str">
        <f>IFERROR(TEXT(INDEX('KALENDER MINGGU'!$B$6:$B$21,$A549),"dd/mm")&amp;" - "&amp;TEXT(INDEX('KALENDER MINGGU'!$C$6:$C$21,$A549),"dd/mm"),"")</f>
        <v/>
      </c>
      <c r="C549" t="s">
        <v>551</v>
      </c>
      <c r="D549" s="228" t="str">
        <f>'BOBOT PEK'!C238</f>
        <v>plafon
rangka hollow + gypsum 9mm</v>
      </c>
      <c r="E549" s="241">
        <f>'BOBOT PEK'!J238</f>
        <v>0.4052465413350011</v>
      </c>
      <c r="F549">
        <f>100/('BOBOT PEK'!V238-'BOBOT PEK'!U238+1)</f>
        <v>50</v>
      </c>
      <c r="G549">
        <f t="shared" si="16"/>
        <v>0.20262327066750055</v>
      </c>
      <c r="H549">
        <f>MIN(100,($A549-'BOBOT PEK'!U238+1)/('BOBOT PEK'!V238-'BOBOT PEK'!U238+1)*100)</f>
        <v>-300</v>
      </c>
      <c r="I549">
        <f>IFERROR(SUM(INDEX(TS!$M:$AB,69,1):INDEX(TS!$M:$AB,69,$A549))/TS!$L$59*100,0)</f>
        <v>2664.4387828523818</v>
      </c>
      <c r="J549">
        <f t="shared" si="17"/>
        <v>0</v>
      </c>
      <c r="O549" t="str">
        <f>IF(I549&gt;=99.9,"COMPLETED",IF('BOBOT PEK'!U238&gt;$J$7,"NOT STARTED",IF('BOBOT PEK'!V238&lt;$J$7,"CRITICAL",IF(I549+1&lt;H549,"DELAYED","ON SCHEDULE"))))</f>
        <v>COMPLETED</v>
      </c>
      <c r="Q549" t="str">
        <f>IFERROR(IF(AND($A549=$B$8,'BOBOT PEK'!U238&lt;=$B$8,$B$8&lt;='BOBOT PEK'!V238),COUNTIFS($A$17:$A549,$B$8),""),"")</f>
        <v/>
      </c>
    </row>
    <row r="550" spans="1:17" ht="23.25" customHeight="1" x14ac:dyDescent="0.2">
      <c r="A550">
        <f>IFERROR(IF(COUNTIF($C$17:C550,C550)&lt;=('BOBOT PEK'!V239-'BOBOT PEK'!U239+1),'BOBOT PEK'!U239+COUNTIF($C$17:C550,C550)-1,0),0)</f>
        <v>0</v>
      </c>
      <c r="B550" t="str">
        <f>IFERROR(TEXT(INDEX('KALENDER MINGGU'!$B$6:$B$21,$A550),"dd/mm")&amp;" - "&amp;TEXT(INDEX('KALENDER MINGGU'!$C$6:$C$21,$A550),"dd/mm"),"")</f>
        <v/>
      </c>
      <c r="C550" t="s">
        <v>552</v>
      </c>
      <c r="D550" s="228" t="str">
        <f>'BOBOT PEK'!C239</f>
        <v>kusen aluminium + kaca mati
aluminium 3" putih + kaca bening 8mm</v>
      </c>
      <c r="E550" s="241">
        <f>'BOBOT PEK'!J239</f>
        <v>0.68845861283616672</v>
      </c>
      <c r="F550">
        <f>100/('BOBOT PEK'!V239-'BOBOT PEK'!U239+1)</f>
        <v>50</v>
      </c>
      <c r="G550">
        <f t="shared" si="16"/>
        <v>0.34422930641808336</v>
      </c>
      <c r="H550">
        <f>MIN(100,($A550-'BOBOT PEK'!U239+1)/('BOBOT PEK'!V239-'BOBOT PEK'!U239+1)*100)</f>
        <v>-400</v>
      </c>
      <c r="I550">
        <f>IFERROR(SUM(INDEX(TS!$M:$AB,69,1):INDEX(TS!$M:$AB,69,$A550))/TS!$L$59*100,0)</f>
        <v>2664.4387828523818</v>
      </c>
      <c r="J550">
        <f t="shared" si="17"/>
        <v>0</v>
      </c>
      <c r="O550" t="str">
        <f>IF(I550&gt;=99.9,"COMPLETED",IF('BOBOT PEK'!U239&gt;$J$7,"NOT STARTED",IF('BOBOT PEK'!V239&lt;$J$7,"CRITICAL",IF(I550+1&lt;H550,"DELAYED","ON SCHEDULE"))))</f>
        <v>COMPLETED</v>
      </c>
      <c r="Q550" t="str">
        <f>IFERROR(IF(AND($A550=$B$8,'BOBOT PEK'!U239&lt;=$B$8,$B$8&lt;='BOBOT PEK'!V239),COUNTIFS($A$17:$A550,$B$8),""),"")</f>
        <v/>
      </c>
    </row>
    <row r="551" spans="1:17" ht="23.25" customHeight="1" x14ac:dyDescent="0.2">
      <c r="A551">
        <f>IFERROR(IF(COUNTIF($C$17:C551,C551)&lt;=('BOBOT PEK'!V240-'BOBOT PEK'!U240+1),'BOBOT PEK'!U240+COUNTIF($C$17:C551,C551)-1,0),0)</f>
        <v>0</v>
      </c>
      <c r="B551" t="str">
        <f>IFERROR(TEXT(INDEX('KALENDER MINGGU'!$B$6:$B$21,$A551),"dd/mm")&amp;" - "&amp;TEXT(INDEX('KALENDER MINGGU'!$C$6:$C$21,$A551),"dd/mm"),"")</f>
        <v/>
      </c>
      <c r="C551" t="s">
        <v>553</v>
      </c>
      <c r="D551" s="228" t="str">
        <f>'BOBOT PEK'!C240</f>
        <v>Kusen pintu floor hinge
aluminium 3" putih + kaca bening 8mm</v>
      </c>
      <c r="E551" s="241">
        <f>'BOBOT PEK'!J240</f>
        <v>0.13303548074128826</v>
      </c>
      <c r="F551">
        <f>100/('BOBOT PEK'!V240-'BOBOT PEK'!U240+1)</f>
        <v>50</v>
      </c>
      <c r="G551">
        <f t="shared" si="16"/>
        <v>6.6517740370644132E-2</v>
      </c>
      <c r="H551">
        <f>MIN(100,($A551-'BOBOT PEK'!U240+1)/('BOBOT PEK'!V240-'BOBOT PEK'!U240+1)*100)</f>
        <v>-400</v>
      </c>
      <c r="I551">
        <f>IFERROR(SUM(INDEX(TS!$M:$AB,69,1):INDEX(TS!$M:$AB,69,$A551))/TS!$L$59*100,0)</f>
        <v>2664.4387828523818</v>
      </c>
      <c r="J551">
        <f t="shared" si="17"/>
        <v>0</v>
      </c>
      <c r="O551" t="str">
        <f>IF(I551&gt;=99.9,"COMPLETED",IF('BOBOT PEK'!U240&gt;$J$7,"NOT STARTED",IF('BOBOT PEK'!V240&lt;$J$7,"CRITICAL",IF(I551+1&lt;H551,"DELAYED","ON SCHEDULE"))))</f>
        <v>COMPLETED</v>
      </c>
      <c r="Q551" t="str">
        <f>IFERROR(IF(AND($A551=$B$8,'BOBOT PEK'!U240&lt;=$B$8,$B$8&lt;='BOBOT PEK'!V240),COUNTIFS($A$17:$A551,$B$8),""),"")</f>
        <v/>
      </c>
    </row>
    <row r="552" spans="1:17" ht="23.25" customHeight="1" x14ac:dyDescent="0.2">
      <c r="A552">
        <f>IFERROR(IF(COUNTIF($C$17:C552,C552)&lt;=('BOBOT PEK'!V241-'BOBOT PEK'!U241+1),'BOBOT PEK'!U241+COUNTIF($C$17:C552,C552)-1,0),0)</f>
        <v>0</v>
      </c>
      <c r="B552" t="str">
        <f>IFERROR(TEXT(INDEX('KALENDER MINGGU'!$B$6:$B$21,$A552),"dd/mm")&amp;" - "&amp;TEXT(INDEX('KALENDER MINGGU'!$C$6:$C$21,$A552),"dd/mm"),"")</f>
        <v/>
      </c>
      <c r="C552" t="s">
        <v>554</v>
      </c>
      <c r="D552" s="228" t="str">
        <f>'BOBOT PEK'!C241</f>
        <v>Lighting
LED T8 18w 6500K</v>
      </c>
      <c r="E552" s="241">
        <f>'BOBOT PEK'!J241</f>
        <v>5.9865966333579719E-2</v>
      </c>
      <c r="F552">
        <f>100/('BOBOT PEK'!V241-'BOBOT PEK'!U241+1)</f>
        <v>50</v>
      </c>
      <c r="G552">
        <f t="shared" si="16"/>
        <v>2.993298316678986E-2</v>
      </c>
      <c r="H552">
        <f>MIN(100,($A552-'BOBOT PEK'!U241+1)/('BOBOT PEK'!V241-'BOBOT PEK'!U241+1)*100)</f>
        <v>-400</v>
      </c>
      <c r="I552">
        <f>IFERROR(SUM(INDEX(TS!$M:$AB,69,1):INDEX(TS!$M:$AB,69,$A552))/TS!$L$59*100,0)</f>
        <v>2664.4387828523818</v>
      </c>
      <c r="J552">
        <f t="shared" si="17"/>
        <v>0</v>
      </c>
      <c r="O552" t="str">
        <f>IF(I552&gt;=99.9,"COMPLETED",IF('BOBOT PEK'!U241&gt;$J$7,"NOT STARTED",IF('BOBOT PEK'!V241&lt;$J$7,"CRITICAL",IF(I552+1&lt;H552,"DELAYED","ON SCHEDULE"))))</f>
        <v>COMPLETED</v>
      </c>
      <c r="Q552" t="str">
        <f>IFERROR(IF(AND($A552=$B$8,'BOBOT PEK'!U241&lt;=$B$8,$B$8&lt;='BOBOT PEK'!V241),COUNTIFS($A$17:$A552,$B$8),""),"")</f>
        <v/>
      </c>
    </row>
    <row r="553" spans="1:17" ht="23.25" customHeight="1" x14ac:dyDescent="0.2">
      <c r="A553">
        <f>IFERROR(IF(COUNTIF($C$17:C553,C553)&lt;=('BOBOT PEK'!V242-'BOBOT PEK'!U242+1),'BOBOT PEK'!U242+COUNTIF($C$17:C553,C553)-1,0),0)</f>
        <v>0</v>
      </c>
      <c r="B553" t="str">
        <f>IFERROR(TEXT(INDEX('KALENDER MINGGU'!$B$6:$B$21,$A553),"dd/mm")&amp;" - "&amp;TEXT(INDEX('KALENDER MINGGU'!$C$6:$C$21,$A553),"dd/mm"),"")</f>
        <v/>
      </c>
      <c r="C553" t="s">
        <v>555</v>
      </c>
      <c r="D553" s="228" t="str">
        <f>'BOBOT PEK'!C242</f>
        <v>saklar dan stop kontak
ex schneider classic</v>
      </c>
      <c r="E553" s="241">
        <f>'BOBOT PEK'!J242</f>
        <v>0.10028828548189422</v>
      </c>
      <c r="F553">
        <f>100/('BOBOT PEK'!V242-'BOBOT PEK'!U242+1)</f>
        <v>50</v>
      </c>
      <c r="G553">
        <f t="shared" si="16"/>
        <v>5.0144142740947112E-2</v>
      </c>
      <c r="H553">
        <f>MIN(100,($A553-'BOBOT PEK'!U242+1)/('BOBOT PEK'!V242-'BOBOT PEK'!U242+1)*100)</f>
        <v>-400</v>
      </c>
      <c r="I553">
        <f>IFERROR(SUM(INDEX(TS!$M:$AB,69,1):INDEX(TS!$M:$AB,69,$A553))/TS!$L$59*100,0)</f>
        <v>2664.4387828523818</v>
      </c>
      <c r="J553">
        <f t="shared" si="17"/>
        <v>0</v>
      </c>
      <c r="O553" t="str">
        <f>IF(I553&gt;=99.9,"COMPLETED",IF('BOBOT PEK'!U242&gt;$J$7,"NOT STARTED",IF('BOBOT PEK'!V242&lt;$J$7,"CRITICAL",IF(I553+1&lt;H553,"DELAYED","ON SCHEDULE"))))</f>
        <v>COMPLETED</v>
      </c>
      <c r="Q553" t="str">
        <f>IFERROR(IF(AND($A553=$B$8,'BOBOT PEK'!U242&lt;=$B$8,$B$8&lt;='BOBOT PEK'!V242),COUNTIFS($A$17:$A553,$B$8),""),"")</f>
        <v/>
      </c>
    </row>
    <row r="554" spans="1:17" ht="23.25" customHeight="1" x14ac:dyDescent="0.2">
      <c r="A554">
        <f>IFERROR(IF(COUNTIF($C$17:C554,C554)&lt;=('BOBOT PEK'!V243-'BOBOT PEK'!U243+1),'BOBOT PEK'!U243+COUNTIF($C$17:C554,C554)-1,0),0)</f>
        <v>0</v>
      </c>
      <c r="B554" t="str">
        <f>IFERROR(TEXT(INDEX('KALENDER MINGGU'!$B$6:$B$21,$A554),"dd/mm")&amp;" - "&amp;TEXT(INDEX('KALENDER MINGGU'!$C$6:$C$21,$A554),"dd/mm"),"")</f>
        <v/>
      </c>
      <c r="C554" t="s">
        <v>556</v>
      </c>
      <c r="D554" s="228" t="str">
        <f>'BOBOT PEK'!C243</f>
        <v>Pengadaan dan pemasangan AC
ex gree 2pk</v>
      </c>
      <c r="E554" s="241">
        <f>'BOBOT PEK'!J243</f>
        <v>0.56540079315047509</v>
      </c>
      <c r="F554">
        <f>100/('BOBOT PEK'!V243-'BOBOT PEK'!U243+1)</f>
        <v>50</v>
      </c>
      <c r="G554">
        <f t="shared" si="16"/>
        <v>0.28270039657523754</v>
      </c>
      <c r="H554">
        <f>MIN(100,($A554-'BOBOT PEK'!U243+1)/('BOBOT PEK'!V243-'BOBOT PEK'!U243+1)*100)</f>
        <v>-400</v>
      </c>
      <c r="I554">
        <f>IFERROR(SUM(INDEX(TS!$M:$AB,69,1):INDEX(TS!$M:$AB,69,$A554))/TS!$L$59*100,0)</f>
        <v>2664.4387828523818</v>
      </c>
      <c r="J554">
        <f t="shared" si="17"/>
        <v>0</v>
      </c>
      <c r="O554" t="str">
        <f>IF(I554&gt;=99.9,"COMPLETED",IF('BOBOT PEK'!U243&gt;$J$7,"NOT STARTED",IF('BOBOT PEK'!V243&lt;$J$7,"CRITICAL",IF(I554+1&lt;H554,"DELAYED","ON SCHEDULE"))))</f>
        <v>COMPLETED</v>
      </c>
      <c r="Q554" t="str">
        <f>IFERROR(IF(AND($A554=$B$8,'BOBOT PEK'!U243&lt;=$B$8,$B$8&lt;='BOBOT PEK'!V243),COUNTIFS($A$17:$A554,$B$8),""),"")</f>
        <v/>
      </c>
    </row>
    <row r="555" spans="1:17" ht="23.25" customHeight="1" x14ac:dyDescent="0.2">
      <c r="A555">
        <f>IFERROR(IF(COUNTIF($C$17:C555,C555)&lt;=('BOBOT PEK'!V244-'BOBOT PEK'!U244+1),'BOBOT PEK'!U244+COUNTIF($C$17:C555,C555)-1,0),0)</f>
        <v>12</v>
      </c>
      <c r="B555" t="str">
        <f>IFERROR(TEXT(INDEX('KALENDER MINGGU'!$B$6:$B$21,$A555),"dd/mm")&amp;" - "&amp;TEXT(INDEX('KALENDER MINGGU'!$C$6:$C$21,$A555),"dd/mm"),"")</f>
        <v>08/10 - 14/10</v>
      </c>
      <c r="C555" t="s">
        <v>557</v>
      </c>
      <c r="D555" s="228" t="str">
        <f>'BOBOT PEK'!C244</f>
        <v>Fasad
rangka + MMT + lighting 50w</v>
      </c>
      <c r="E555" s="241">
        <f>'BOBOT PEK'!J244</f>
        <v>9.3124836518901771E-2</v>
      </c>
      <c r="F555">
        <f>100/('BOBOT PEK'!V244-'BOBOT PEK'!U244+1)</f>
        <v>33.333333333333336</v>
      </c>
      <c r="G555">
        <f t="shared" si="16"/>
        <v>3.1041612172967262E-2</v>
      </c>
      <c r="H555">
        <f>MIN(100,($A555-'BOBOT PEK'!U244+1)/('BOBOT PEK'!V244-'BOBOT PEK'!U244+1)*100)</f>
        <v>100</v>
      </c>
      <c r="I555">
        <f>IFERROR(SUM(INDEX(TS!$M:$AB,69,1):INDEX(TS!$M:$AB,69,$A555))/TS!$L$59*100,0)</f>
        <v>2145.086869461486</v>
      </c>
      <c r="J555">
        <f t="shared" si="17"/>
        <v>0</v>
      </c>
      <c r="O555" t="str">
        <f>IF(I555&gt;=99.9,"COMPLETED",IF('BOBOT PEK'!U244&gt;$J$7,"NOT STARTED",IF('BOBOT PEK'!V244&lt;$J$7,"CRITICAL",IF(I555+1&lt;H555,"DELAYED","ON SCHEDULE"))))</f>
        <v>COMPLETED</v>
      </c>
      <c r="Q555" t="str">
        <f>IFERROR(IF(AND($A555=$B$8,'BOBOT PEK'!U244&lt;=$B$8,$B$8&lt;='BOBOT PEK'!V244),COUNTIFS($A$17:$A555,$B$8),""),"")</f>
        <v/>
      </c>
    </row>
    <row r="556" spans="1:17" ht="23.25" customHeight="1" x14ac:dyDescent="0.2">
      <c r="A556">
        <f>IFERROR(IF(COUNTIF($C$17:C556,C556)&lt;=('BOBOT PEK'!V245-'BOBOT PEK'!U245+1),'BOBOT PEK'!U245+COUNTIF($C$17:C556,C556)-1,0),0)</f>
        <v>12</v>
      </c>
      <c r="B556" t="str">
        <f>IFERROR(TEXT(INDEX('KALENDER MINGGU'!$B$6:$B$21,$A556),"dd/mm")&amp;" - "&amp;TEXT(INDEX('KALENDER MINGGU'!$C$6:$C$21,$A556),"dd/mm"),"")</f>
        <v>08/10 - 14/10</v>
      </c>
      <c r="C556" t="s">
        <v>558</v>
      </c>
      <c r="D556" s="228" t="str">
        <f>'BOBOT PEK'!C245</f>
        <v>Signage
neon box</v>
      </c>
      <c r="E556" s="241">
        <f>'BOBOT PEK'!J245</f>
        <v>0.20466997037121271</v>
      </c>
      <c r="F556">
        <f>100/('BOBOT PEK'!V245-'BOBOT PEK'!U245+1)</f>
        <v>33.333333333333336</v>
      </c>
      <c r="G556">
        <f t="shared" si="16"/>
        <v>6.8223323457070911E-2</v>
      </c>
      <c r="H556">
        <f>MIN(100,($A556-'BOBOT PEK'!U245+1)/('BOBOT PEK'!V245-'BOBOT PEK'!U245+1)*100)</f>
        <v>100</v>
      </c>
      <c r="I556">
        <f>IFERROR(SUM(INDEX(TS!$M:$AB,69,1):INDEX(TS!$M:$AB,69,$A556))/TS!$L$59*100,0)</f>
        <v>2145.086869461486</v>
      </c>
      <c r="J556">
        <f t="shared" si="17"/>
        <v>0</v>
      </c>
      <c r="O556" t="str">
        <f>IF(I556&gt;=99.9,"COMPLETED",IF('BOBOT PEK'!U245&gt;$J$7,"NOT STARTED",IF('BOBOT PEK'!V245&lt;$J$7,"CRITICAL",IF(I556+1&lt;H556,"DELAYED","ON SCHEDULE"))))</f>
        <v>COMPLETED</v>
      </c>
      <c r="Q556" t="str">
        <f>IFERROR(IF(AND($A556=$B$8,'BOBOT PEK'!U245&lt;=$B$8,$B$8&lt;='BOBOT PEK'!V245),COUNTIFS($A$17:$A556,$B$8),""),"")</f>
        <v/>
      </c>
    </row>
    <row r="557" spans="1:17" ht="12.75" customHeight="1" x14ac:dyDescent="0.2">
      <c r="A557">
        <f>IFERROR(IF(COUNTIF($C$17:C557,C557)&lt;=('BOBOT PEK'!V253-'BOBOT PEK'!U253+1),'BOBOT PEK'!U253+COUNTIF($C$17:C557,C557)-1,0),0)</f>
        <v>13</v>
      </c>
      <c r="B557" t="str">
        <f>IFERROR(TEXT(INDEX('KALENDER MINGGU'!$B$6:$B$21,$A557),"dd/mm")&amp;" - "&amp;TEXT(INDEX('KALENDER MINGGU'!$C$6:$C$21,$A557),"dd/mm"),"")</f>
        <v>15/10 - 21/10</v>
      </c>
      <c r="C557" t="s">
        <v>563</v>
      </c>
      <c r="D557" t="str">
        <f>'BOBOT PEK'!C253</f>
        <v>Repair Rak Helm area sekuriti</v>
      </c>
      <c r="E557" s="241">
        <f>'BOBOT PEK'!J253</f>
        <v>6.7796927685464206E-2</v>
      </c>
      <c r="F557">
        <f>100/('BOBOT PEK'!V253-'BOBOT PEK'!U253+1)</f>
        <v>50</v>
      </c>
      <c r="G557">
        <f t="shared" si="16"/>
        <v>3.3898463842732103E-2</v>
      </c>
      <c r="H557">
        <f>MIN(100,($A557-'BOBOT PEK'!U253+1)/('BOBOT PEK'!V253-'BOBOT PEK'!U253+1)*100)</f>
        <v>50</v>
      </c>
      <c r="I557">
        <f>IFERROR(SUM(INDEX(TS!$M:$AB,73,1):INDEX(TS!$M:$AB,73,$A557))/TS!$L$63*100,0)</f>
        <v>-2150.445597500624</v>
      </c>
      <c r="J557">
        <f t="shared" si="17"/>
        <v>2250.445597500624</v>
      </c>
      <c r="O557" t="str">
        <f ca="1">IF(I557&gt;=99.9,"COMPLETED",IF('BOBOT PEK'!U253&gt;$J$7,"NOT STARTED",IF('BOBOT PEK'!V253&lt;$J$7,"CRITICAL",IF(I557+1&lt;H557,"DELAYED","ON SCHEDULE"))))</f>
        <v>NOT STARTED</v>
      </c>
      <c r="Q557" t="str">
        <f>IFERROR(IF(AND($A557=$B$8,'BOBOT PEK'!U253&lt;=$B$8,$B$8&lt;='BOBOT PEK'!V253),COUNTIFS($A$17:$A557,$B$8),""),"")</f>
        <v/>
      </c>
    </row>
    <row r="558" spans="1:17" ht="12.75" customHeight="1" x14ac:dyDescent="0.2">
      <c r="A558">
        <f>IFERROR(IF(COUNTIF($C$17:C558,C558)&lt;=('BOBOT PEK'!V254-'BOBOT PEK'!U254+1),'BOBOT PEK'!U254+COUNTIF($C$17:C558,C558)-1,0),0)</f>
        <v>13</v>
      </c>
      <c r="B558" t="str">
        <f>IFERROR(TEXT(INDEX('KALENDER MINGGU'!$B$6:$B$21,$A558),"dd/mm")&amp;" - "&amp;TEXT(INDEX('KALENDER MINGGU'!$C$6:$C$21,$A558),"dd/mm"),"")</f>
        <v>15/10 - 21/10</v>
      </c>
      <c r="C558" t="s">
        <v>564</v>
      </c>
      <c r="D558" t="str">
        <f>'BOBOT PEK'!C254</f>
        <v>Repair meja sekuriti</v>
      </c>
      <c r="E558" s="241">
        <f>'BOBOT PEK'!J254</f>
        <v>5.1167492592803177E-2</v>
      </c>
      <c r="F558">
        <f>100/('BOBOT PEK'!V254-'BOBOT PEK'!U254+1)</f>
        <v>50</v>
      </c>
      <c r="G558">
        <f t="shared" si="16"/>
        <v>2.5583746296401588E-2</v>
      </c>
      <c r="H558">
        <f>MIN(100,($A558-'BOBOT PEK'!U254+1)/('BOBOT PEK'!V254-'BOBOT PEK'!U254+1)*100)</f>
        <v>50</v>
      </c>
      <c r="I558">
        <f>IFERROR(SUM(INDEX(TS!$M:$AB,73,1):INDEX(TS!$M:$AB,73,$A558))/TS!$L$63*100,0)</f>
        <v>-2150.445597500624</v>
      </c>
      <c r="J558">
        <f t="shared" si="17"/>
        <v>2250.445597500624</v>
      </c>
      <c r="O558" t="str">
        <f ca="1">IF(I558&gt;=99.9,"COMPLETED",IF('BOBOT PEK'!U254&gt;$J$7,"NOT STARTED",IF('BOBOT PEK'!V254&lt;$J$7,"CRITICAL",IF(I558+1&lt;H558,"DELAYED","ON SCHEDULE"))))</f>
        <v>NOT STARTED</v>
      </c>
      <c r="Q558" t="str">
        <f>IFERROR(IF(AND($A558=$B$8,'BOBOT PEK'!U254&lt;=$B$8,$B$8&lt;='BOBOT PEK'!V254),COUNTIFS($A$17:$A558,$B$8),""),"")</f>
        <v/>
      </c>
    </row>
    <row r="559" spans="1:17" ht="12.75" customHeight="1" x14ac:dyDescent="0.2">
      <c r="A559">
        <f>IFERROR(IF(COUNTIF($C$17:C559,C559)&lt;=('BOBOT PEK'!V255-'BOBOT PEK'!U255+1),'BOBOT PEK'!U255+COUNTIF($C$17:C559,C559)-1,0),0)</f>
        <v>13</v>
      </c>
      <c r="B559" t="str">
        <f>IFERROR(TEXT(INDEX('KALENDER MINGGU'!$B$6:$B$21,$A559),"dd/mm")&amp;" - "&amp;TEXT(INDEX('KALENDER MINGGU'!$C$6:$C$21,$A559),"dd/mm"),"")</f>
        <v>15/10 - 21/10</v>
      </c>
      <c r="C559" t="s">
        <v>565</v>
      </c>
      <c r="D559" t="str">
        <f>'BOBOT PEK'!C255</f>
        <v>Repair lemari sekuriti</v>
      </c>
      <c r="E559" s="241">
        <f>'BOBOT PEK'!J255</f>
        <v>2.6862933611221666E-2</v>
      </c>
      <c r="F559">
        <f>100/('BOBOT PEK'!V255-'BOBOT PEK'!U255+1)</f>
        <v>50</v>
      </c>
      <c r="G559">
        <f t="shared" si="16"/>
        <v>1.3431466805610833E-2</v>
      </c>
      <c r="H559">
        <f>MIN(100,($A559-'BOBOT PEK'!U255+1)/('BOBOT PEK'!V255-'BOBOT PEK'!U255+1)*100)</f>
        <v>50</v>
      </c>
      <c r="I559">
        <f>IFERROR(SUM(INDEX(TS!$M:$AB,73,1):INDEX(TS!$M:$AB,73,$A559))/TS!$L$63*100,0)</f>
        <v>-2150.445597500624</v>
      </c>
      <c r="J559">
        <f t="shared" si="17"/>
        <v>2250.445597500624</v>
      </c>
      <c r="O559" t="str">
        <f ca="1">IF(I559&gt;=99.9,"COMPLETED",IF('BOBOT PEK'!U255&gt;$J$7,"NOT STARTED",IF('BOBOT PEK'!V255&lt;$J$7,"CRITICAL",IF(I559+1&lt;H559,"DELAYED","ON SCHEDULE"))))</f>
        <v>NOT STARTED</v>
      </c>
      <c r="Q559" t="str">
        <f>IFERROR(IF(AND($A559=$B$8,'BOBOT PEK'!U255&lt;=$B$8,$B$8&lt;='BOBOT PEK'!V255),COUNTIFS($A$17:$A559,$B$8),""),"")</f>
        <v/>
      </c>
    </row>
    <row r="560" spans="1:17" ht="12.75" customHeight="1" x14ac:dyDescent="0.2">
      <c r="A560">
        <f>IFERROR(IF(COUNTIF($C$17:C560,C560)&lt;=('BOBOT PEK'!V53-'BOBOT PEK'!U53+1),'BOBOT PEK'!U53+COUNTIF($C$17:C560,C560)-1,0),0)</f>
        <v>14</v>
      </c>
      <c r="B560" t="str">
        <f>IFERROR(TEXT(INDEX('KALENDER MINGGU'!$B$6:$B$21,$A560),"dd/mm")&amp;" - "&amp;TEXT(INDEX('KALENDER MINGGU'!$C$6:$C$21,$A560),"dd/mm"),"")</f>
        <v>22/10 - 28/10</v>
      </c>
      <c r="C560" t="s">
        <v>451</v>
      </c>
      <c r="D560" t="str">
        <f>'BOBOT PEK'!C53</f>
        <v>Pekerjaan refinishing pagar depan</v>
      </c>
      <c r="E560" s="241">
        <f>'BOBOT PEK'!J53</f>
        <v>0.13286918639036166</v>
      </c>
      <c r="F560">
        <f>100/('BOBOT PEK'!V53-'BOBOT PEK'!U53+1)</f>
        <v>50</v>
      </c>
      <c r="G560">
        <f t="shared" si="16"/>
        <v>6.643459319518083E-2</v>
      </c>
      <c r="H560">
        <f>MIN(100,($A560-'BOBOT PEK'!U53+1)/('BOBOT PEK'!V53-'BOBOT PEK'!U53+1)*100)</f>
        <v>100</v>
      </c>
      <c r="I560">
        <f>IFERROR(SUM(INDEX(TS!$M:$AB,31,1):INDEX(TS!$M:$AB,31,$A560))/TS!$L$21*100,0)</f>
        <v>556.87389801468316</v>
      </c>
      <c r="J560">
        <f t="shared" si="17"/>
        <v>0</v>
      </c>
      <c r="O560" t="str">
        <f>IF(I560&gt;=99.9,"COMPLETED",IF('BOBOT PEK'!U53&gt;$J$7,"NOT STARTED",IF('BOBOT PEK'!V53&lt;$J$7,"CRITICAL",IF(I560+1&lt;H560,"DELAYED","ON SCHEDULE"))))</f>
        <v>COMPLETED</v>
      </c>
      <c r="Q560" t="str">
        <f>IFERROR(IF(AND($A560=$B$8,'BOBOT PEK'!U53&lt;=$B$8,$B$8&lt;='BOBOT PEK'!V53),COUNTIFS($A$17:$A560,$B$8),""),"")</f>
        <v/>
      </c>
    </row>
    <row r="561" spans="1:17" ht="12.75" customHeight="1" x14ac:dyDescent="0.2">
      <c r="A561">
        <f>IFERROR(IF(COUNTIF($C$17:C561,C561)&lt;=('BOBOT PEK'!V54-'BOBOT PEK'!U54+1),'BOBOT PEK'!U54+COUNTIF($C$17:C561,C561)-1,0),0)</f>
        <v>14</v>
      </c>
      <c r="B561" t="str">
        <f>IFERROR(TEXT(INDEX('KALENDER MINGGU'!$B$6:$B$21,$A561),"dd/mm")&amp;" - "&amp;TEXT(INDEX('KALENDER MINGGU'!$C$6:$C$21,$A561),"dd/mm"),"")</f>
        <v>22/10 - 28/10</v>
      </c>
      <c r="C561" t="s">
        <v>452</v>
      </c>
      <c r="D561" t="str">
        <f>'BOBOT PEK'!C54</f>
        <v>Pekerjaan refinishing pintu dan tralis pagar depan</v>
      </c>
      <c r="E561" s="241">
        <f>'BOBOT PEK'!J54</f>
        <v>0.21746184351941347</v>
      </c>
      <c r="F561">
        <f>100/('BOBOT PEK'!V54-'BOBOT PEK'!U54+1)</f>
        <v>50</v>
      </c>
      <c r="G561">
        <f t="shared" si="16"/>
        <v>0.10873092175970674</v>
      </c>
      <c r="H561">
        <f>MIN(100,($A561-'BOBOT PEK'!U54+1)/('BOBOT PEK'!V54-'BOBOT PEK'!U54+1)*100)</f>
        <v>100</v>
      </c>
      <c r="I561">
        <f>IFERROR(SUM(INDEX(TS!$M:$AB,31,1):INDEX(TS!$M:$AB,31,$A561))/TS!$L$21*100,0)</f>
        <v>556.87389801468316</v>
      </c>
      <c r="J561">
        <f t="shared" si="17"/>
        <v>0</v>
      </c>
      <c r="O561" t="str">
        <f>IF(I561&gt;=99.9,"COMPLETED",IF('BOBOT PEK'!U54&gt;$J$7,"NOT STARTED",IF('BOBOT PEK'!V54&lt;$J$7,"CRITICAL",IF(I561+1&lt;H561,"DELAYED","ON SCHEDULE"))))</f>
        <v>COMPLETED</v>
      </c>
      <c r="Q561" t="str">
        <f>IFERROR(IF(AND($A561=$B$8,'BOBOT PEK'!U54&lt;=$B$8,$B$8&lt;='BOBOT PEK'!V54),COUNTIFS($A$17:$A561,$B$8),""),"")</f>
        <v/>
      </c>
    </row>
    <row r="562" spans="1:17" ht="12.75" customHeight="1" x14ac:dyDescent="0.2">
      <c r="A562">
        <f>IFERROR(IF(COUNTIF($C$17:C562,C562)&lt;=('BOBOT PEK'!V55-'BOBOT PEK'!U55+1),'BOBOT PEK'!U55+COUNTIF($C$17:C562,C562)-1,0),0)</f>
        <v>14</v>
      </c>
      <c r="B562" t="str">
        <f>IFERROR(TEXT(INDEX('KALENDER MINGGU'!$B$6:$B$21,$A562),"dd/mm")&amp;" - "&amp;TEXT(INDEX('KALENDER MINGGU'!$C$6:$C$21,$A562),"dd/mm"),"")</f>
        <v>22/10 - 28/10</v>
      </c>
      <c r="C562" t="s">
        <v>453</v>
      </c>
      <c r="D562" t="str">
        <f>'BOBOT PEK'!C55</f>
        <v>Pekerjaan pintu boom gate pintu utama</v>
      </c>
      <c r="E562" s="241">
        <f>'BOBOT PEK'!J55</f>
        <v>0</v>
      </c>
      <c r="F562">
        <f>100/('BOBOT PEK'!V55-'BOBOT PEK'!U55+1)</f>
        <v>50</v>
      </c>
      <c r="G562">
        <f t="shared" si="16"/>
        <v>0</v>
      </c>
      <c r="H562">
        <f>MIN(100,($A562-'BOBOT PEK'!U55+1)/('BOBOT PEK'!V55-'BOBOT PEK'!U55+1)*100)</f>
        <v>100</v>
      </c>
      <c r="I562">
        <f>IFERROR(SUM(INDEX(TS!$M:$AB,31,1):INDEX(TS!$M:$AB,31,$A562))/TS!$L$21*100,0)</f>
        <v>556.87389801468316</v>
      </c>
      <c r="J562">
        <f t="shared" si="17"/>
        <v>0</v>
      </c>
      <c r="O562" t="str">
        <f>IF(I562&gt;=99.9,"COMPLETED",IF('BOBOT PEK'!U55&gt;$J$7,"NOT STARTED",IF('BOBOT PEK'!V55&lt;$J$7,"CRITICAL",IF(I562+1&lt;H562,"DELAYED","ON SCHEDULE"))))</f>
        <v>COMPLETED</v>
      </c>
      <c r="Q562" t="str">
        <f>IFERROR(IF(AND($A562=$B$8,'BOBOT PEK'!U55&lt;=$B$8,$B$8&lt;='BOBOT PEK'!V55),COUNTIFS($A$17:$A562,$B$8),""),"")</f>
        <v/>
      </c>
    </row>
    <row r="563" spans="1:17" ht="12.75" customHeight="1" x14ac:dyDescent="0.2">
      <c r="A563">
        <f>IFERROR(IF(COUNTIF($C$17:C563,C563)&lt;=('BOBOT PEK'!V56-'BOBOT PEK'!U56+1),'BOBOT PEK'!U56+COUNTIF($C$17:C563,C563)-1,0),0)</f>
        <v>14</v>
      </c>
      <c r="B563" t="str">
        <f>IFERROR(TEXT(INDEX('KALENDER MINGGU'!$B$6:$B$21,$A563),"dd/mm")&amp;" - "&amp;TEXT(INDEX('KALENDER MINGGU'!$C$6:$C$21,$A563),"dd/mm"),"")</f>
        <v>22/10 - 28/10</v>
      </c>
      <c r="C563" t="s">
        <v>454</v>
      </c>
      <c r="D563" t="str">
        <f>'BOBOT PEK'!C56</f>
        <v>pondasi struktur boom gate</v>
      </c>
      <c r="E563" s="241">
        <f>'BOBOT PEK'!J56</f>
        <v>0.10233498518560635</v>
      </c>
      <c r="F563">
        <f>100/('BOBOT PEK'!V56-'BOBOT PEK'!U56+1)</f>
        <v>50</v>
      </c>
      <c r="G563">
        <f t="shared" si="16"/>
        <v>5.1167492592803177E-2</v>
      </c>
      <c r="H563">
        <f>MIN(100,($A563-'BOBOT PEK'!U56+1)/('BOBOT PEK'!V56-'BOBOT PEK'!U56+1)*100)</f>
        <v>100</v>
      </c>
      <c r="I563">
        <f>IFERROR(SUM(INDEX(TS!$M:$AB,31,1):INDEX(TS!$M:$AB,31,$A563))/TS!$L$21*100,0)</f>
        <v>556.87389801468316</v>
      </c>
      <c r="J563">
        <f t="shared" si="17"/>
        <v>0</v>
      </c>
      <c r="O563" t="str">
        <f>IF(I563&gt;=99.9,"COMPLETED",IF('BOBOT PEK'!U56&gt;$J$7,"NOT STARTED",IF('BOBOT PEK'!V56&lt;$J$7,"CRITICAL",IF(I563+1&lt;H563,"DELAYED","ON SCHEDULE"))))</f>
        <v>COMPLETED</v>
      </c>
      <c r="Q563" t="str">
        <f>IFERROR(IF(AND($A563=$B$8,'BOBOT PEK'!U56&lt;=$B$8,$B$8&lt;='BOBOT PEK'!V56),COUNTIFS($A$17:$A563,$B$8),""),"")</f>
        <v/>
      </c>
    </row>
    <row r="564" spans="1:17" ht="12.75" customHeight="1" x14ac:dyDescent="0.2">
      <c r="A564">
        <f>IFERROR(IF(COUNTIF($C$17:C564,C564)&lt;=('BOBOT PEK'!V57-'BOBOT PEK'!U57+1),'BOBOT PEK'!U57+COUNTIF($C$17:C564,C564)-1,0),0)</f>
        <v>14</v>
      </c>
      <c r="B564" t="str">
        <f>IFERROR(TEXT(INDEX('KALENDER MINGGU'!$B$6:$B$21,$A564),"dd/mm")&amp;" - "&amp;TEXT(INDEX('KALENDER MINGGU'!$C$6:$C$21,$A564),"dd/mm"),"")</f>
        <v>22/10 - 28/10</v>
      </c>
      <c r="C564" t="s">
        <v>455</v>
      </c>
      <c r="D564" t="str">
        <f>'BOBOT PEK'!C57</f>
        <v>Boom gate 6m</v>
      </c>
      <c r="E564" s="241">
        <f>'BOBOT PEK'!J57</f>
        <v>0.76751238889204765</v>
      </c>
      <c r="F564">
        <f>100/('BOBOT PEK'!V57-'BOBOT PEK'!U57+1)</f>
        <v>50</v>
      </c>
      <c r="G564">
        <f t="shared" si="16"/>
        <v>0.38375619444602382</v>
      </c>
      <c r="H564">
        <f>MIN(100,($A564-'BOBOT PEK'!U57+1)/('BOBOT PEK'!V57-'BOBOT PEK'!U57+1)*100)</f>
        <v>100</v>
      </c>
      <c r="I564">
        <f>IFERROR(SUM(INDEX(TS!$M:$AB,31,1):INDEX(TS!$M:$AB,31,$A564))/TS!$L$21*100,0)</f>
        <v>556.87389801468316</v>
      </c>
      <c r="J564">
        <f t="shared" si="17"/>
        <v>0</v>
      </c>
      <c r="O564" t="str">
        <f>IF(I564&gt;=99.9,"COMPLETED",IF('BOBOT PEK'!U57&gt;$J$7,"NOT STARTED",IF('BOBOT PEK'!V57&lt;$J$7,"CRITICAL",IF(I564+1&lt;H564,"DELAYED","ON SCHEDULE"))))</f>
        <v>COMPLETED</v>
      </c>
      <c r="Q564" t="str">
        <f>IFERROR(IF(AND($A564=$B$8,'BOBOT PEK'!U57&lt;=$B$8,$B$8&lt;='BOBOT PEK'!V57),COUNTIFS($A$17:$A564,$B$8),""),"")</f>
        <v/>
      </c>
    </row>
    <row r="565" spans="1:17" ht="12.75" customHeight="1" x14ac:dyDescent="0.2">
      <c r="A565">
        <f>IFERROR(IF(COUNTIF($C$17:C565,C565)&lt;=('BOBOT PEK'!V58-'BOBOT PEK'!U58+1),'BOBOT PEK'!U58+COUNTIF($C$17:C565,C565)-1,0),0)</f>
        <v>14</v>
      </c>
      <c r="B565" t="str">
        <f>IFERROR(TEXT(INDEX('KALENDER MINGGU'!$B$6:$B$21,$A565),"dd/mm")&amp;" - "&amp;TEXT(INDEX('KALENDER MINGGU'!$C$6:$C$21,$A565),"dd/mm"),"")</f>
        <v>22/10 - 28/10</v>
      </c>
      <c r="C565" t="s">
        <v>456</v>
      </c>
      <c r="D565" t="str">
        <f>'BOBOT PEK'!C58</f>
        <v xml:space="preserve">instalasi listrik </v>
      </c>
      <c r="E565" s="241">
        <f>'BOBOT PEK'!J58</f>
        <v>6.3959365741003971E-2</v>
      </c>
      <c r="F565">
        <f>100/('BOBOT PEK'!V58-'BOBOT PEK'!U58+1)</f>
        <v>50</v>
      </c>
      <c r="G565">
        <f t="shared" si="16"/>
        <v>3.1979682870501985E-2</v>
      </c>
      <c r="H565">
        <f>MIN(100,($A565-'BOBOT PEK'!U58+1)/('BOBOT PEK'!V58-'BOBOT PEK'!U58+1)*100)</f>
        <v>100</v>
      </c>
      <c r="I565">
        <f>IFERROR(SUM(INDEX(TS!$M:$AB,31,1):INDEX(TS!$M:$AB,31,$A565))/TS!$L$21*100,0)</f>
        <v>556.87389801468316</v>
      </c>
      <c r="J565">
        <f t="shared" si="17"/>
        <v>0</v>
      </c>
      <c r="O565" t="str">
        <f>IF(I565&gt;=99.9,"COMPLETED",IF('BOBOT PEK'!U58&gt;$J$7,"NOT STARTED",IF('BOBOT PEK'!V58&lt;$J$7,"CRITICAL",IF(I565+1&lt;H565,"DELAYED","ON SCHEDULE"))))</f>
        <v>COMPLETED</v>
      </c>
      <c r="Q565" t="str">
        <f>IFERROR(IF(AND($A565=$B$8,'BOBOT PEK'!U58&lt;=$B$8,$B$8&lt;='BOBOT PEK'!V58),COUNTIFS($A$17:$A565,$B$8),""),"")</f>
        <v/>
      </c>
    </row>
    <row r="566" spans="1:17" ht="12.75" customHeight="1" x14ac:dyDescent="0.2">
      <c r="A566">
        <f>IFERROR(IF(COUNTIF($C$17:C566,C566)&lt;=('BOBOT PEK'!V77-'BOBOT PEK'!U77+1),'BOBOT PEK'!U77+COUNTIF($C$17:C566,C566)-1,0),0)</f>
        <v>14</v>
      </c>
      <c r="B566" t="str">
        <f>IFERROR(TEXT(INDEX('KALENDER MINGGU'!$B$6:$B$21,$A566),"dd/mm")&amp;" - "&amp;TEXT(INDEX('KALENDER MINGGU'!$C$6:$C$21,$A566),"dd/mm"),"")</f>
        <v>22/10 - 28/10</v>
      </c>
      <c r="C566" t="s">
        <v>464</v>
      </c>
      <c r="D566" t="str">
        <f>'BOBOT PEK'!C77</f>
        <v xml:space="preserve">Pengupasan aspal existing </v>
      </c>
      <c r="E566" s="241">
        <f>'BOBOT PEK'!J77</f>
        <v>3.3576108639397444</v>
      </c>
      <c r="F566">
        <f>100/('BOBOT PEK'!V77-'BOBOT PEK'!U77+1)</f>
        <v>6.25</v>
      </c>
      <c r="G566">
        <f t="shared" si="16"/>
        <v>0.20985067899623402</v>
      </c>
      <c r="H566">
        <f>MIN(100,($A566-'BOBOT PEK'!U77+1)/('BOBOT PEK'!V77-'BOBOT PEK'!U77+1)*100)</f>
        <v>87.5</v>
      </c>
      <c r="I566">
        <f>IFERROR(SUM(INDEX(TS!$M:$AB,37,1):INDEX(TS!$M:$AB,37,$A566))/TS!$L$27*100,0)</f>
        <v>3.4799918820120639</v>
      </c>
      <c r="J566">
        <f t="shared" si="17"/>
        <v>96.520008117987942</v>
      </c>
      <c r="O566" t="str">
        <f ca="1">IF(I566&gt;=99.9,"COMPLETED",IF('BOBOT PEK'!U77&gt;$J$7,"NOT STARTED",IF('BOBOT PEK'!V77&lt;$J$7,"CRITICAL",IF(I566+1&lt;H566,"DELAYED","ON SCHEDULE"))))</f>
        <v>DELAYED</v>
      </c>
      <c r="Q566" t="str">
        <f>IFERROR(IF(AND($A566=$B$8,'BOBOT PEK'!U77&lt;=$B$8,$B$8&lt;='BOBOT PEK'!V77),COUNTIFS($A$17:$A566,$B$8),""),"")</f>
        <v/>
      </c>
    </row>
    <row r="567" spans="1:17" ht="12.75" customHeight="1" x14ac:dyDescent="0.2">
      <c r="A567">
        <f>IFERROR(IF(COUNTIF($C$17:C567,C567)&lt;=('BOBOT PEK'!V78-'BOBOT PEK'!U78+1),'BOBOT PEK'!U78+COUNTIF($C$17:C567,C567)-1,0),0)</f>
        <v>14</v>
      </c>
      <c r="B567" t="str">
        <f>IFERROR(TEXT(INDEX('KALENDER MINGGU'!$B$6:$B$21,$A567),"dd/mm")&amp;" - "&amp;TEXT(INDEX('KALENDER MINGGU'!$C$6:$C$21,$A567),"dd/mm"),"")</f>
        <v>22/10 - 28/10</v>
      </c>
      <c r="C567" t="s">
        <v>465</v>
      </c>
      <c r="D567" t="str">
        <f>'BOBOT PEK'!C78</f>
        <v xml:space="preserve">Pengupasan beton existing </v>
      </c>
      <c r="E567" s="241">
        <f>'BOBOT PEK'!J78</f>
        <v>1.9430855312117006</v>
      </c>
      <c r="F567">
        <f>100/('BOBOT PEK'!V78-'BOBOT PEK'!U78+1)</f>
        <v>6.25</v>
      </c>
      <c r="G567">
        <f t="shared" si="16"/>
        <v>0.12144284570073129</v>
      </c>
      <c r="H567">
        <f>MIN(100,($A567-'BOBOT PEK'!U78+1)/('BOBOT PEK'!V78-'BOBOT PEK'!U78+1)*100)</f>
        <v>87.5</v>
      </c>
      <c r="I567">
        <f>IFERROR(SUM(INDEX(TS!$M:$AB,37,1):INDEX(TS!$M:$AB,37,$A567))/TS!$L$27*100,0)</f>
        <v>3.4799918820120639</v>
      </c>
      <c r="J567">
        <f t="shared" si="17"/>
        <v>96.520008117987942</v>
      </c>
      <c r="O567" t="str">
        <f ca="1">IF(I567&gt;=99.9,"COMPLETED",IF('BOBOT PEK'!U78&gt;$J$7,"NOT STARTED",IF('BOBOT PEK'!V78&lt;$J$7,"CRITICAL",IF(I567+1&lt;H567,"DELAYED","ON SCHEDULE"))))</f>
        <v>DELAYED</v>
      </c>
      <c r="Q567" t="str">
        <f>IFERROR(IF(AND($A567=$B$8,'BOBOT PEK'!U78&lt;=$B$8,$B$8&lt;='BOBOT PEK'!V78),COUNTIFS($A$17:$A567,$B$8),""),"")</f>
        <v/>
      </c>
    </row>
    <row r="568" spans="1:17" ht="12.75" customHeight="1" x14ac:dyDescent="0.2">
      <c r="A568">
        <f>IFERROR(IF(COUNTIF($C$17:C568,C568)&lt;=('BOBOT PEK'!V79-'BOBOT PEK'!U79+1),'BOBOT PEK'!U79+COUNTIF($C$17:C568,C568)-1,0),0)</f>
        <v>14</v>
      </c>
      <c r="B568" t="str">
        <f>IFERROR(TEXT(INDEX('KALENDER MINGGU'!$B$6:$B$21,$A568),"dd/mm")&amp;" - "&amp;TEXT(INDEX('KALENDER MINGGU'!$C$6:$C$21,$A568),"dd/mm"),"")</f>
        <v>22/10 - 28/10</v>
      </c>
      <c r="C568" t="s">
        <v>466</v>
      </c>
      <c r="D568" t="str">
        <f>'BOBOT PEK'!C79</f>
        <v>Pembuangan puing sewa truk</v>
      </c>
      <c r="E568" s="241">
        <f>'BOBOT PEK'!J79</f>
        <v>3.3766707549305637</v>
      </c>
      <c r="F568">
        <f>100/('BOBOT PEK'!V79-'BOBOT PEK'!U79+1)</f>
        <v>6.25</v>
      </c>
      <c r="G568">
        <f t="shared" si="16"/>
        <v>0.21104192218316023</v>
      </c>
      <c r="H568">
        <f>MIN(100,($A568-'BOBOT PEK'!U79+1)/('BOBOT PEK'!V79-'BOBOT PEK'!U79+1)*100)</f>
        <v>87.5</v>
      </c>
      <c r="I568">
        <f>IFERROR(SUM(INDEX(TS!$M:$AB,37,1):INDEX(TS!$M:$AB,37,$A568))/TS!$L$27*100,0)</f>
        <v>3.4799918820120639</v>
      </c>
      <c r="J568">
        <f t="shared" si="17"/>
        <v>96.520008117987942</v>
      </c>
      <c r="O568" t="str">
        <f ca="1">IF(I568&gt;=99.9,"COMPLETED",IF('BOBOT PEK'!U79&gt;$J$7,"NOT STARTED",IF('BOBOT PEK'!V79&lt;$J$7,"CRITICAL",IF(I568+1&lt;H568,"DELAYED","ON SCHEDULE"))))</f>
        <v>DELAYED</v>
      </c>
      <c r="Q568" t="str">
        <f>IFERROR(IF(AND($A568=$B$8,'BOBOT PEK'!U79&lt;=$B$8,$B$8&lt;='BOBOT PEK'!V79),COUNTIFS($A$17:$A568,$B$8),""),"")</f>
        <v/>
      </c>
    </row>
    <row r="569" spans="1:17" ht="12.75" customHeight="1" x14ac:dyDescent="0.2">
      <c r="A569">
        <f>IFERROR(IF(COUNTIF($C$17:C569,C569)&lt;=('BOBOT PEK'!V80-'BOBOT PEK'!U80+1),'BOBOT PEK'!U80+COUNTIF($C$17:C569,C569)-1,0),0)</f>
        <v>14</v>
      </c>
      <c r="B569" t="str">
        <f>IFERROR(TEXT(INDEX('KALENDER MINGGU'!$B$6:$B$21,$A569),"dd/mm")&amp;" - "&amp;TEXT(INDEX('KALENDER MINGGU'!$C$6:$C$21,$A569),"dd/mm"),"")</f>
        <v>22/10 - 28/10</v>
      </c>
      <c r="C569" t="s">
        <v>467</v>
      </c>
      <c r="D569" t="str">
        <f>'BOBOT PEK'!C80</f>
        <v>Besi 13 ulir , kotak 30x30cm</v>
      </c>
      <c r="E569" s="241">
        <f>'BOBOT PEK'!J80</f>
        <v>15.224105695407308</v>
      </c>
      <c r="F569">
        <f>100/('BOBOT PEK'!V80-'BOBOT PEK'!U80+1)</f>
        <v>6.25</v>
      </c>
      <c r="G569">
        <f t="shared" si="16"/>
        <v>0.95150660596295678</v>
      </c>
      <c r="H569">
        <f>MIN(100,($A569-'BOBOT PEK'!U80+1)/('BOBOT PEK'!V80-'BOBOT PEK'!U80+1)*100)</f>
        <v>87.5</v>
      </c>
      <c r="I569">
        <f>IFERROR(SUM(INDEX(TS!$M:$AB,37,1):INDEX(TS!$M:$AB,37,$A569))/TS!$L$27*100,0)</f>
        <v>3.4799918820120639</v>
      </c>
      <c r="J569">
        <f t="shared" si="17"/>
        <v>96.520008117987942</v>
      </c>
      <c r="O569" t="str">
        <f ca="1">IF(I569&gt;=99.9,"COMPLETED",IF('BOBOT PEK'!U80&gt;$J$7,"NOT STARTED",IF('BOBOT PEK'!V80&lt;$J$7,"CRITICAL",IF(I569+1&lt;H569,"DELAYED","ON SCHEDULE"))))</f>
        <v>DELAYED</v>
      </c>
      <c r="Q569" t="str">
        <f>IFERROR(IF(AND($A569=$B$8,'BOBOT PEK'!U80&lt;=$B$8,$B$8&lt;='BOBOT PEK'!V80),COUNTIFS($A$17:$A569,$B$8),""),"")</f>
        <v/>
      </c>
    </row>
    <row r="570" spans="1:17" ht="12.75" customHeight="1" x14ac:dyDescent="0.2">
      <c r="A570">
        <f>IFERROR(IF(COUNTIF($C$17:C570,C570)&lt;=('BOBOT PEK'!V81-'BOBOT PEK'!U81+1),'BOBOT PEK'!U81+COUNTIF($C$17:C570,C570)-1,0),0)</f>
        <v>14</v>
      </c>
      <c r="B570" t="str">
        <f>IFERROR(TEXT(INDEX('KALENDER MINGGU'!$B$6:$B$21,$A570),"dd/mm")&amp;" - "&amp;TEXT(INDEX('KALENDER MINGGU'!$C$6:$C$21,$A570),"dd/mm"),"")</f>
        <v>22/10 - 28/10</v>
      </c>
      <c r="C570" t="s">
        <v>468</v>
      </c>
      <c r="D570" t="str">
        <f>'BOBOT PEK'!C81</f>
        <v>Cor ready mix K-350 (tanpa trowel dan line cutting)</v>
      </c>
      <c r="E570" s="241">
        <f>'BOBOT PEK'!J81</f>
        <v>18.885237150790225</v>
      </c>
      <c r="F570">
        <f>100/('BOBOT PEK'!V81-'BOBOT PEK'!U81+1)</f>
        <v>6.25</v>
      </c>
      <c r="G570">
        <f t="shared" si="16"/>
        <v>1.1803273219243891</v>
      </c>
      <c r="H570">
        <f>MIN(100,($A570-'BOBOT PEK'!U81+1)/('BOBOT PEK'!V81-'BOBOT PEK'!U81+1)*100)</f>
        <v>87.5</v>
      </c>
      <c r="I570">
        <f>IFERROR(SUM(INDEX(TS!$M:$AB,37,1):INDEX(TS!$M:$AB,37,$A570))/TS!$L$27*100,0)</f>
        <v>3.4799918820120639</v>
      </c>
      <c r="J570">
        <f t="shared" si="17"/>
        <v>96.520008117987942</v>
      </c>
      <c r="O570" t="str">
        <f ca="1">IF(I570&gt;=99.9,"COMPLETED",IF('BOBOT PEK'!U81&gt;$J$7,"NOT STARTED",IF('BOBOT PEK'!V81&lt;$J$7,"CRITICAL",IF(I570+1&lt;H570,"DELAYED","ON SCHEDULE"))))</f>
        <v>DELAYED</v>
      </c>
      <c r="Q570" t="str">
        <f>IFERROR(IF(AND($A570=$B$8,'BOBOT PEK'!U81&lt;=$B$8,$B$8&lt;='BOBOT PEK'!V81),COUNTIFS($A$17:$A570,$B$8),""),"")</f>
        <v/>
      </c>
    </row>
    <row r="571" spans="1:17" ht="12.75" customHeight="1" x14ac:dyDescent="0.2">
      <c r="A571">
        <f>IFERROR(IF(COUNTIF($C$17:C571,C571)&lt;=('BOBOT PEK'!V85-'BOBOT PEK'!U85+1),'BOBOT PEK'!U85+COUNTIF($C$17:C571,C571)-1,0),0)</f>
        <v>14</v>
      </c>
      <c r="B571" t="str">
        <f>IFERROR(TEXT(INDEX('KALENDER MINGGU'!$B$6:$B$21,$A571),"dd/mm")&amp;" - "&amp;TEXT(INDEX('KALENDER MINGGU'!$C$6:$C$21,$A571),"dd/mm"),"")</f>
        <v>22/10 - 28/10</v>
      </c>
      <c r="C571" t="s">
        <v>469</v>
      </c>
      <c r="D571" t="str">
        <f>'BOBOT PEK'!C85</f>
        <v>Pekerjaan refinishing dinding pagar timur &amp; utara</v>
      </c>
      <c r="E571" s="241">
        <f>'BOBOT PEK'!J85</f>
        <v>1.0803504386044462</v>
      </c>
      <c r="F571">
        <f>100/('BOBOT PEK'!V85-'BOBOT PEK'!U85+1)</f>
        <v>10</v>
      </c>
      <c r="G571">
        <f t="shared" si="16"/>
        <v>0.10803504386044463</v>
      </c>
      <c r="H571">
        <f>MIN(100,($A571-'BOBOT PEK'!U85+1)/('BOBOT PEK'!V85-'BOBOT PEK'!U85+1)*100)</f>
        <v>100</v>
      </c>
      <c r="I571">
        <f>IFERROR(SUM(INDEX(TS!$M:$AB,39,1):INDEX(TS!$M:$AB,39,$A571))/TS!$L$29*100,0)</f>
        <v>26.078611366101978</v>
      </c>
      <c r="J571">
        <f t="shared" si="17"/>
        <v>73.921388633898019</v>
      </c>
      <c r="O571" t="str">
        <f ca="1">IF(I571&gt;=99.9,"COMPLETED",IF('BOBOT PEK'!U85&gt;$J$7,"NOT STARTED",IF('BOBOT PEK'!V85&lt;$J$7,"CRITICAL",IF(I571+1&lt;H571,"DELAYED","ON SCHEDULE"))))</f>
        <v>DELAYED</v>
      </c>
      <c r="Q571" t="str">
        <f>IFERROR(IF(AND($A571=$B$8,'BOBOT PEK'!U85&lt;=$B$8,$B$8&lt;='BOBOT PEK'!V85),COUNTIFS($A$17:$A571,$B$8),""),"")</f>
        <v/>
      </c>
    </row>
    <row r="572" spans="1:17" ht="12.75" customHeight="1" x14ac:dyDescent="0.2">
      <c r="A572">
        <f>IFERROR(IF(COUNTIF($C$17:C572,C572)&lt;=('BOBOT PEK'!V86-'BOBOT PEK'!U86+1),'BOBOT PEK'!U86+COUNTIF($C$17:C572,C572)-1,0),0)</f>
        <v>14</v>
      </c>
      <c r="B572" t="str">
        <f>IFERROR(TEXT(INDEX('KALENDER MINGGU'!$B$6:$B$21,$A572),"dd/mm")&amp;" - "&amp;TEXT(INDEX('KALENDER MINGGU'!$C$6:$C$21,$A572),"dd/mm"),"")</f>
        <v>22/10 - 28/10</v>
      </c>
      <c r="C572" t="s">
        <v>470</v>
      </c>
      <c r="D572" t="str">
        <f>'BOBOT PEK'!C86</f>
        <v>Pekerjaan refinishing dinding barat</v>
      </c>
      <c r="E572" s="241">
        <f>'BOBOT PEK'!J86</f>
        <v>0.75906975261423504</v>
      </c>
      <c r="F572">
        <f>100/('BOBOT PEK'!V86-'BOBOT PEK'!U86+1)</f>
        <v>10</v>
      </c>
      <c r="G572">
        <f t="shared" si="16"/>
        <v>7.5906975261423509E-2</v>
      </c>
      <c r="H572">
        <f>MIN(100,($A572-'BOBOT PEK'!U86+1)/('BOBOT PEK'!V86-'BOBOT PEK'!U86+1)*100)</f>
        <v>100</v>
      </c>
      <c r="I572">
        <f>IFERROR(SUM(INDEX(TS!$M:$AB,39,1):INDEX(TS!$M:$AB,39,$A572))/TS!$L$29*100,0)</f>
        <v>26.078611366101978</v>
      </c>
      <c r="J572">
        <f t="shared" si="17"/>
        <v>73.921388633898019</v>
      </c>
      <c r="O572" t="str">
        <f ca="1">IF(I572&gt;=99.9,"COMPLETED",IF('BOBOT PEK'!U86&gt;$J$7,"NOT STARTED",IF('BOBOT PEK'!V86&lt;$J$7,"CRITICAL",IF(I572+1&lt;H572,"DELAYED","ON SCHEDULE"))))</f>
        <v>DELAYED</v>
      </c>
      <c r="Q572" t="str">
        <f>IFERROR(IF(AND($A572=$B$8,'BOBOT PEK'!U86&lt;=$B$8,$B$8&lt;='BOBOT PEK'!V86),COUNTIFS($A$17:$A572,$B$8),""),"")</f>
        <v/>
      </c>
    </row>
    <row r="573" spans="1:17" ht="12.75" customHeight="1" x14ac:dyDescent="0.2">
      <c r="A573">
        <f>IFERROR(IF(COUNTIF($C$17:C573,C573)&lt;=('BOBOT PEK'!V118-'BOBOT PEK'!U118+1),'BOBOT PEK'!U118+COUNTIF($C$17:C573,C573)-1,0),0)</f>
        <v>0</v>
      </c>
      <c r="B573" t="str">
        <f>IFERROR(TEXT(INDEX('KALENDER MINGGU'!$B$6:$B$21,$A573),"dd/mm")&amp;" - "&amp;TEXT(INDEX('KALENDER MINGGU'!$C$6:$C$21,$A573),"dd/mm"),"")</f>
        <v/>
      </c>
      <c r="C573" t="s">
        <v>491</v>
      </c>
      <c r="D573" t="str">
        <f>'BOBOT PEK'!C118</f>
        <v>Instalasi penerangan lampu PJU</v>
      </c>
      <c r="E573" s="241">
        <f>'BOBOT PEK'!J118</f>
        <v>0.60172971289136523</v>
      </c>
      <c r="F573">
        <f>100/('BOBOT PEK'!V118-'BOBOT PEK'!U118+1)</f>
        <v>33.333333333333336</v>
      </c>
      <c r="G573">
        <f t="shared" si="16"/>
        <v>0.20057657096378842</v>
      </c>
      <c r="H573">
        <f>MIN(100,($A573-'BOBOT PEK'!U118+1)/('BOBOT PEK'!V118-'BOBOT PEK'!U118+1)*100)</f>
        <v>-200</v>
      </c>
      <c r="I573">
        <f>IFERROR(SUM(INDEX(TS!$M:$AB,45,1):INDEX(TS!$M:$AB,45,$A573))/TS!$L$35*100,0)</f>
        <v>25.83406884377758</v>
      </c>
      <c r="J573">
        <f t="shared" si="17"/>
        <v>74.165931156222427</v>
      </c>
      <c r="O573" t="str">
        <f ca="1">IF(I573&gt;=99.9,"COMPLETED",IF('BOBOT PEK'!U118&gt;$J$7,"NOT STARTED",IF('BOBOT PEK'!V118&lt;$J$7,"CRITICAL",IF(I573+1&lt;H573,"DELAYED","ON SCHEDULE"))))</f>
        <v>CRITICAL</v>
      </c>
      <c r="Q573" t="str">
        <f>IFERROR(IF(AND($A573=$B$8,'BOBOT PEK'!U118&lt;=$B$8,$B$8&lt;='BOBOT PEK'!V118),COUNTIFS($A$17:$A573,$B$8),""),"")</f>
        <v/>
      </c>
    </row>
    <row r="574" spans="1:17" ht="12.75" customHeight="1" x14ac:dyDescent="0.2">
      <c r="A574">
        <f>IFERROR(IF(COUNTIF($C$17:C574,C574)&lt;=('BOBOT PEK'!V119-'BOBOT PEK'!U119+1),'BOBOT PEK'!U119+COUNTIF($C$17:C574,C574)-1,0),0)</f>
        <v>0</v>
      </c>
      <c r="B574" t="str">
        <f>IFERROR(TEXT(INDEX('KALENDER MINGGU'!$B$6:$B$21,$A574),"dd/mm")&amp;" - "&amp;TEXT(INDEX('KALENDER MINGGU'!$C$6:$C$21,$A574),"dd/mm"),"")</f>
        <v/>
      </c>
      <c r="C574" t="s">
        <v>492</v>
      </c>
      <c r="D574" t="str">
        <f>'BOBOT PEK'!C119</f>
        <v>Pasang lampu PJU</v>
      </c>
      <c r="E574" s="241">
        <f>'BOBOT PEK'!J119</f>
        <v>0.51935004981695221</v>
      </c>
      <c r="F574">
        <f>100/('BOBOT PEK'!V119-'BOBOT PEK'!U119+1)</f>
        <v>33.333333333333336</v>
      </c>
      <c r="G574">
        <f t="shared" si="16"/>
        <v>0.17311668327231741</v>
      </c>
      <c r="H574">
        <f>MIN(100,($A574-'BOBOT PEK'!U119+1)/('BOBOT PEK'!V119-'BOBOT PEK'!U119+1)*100)</f>
        <v>-200</v>
      </c>
      <c r="I574">
        <f>IFERROR(SUM(INDEX(TS!$M:$AB,45,1):INDEX(TS!$M:$AB,45,$A574))/TS!$L$35*100,0)</f>
        <v>25.83406884377758</v>
      </c>
      <c r="J574">
        <f t="shared" si="17"/>
        <v>74.165931156222427</v>
      </c>
      <c r="O574" t="str">
        <f ca="1">IF(I574&gt;=99.9,"COMPLETED",IF('BOBOT PEK'!U119&gt;$J$7,"NOT STARTED",IF('BOBOT PEK'!V119&lt;$J$7,"CRITICAL",IF(I574+1&lt;H574,"DELAYED","ON SCHEDULE"))))</f>
        <v>CRITICAL</v>
      </c>
      <c r="Q574" t="str">
        <f>IFERROR(IF(AND($A574=$B$8,'BOBOT PEK'!U119&lt;=$B$8,$B$8&lt;='BOBOT PEK'!V119),COUNTIFS($A$17:$A574,$B$8),""),"")</f>
        <v/>
      </c>
    </row>
    <row r="575" spans="1:17" ht="12.75" customHeight="1" x14ac:dyDescent="0.2">
      <c r="A575">
        <f>IFERROR(IF(COUNTIF($C$17:C575,C575)&lt;=('BOBOT PEK'!V120-'BOBOT PEK'!U120+1),'BOBOT PEK'!U120+COUNTIF($C$17:C575,C575)-1,0),0)</f>
        <v>0</v>
      </c>
      <c r="B575" t="str">
        <f>IFERROR(TEXT(INDEX('KALENDER MINGGU'!$B$6:$B$21,$A575),"dd/mm")&amp;" - "&amp;TEXT(INDEX('KALENDER MINGGU'!$C$6:$C$21,$A575),"dd/mm"),"")</f>
        <v/>
      </c>
      <c r="C575" t="s">
        <v>493</v>
      </c>
      <c r="D575" t="str">
        <f>'BOBOT PEK'!C120</f>
        <v>Terminasi kabel ke panel dan test merger</v>
      </c>
      <c r="E575" s="241">
        <f>'BOBOT PEK'!J120</f>
        <v>3.8375619444602382E-2</v>
      </c>
      <c r="F575">
        <f>100/('BOBOT PEK'!V120-'BOBOT PEK'!U120+1)</f>
        <v>33.333333333333336</v>
      </c>
      <c r="G575">
        <f t="shared" si="16"/>
        <v>1.2791873148200796E-2</v>
      </c>
      <c r="H575">
        <f>MIN(100,($A575-'BOBOT PEK'!U120+1)/('BOBOT PEK'!V120-'BOBOT PEK'!U120+1)*100)</f>
        <v>-200</v>
      </c>
      <c r="I575">
        <f>IFERROR(SUM(INDEX(TS!$M:$AB,45,1):INDEX(TS!$M:$AB,45,$A575))/TS!$L$35*100,0)</f>
        <v>25.83406884377758</v>
      </c>
      <c r="J575">
        <f t="shared" si="17"/>
        <v>74.165931156222427</v>
      </c>
      <c r="O575" t="str">
        <f ca="1">IF(I575&gt;=99.9,"COMPLETED",IF('BOBOT PEK'!U120&gt;$J$7,"NOT STARTED",IF('BOBOT PEK'!V120&lt;$J$7,"CRITICAL",IF(I575+1&lt;H575,"DELAYED","ON SCHEDULE"))))</f>
        <v>CRITICAL</v>
      </c>
      <c r="Q575" t="str">
        <f>IFERROR(IF(AND($A575=$B$8,'BOBOT PEK'!U120&lt;=$B$8,$B$8&lt;='BOBOT PEK'!V120),COUNTIFS($A$17:$A575,$B$8),""),"")</f>
        <v/>
      </c>
    </row>
    <row r="576" spans="1:17" ht="12.75" customHeight="1" x14ac:dyDescent="0.2">
      <c r="A576">
        <f>IFERROR(IF(COUNTIF($C$17:C576,C576)&lt;=('BOBOT PEK'!V193-'BOBOT PEK'!U193+1),'BOBOT PEK'!U193+COUNTIF($C$17:C576,C576)-1,0),0)</f>
        <v>14</v>
      </c>
      <c r="B576" t="str">
        <f>IFERROR(TEXT(INDEX('KALENDER MINGGU'!$B$6:$B$21,$A576),"dd/mm")&amp;" - "&amp;TEXT(INDEX('KALENDER MINGGU'!$C$6:$C$21,$A576),"dd/mm"),"")</f>
        <v>22/10 - 28/10</v>
      </c>
      <c r="C576" t="s">
        <v>523</v>
      </c>
      <c r="D576" t="str">
        <f>'BOBOT PEK'!C193</f>
        <v>Pembuatan partisi gudang</v>
      </c>
      <c r="E576" s="241">
        <f>'BOBOT PEK'!J193</f>
        <v>0.34921813694588166</v>
      </c>
      <c r="F576">
        <f>100/('BOBOT PEK'!V193-'BOBOT PEK'!U193+1)</f>
        <v>16.666666666666668</v>
      </c>
      <c r="G576">
        <f t="shared" si="16"/>
        <v>5.8203022824313617E-2</v>
      </c>
      <c r="H576">
        <f>MIN(100,($A576-'BOBOT PEK'!U193+1)/('BOBOT PEK'!V193-'BOBOT PEK'!U193+1)*100)</f>
        <v>100</v>
      </c>
      <c r="I576">
        <f>IFERROR(SUM(INDEX(TS!$M:$AB,58,1):INDEX(TS!$M:$AB,58,$A576))/TS!$L$48*100,0)</f>
        <v>11.179230742884544</v>
      </c>
      <c r="J576">
        <f t="shared" si="17"/>
        <v>88.820769257115458</v>
      </c>
      <c r="O576" t="str">
        <f ca="1">IF(I576&gt;=99.9,"COMPLETED",IF('BOBOT PEK'!U193&gt;$J$7,"NOT STARTED",IF('BOBOT PEK'!V193&lt;$J$7,"CRITICAL",IF(I576+1&lt;H576,"DELAYED","ON SCHEDULE"))))</f>
        <v>DELAYED</v>
      </c>
      <c r="Q576" t="str">
        <f>IFERROR(IF(AND($A576=$B$8,'BOBOT PEK'!U193&lt;=$B$8,$B$8&lt;='BOBOT PEK'!V193),COUNTIFS($A$17:$A576,$B$8),""),"")</f>
        <v/>
      </c>
    </row>
    <row r="577" spans="1:17" ht="12.75" customHeight="1" x14ac:dyDescent="0.2">
      <c r="A577">
        <f>IFERROR(IF(COUNTIF($C$17:C577,C577)&lt;=('BOBOT PEK'!V194-'BOBOT PEK'!U194+1),'BOBOT PEK'!U194+COUNTIF($C$17:C577,C577)-1,0),0)</f>
        <v>14</v>
      </c>
      <c r="B577" t="str">
        <f>IFERROR(TEXT(INDEX('KALENDER MINGGU'!$B$6:$B$21,$A577),"dd/mm")&amp;" - "&amp;TEXT(INDEX('KALENDER MINGGU'!$C$6:$C$21,$A577),"dd/mm"),"")</f>
        <v>22/10 - 28/10</v>
      </c>
      <c r="C577" t="s">
        <v>524</v>
      </c>
      <c r="D577" t="str">
        <f>'BOBOT PEK'!C194</f>
        <v>Pembuatan pintu gudang (kupu tarung)</v>
      </c>
      <c r="E577" s="241">
        <f>'BOBOT PEK'!J194</f>
        <v>7.6751238889204765E-2</v>
      </c>
      <c r="F577">
        <f>100/('BOBOT PEK'!V194-'BOBOT PEK'!U194+1)</f>
        <v>16.666666666666668</v>
      </c>
      <c r="G577">
        <f t="shared" si="16"/>
        <v>1.2791873148200796E-2</v>
      </c>
      <c r="H577">
        <f>MIN(100,($A577-'BOBOT PEK'!U194+1)/('BOBOT PEK'!V194-'BOBOT PEK'!U194+1)*100)</f>
        <v>100</v>
      </c>
      <c r="I577">
        <f>IFERROR(SUM(INDEX(TS!$M:$AB,58,1):INDEX(TS!$M:$AB,58,$A577))/TS!$L$48*100,0)</f>
        <v>11.179230742884544</v>
      </c>
      <c r="J577">
        <f t="shared" si="17"/>
        <v>88.820769257115458</v>
      </c>
      <c r="O577" t="str">
        <f ca="1">IF(I577&gt;=99.9,"COMPLETED",IF('BOBOT PEK'!U194&gt;$J$7,"NOT STARTED",IF('BOBOT PEK'!V194&lt;$J$7,"CRITICAL",IF(I577+1&lt;H577,"DELAYED","ON SCHEDULE"))))</f>
        <v>DELAYED</v>
      </c>
      <c r="Q577" t="str">
        <f>IFERROR(IF(AND($A577=$B$8,'BOBOT PEK'!U194&lt;=$B$8,$B$8&lt;='BOBOT PEK'!V194),COUNTIFS($A$17:$A577,$B$8),""),"")</f>
        <v/>
      </c>
    </row>
    <row r="578" spans="1:17" ht="12.75" customHeight="1" x14ac:dyDescent="0.2">
      <c r="A578">
        <f>IFERROR(IF(COUNTIF($C$17:C578,C578)&lt;=('BOBOT PEK'!V195-'BOBOT PEK'!U195+1),'BOBOT PEK'!U195+COUNTIF($C$17:C578,C578)-1,0),0)</f>
        <v>0</v>
      </c>
      <c r="B578" t="str">
        <f>IFERROR(TEXT(INDEX('KALENDER MINGGU'!$B$6:$B$21,$A578),"dd/mm")&amp;" - "&amp;TEXT(INDEX('KALENDER MINGGU'!$C$6:$C$21,$A578),"dd/mm"),"")</f>
        <v/>
      </c>
      <c r="C578" t="s">
        <v>525</v>
      </c>
      <c r="D578" t="str">
        <f>'BOBOT PEK'!C195</f>
        <v>Pemasangan gypsum 1 sisi</v>
      </c>
      <c r="E578" s="241">
        <f>'BOBOT PEK'!J195</f>
        <v>0.52062923713177223</v>
      </c>
      <c r="F578">
        <f>100/('BOBOT PEK'!V195-'BOBOT PEK'!U195+1)</f>
        <v>33.333333333333336</v>
      </c>
      <c r="G578">
        <f t="shared" si="16"/>
        <v>0.1735430790439241</v>
      </c>
      <c r="H578">
        <f>MIN(100,($A578-'BOBOT PEK'!U195+1)/('BOBOT PEK'!V195-'BOBOT PEK'!U195+1)*100)</f>
        <v>-166.66666666666669</v>
      </c>
      <c r="I578">
        <f>IFERROR(SUM(INDEX(TS!$M:$AB,58,1):INDEX(TS!$M:$AB,58,$A578))/TS!$L$48*100,0)</f>
        <v>11.179230742884544</v>
      </c>
      <c r="J578">
        <f t="shared" si="17"/>
        <v>88.820769257115458</v>
      </c>
      <c r="O578" t="str">
        <f ca="1">IF(I578&gt;=99.9,"COMPLETED",IF('BOBOT PEK'!U195&gt;$J$7,"NOT STARTED",IF('BOBOT PEK'!V195&lt;$J$7,"CRITICAL",IF(I578+1&lt;H578,"DELAYED","ON SCHEDULE"))))</f>
        <v>CRITICAL</v>
      </c>
      <c r="Q578" t="str">
        <f>IFERROR(IF(AND($A578=$B$8,'BOBOT PEK'!U195&lt;=$B$8,$B$8&lt;='BOBOT PEK'!V195),COUNTIFS($A$17:$A578,$B$8),""),"")</f>
        <v/>
      </c>
    </row>
    <row r="579" spans="1:17" ht="12.75" customHeight="1" x14ac:dyDescent="0.2">
      <c r="A579">
        <f>IFERROR(IF(COUNTIF($C$17:C579,C579)&lt;=('BOBOT PEK'!V198-'BOBOT PEK'!U198+1),'BOBOT PEK'!U198+COUNTIF($C$17:C579,C579)-1,0),0)</f>
        <v>14</v>
      </c>
      <c r="B579" t="str">
        <f>IFERROR(TEXT(INDEX('KALENDER MINGGU'!$B$6:$B$21,$A579),"dd/mm")&amp;" - "&amp;TEXT(INDEX('KALENDER MINGGU'!$C$6:$C$21,$A579),"dd/mm"),"")</f>
        <v>22/10 - 28/10</v>
      </c>
      <c r="C579" t="s">
        <v>526</v>
      </c>
      <c r="D579" t="str">
        <f>'BOBOT PEK'!C198</f>
        <v>penggantian lighting</v>
      </c>
      <c r="E579" s="241">
        <f>'BOBOT PEK'!J198</f>
        <v>4.5283230944630805E-2</v>
      </c>
      <c r="F579">
        <f>100/('BOBOT PEK'!V198-'BOBOT PEK'!U198+1)</f>
        <v>16.666666666666668</v>
      </c>
      <c r="G579">
        <f t="shared" si="16"/>
        <v>7.5472051574384681E-3</v>
      </c>
      <c r="H579">
        <f>MIN(100,($A579-'BOBOT PEK'!U198+1)/('BOBOT PEK'!V198-'BOBOT PEK'!U198+1)*100)</f>
        <v>100</v>
      </c>
      <c r="I579">
        <f>IFERROR(SUM(INDEX(TS!$M:$AB,58,1):INDEX(TS!$M:$AB,58,$A579))/TS!$L$48*100,0)</f>
        <v>11.179230742884544</v>
      </c>
      <c r="J579">
        <f t="shared" si="17"/>
        <v>88.820769257115458</v>
      </c>
      <c r="O579" t="str">
        <f ca="1">IF(I579&gt;=99.9,"COMPLETED",IF('BOBOT PEK'!U198&gt;$J$7,"NOT STARTED",IF('BOBOT PEK'!V198&lt;$J$7,"CRITICAL",IF(I579+1&lt;H579,"DELAYED","ON SCHEDULE"))))</f>
        <v>DELAYED</v>
      </c>
      <c r="Q579" t="str">
        <f>IFERROR(IF(AND($A579=$B$8,'BOBOT PEK'!U198&lt;=$B$8,$B$8&lt;='BOBOT PEK'!V198),COUNTIFS($A$17:$A579,$B$8),""),"")</f>
        <v/>
      </c>
    </row>
    <row r="580" spans="1:17" ht="12.75" customHeight="1" x14ac:dyDescent="0.2">
      <c r="A580">
        <f>IFERROR(IF(COUNTIF($C$17:C580,C580)&lt;=('BOBOT PEK'!V199-'BOBOT PEK'!U199+1),'BOBOT PEK'!U199+COUNTIF($C$17:C580,C580)-1,0),0)</f>
        <v>14</v>
      </c>
      <c r="B580" t="str">
        <f>IFERROR(TEXT(INDEX('KALENDER MINGGU'!$B$6:$B$21,$A580),"dd/mm")&amp;" - "&amp;TEXT(INDEX('KALENDER MINGGU'!$C$6:$C$21,$A580),"dd/mm"),"")</f>
        <v>22/10 - 28/10</v>
      </c>
      <c r="C580" t="s">
        <v>527</v>
      </c>
      <c r="D580" t="str">
        <f>'BOBOT PEK'!C199</f>
        <v>penggantian lighting</v>
      </c>
      <c r="E580" s="241">
        <f>'BOBOT PEK'!J199</f>
        <v>0.16373597629697018</v>
      </c>
      <c r="F580">
        <f>100/('BOBOT PEK'!V199-'BOBOT PEK'!U199+1)</f>
        <v>16.666666666666668</v>
      </c>
      <c r="G580">
        <f t="shared" si="16"/>
        <v>2.7289329382828367E-2</v>
      </c>
      <c r="H580">
        <f>MIN(100,($A580-'BOBOT PEK'!U199+1)/('BOBOT PEK'!V199-'BOBOT PEK'!U199+1)*100)</f>
        <v>100</v>
      </c>
      <c r="I580">
        <f>IFERROR(SUM(INDEX(TS!$M:$AB,58,1):INDEX(TS!$M:$AB,58,$A580))/TS!$L$48*100,0)</f>
        <v>11.179230742884544</v>
      </c>
      <c r="J580">
        <f t="shared" si="17"/>
        <v>88.820769257115458</v>
      </c>
      <c r="O580" t="str">
        <f ca="1">IF(I580&gt;=99.9,"COMPLETED",IF('BOBOT PEK'!U199&gt;$J$7,"NOT STARTED",IF('BOBOT PEK'!V199&lt;$J$7,"CRITICAL",IF(I580+1&lt;H580,"DELAYED","ON SCHEDULE"))))</f>
        <v>DELAYED</v>
      </c>
      <c r="Q580" t="str">
        <f>IFERROR(IF(AND($A580=$B$8,'BOBOT PEK'!U199&lt;=$B$8,$B$8&lt;='BOBOT PEK'!V199),COUNTIFS($A$17:$A580,$B$8),""),"")</f>
        <v/>
      </c>
    </row>
    <row r="581" spans="1:17" ht="12.75" customHeight="1" x14ac:dyDescent="0.2">
      <c r="A581">
        <f>IFERROR(IF(COUNTIF($C$17:C581,C581)&lt;=('BOBOT PEK'!V201-'BOBOT PEK'!U201+1),'BOBOT PEK'!U201+COUNTIF($C$17:C581,C581)-1,0),0)</f>
        <v>14</v>
      </c>
      <c r="B581" t="str">
        <f>IFERROR(TEXT(INDEX('KALENDER MINGGU'!$B$6:$B$21,$A581),"dd/mm")&amp;" - "&amp;TEXT(INDEX('KALENDER MINGGU'!$C$6:$C$21,$A581),"dd/mm"),"")</f>
        <v>22/10 - 28/10</v>
      </c>
      <c r="C581" t="s">
        <v>528</v>
      </c>
      <c r="D581" t="str">
        <f>'BOBOT PEK'!C201</f>
        <v>Pengadaan dan pemasangan turbin ventilator 32"</v>
      </c>
      <c r="E581" s="241">
        <f>'BOBOT PEK'!J201</f>
        <v>0.38375619444602382</v>
      </c>
      <c r="F581">
        <f>100/('BOBOT PEK'!V201-'BOBOT PEK'!U201+1)</f>
        <v>16.666666666666668</v>
      </c>
      <c r="G581">
        <f t="shared" si="16"/>
        <v>6.3959365741003985E-2</v>
      </c>
      <c r="H581">
        <f>MIN(100,($A581-'BOBOT PEK'!U201+1)/('BOBOT PEK'!V201-'BOBOT PEK'!U201+1)*100)</f>
        <v>100</v>
      </c>
      <c r="I581">
        <f>IFERROR(SUM(INDEX(TS!$M:$AB,58,1):INDEX(TS!$M:$AB,58,$A581))/TS!$L$48*100,0)</f>
        <v>11.179230742884544</v>
      </c>
      <c r="J581">
        <f t="shared" si="17"/>
        <v>88.820769257115458</v>
      </c>
      <c r="O581" t="str">
        <f ca="1">IF(I581&gt;=99.9,"COMPLETED",IF('BOBOT PEK'!U201&gt;$J$7,"NOT STARTED",IF('BOBOT PEK'!V201&lt;$J$7,"CRITICAL",IF(I581+1&lt;H581,"DELAYED","ON SCHEDULE"))))</f>
        <v>DELAYED</v>
      </c>
      <c r="Q581" t="str">
        <f>IFERROR(IF(AND($A581=$B$8,'BOBOT PEK'!U201&lt;=$B$8,$B$8&lt;='BOBOT PEK'!V201),COUNTIFS($A$17:$A581,$B$8),""),"")</f>
        <v/>
      </c>
    </row>
    <row r="582" spans="1:17" ht="12.75" customHeight="1" x14ac:dyDescent="0.2">
      <c r="A582">
        <f>IFERROR(IF(COUNTIF($C$17:C582,C582)&lt;=('BOBOT PEK'!V202-'BOBOT PEK'!U202+1),'BOBOT PEK'!U202+COUNTIF($C$17:C582,C582)-1,0),0)</f>
        <v>14</v>
      </c>
      <c r="B582" t="str">
        <f>IFERROR(TEXT(INDEX('KALENDER MINGGU'!$B$6:$B$21,$A582),"dd/mm")&amp;" - "&amp;TEXT(INDEX('KALENDER MINGGU'!$C$6:$C$21,$A582),"dd/mm"),"")</f>
        <v>22/10 - 28/10</v>
      </c>
      <c r="C582" t="s">
        <v>529</v>
      </c>
      <c r="D582" t="str">
        <f>'BOBOT PEK'!C202</f>
        <v>Pasang aluminium bubble dibawah atap+plat strip</v>
      </c>
      <c r="E582" s="241">
        <f>'BOBOT PEK'!J202</f>
        <v>4.789277306686377</v>
      </c>
      <c r="F582">
        <f>100/('BOBOT PEK'!V202-'BOBOT PEK'!U202+1)</f>
        <v>16.666666666666668</v>
      </c>
      <c r="G582">
        <f t="shared" si="16"/>
        <v>0.79821288444772953</v>
      </c>
      <c r="H582">
        <f>MIN(100,($A582-'BOBOT PEK'!U202+1)/('BOBOT PEK'!V202-'BOBOT PEK'!U202+1)*100)</f>
        <v>100</v>
      </c>
      <c r="I582">
        <f>IFERROR(SUM(INDEX(TS!$M:$AB,58,1):INDEX(TS!$M:$AB,58,$A582))/TS!$L$48*100,0)</f>
        <v>11.179230742884544</v>
      </c>
      <c r="J582">
        <f t="shared" si="17"/>
        <v>88.820769257115458</v>
      </c>
      <c r="O582" t="str">
        <f ca="1">IF(I582&gt;=99.9,"COMPLETED",IF('BOBOT PEK'!U202&gt;$J$7,"NOT STARTED",IF('BOBOT PEK'!V202&lt;$J$7,"CRITICAL",IF(I582+1&lt;H582,"DELAYED","ON SCHEDULE"))))</f>
        <v>DELAYED</v>
      </c>
      <c r="Q582" t="str">
        <f>IFERROR(IF(AND($A582=$B$8,'BOBOT PEK'!U202&lt;=$B$8,$B$8&lt;='BOBOT PEK'!V202),COUNTIFS($A$17:$A582,$B$8),""),"")</f>
        <v/>
      </c>
    </row>
    <row r="583" spans="1:17" ht="12.75" customHeight="1" x14ac:dyDescent="0.2">
      <c r="A583">
        <f>IFERROR(IF(COUNTIF($C$17:C583,C583)&lt;=('BOBOT PEK'!V203-'BOBOT PEK'!U203+1),'BOBOT PEK'!U203+COUNTIF($C$17:C583,C583)-1,0),0)</f>
        <v>14</v>
      </c>
      <c r="B583" t="str">
        <f>IFERROR(TEXT(INDEX('KALENDER MINGGU'!$B$6:$B$21,$A583),"dd/mm")&amp;" - "&amp;TEXT(INDEX('KALENDER MINGGU'!$C$6:$C$21,$A583),"dd/mm"),"")</f>
        <v>22/10 - 28/10</v>
      </c>
      <c r="C583" t="s">
        <v>530</v>
      </c>
      <c r="D583" t="str">
        <f>'BOBOT PEK'!C203</f>
        <v>Pekerjaan finishing cat dinding dan partisi</v>
      </c>
      <c r="E583" s="241">
        <f>'BOBOT PEK'!J203</f>
        <v>1.0131163533375029</v>
      </c>
      <c r="F583">
        <f>100/('BOBOT PEK'!V203-'BOBOT PEK'!U203+1)</f>
        <v>16.666666666666668</v>
      </c>
      <c r="G583">
        <f t="shared" si="16"/>
        <v>0.1688527255562505</v>
      </c>
      <c r="H583">
        <f>MIN(100,($A583-'BOBOT PEK'!U203+1)/('BOBOT PEK'!V203-'BOBOT PEK'!U203+1)*100)</f>
        <v>100</v>
      </c>
      <c r="I583">
        <f>IFERROR(SUM(INDEX(TS!$M:$AB,58,1):INDEX(TS!$M:$AB,58,$A583))/TS!$L$48*100,0)</f>
        <v>11.179230742884544</v>
      </c>
      <c r="J583">
        <f t="shared" si="17"/>
        <v>88.820769257115458</v>
      </c>
      <c r="O583" t="str">
        <f ca="1">IF(I583&gt;=99.9,"COMPLETED",IF('BOBOT PEK'!U203&gt;$J$7,"NOT STARTED",IF('BOBOT PEK'!V203&lt;$J$7,"CRITICAL",IF(I583+1&lt;H583,"DELAYED","ON SCHEDULE"))))</f>
        <v>DELAYED</v>
      </c>
      <c r="Q583" t="str">
        <f>IFERROR(IF(AND($A583=$B$8,'BOBOT PEK'!U203&lt;=$B$8,$B$8&lt;='BOBOT PEK'!V203),COUNTIFS($A$17:$A583,$B$8),""),"")</f>
        <v/>
      </c>
    </row>
    <row r="584" spans="1:17" ht="23.25" customHeight="1" x14ac:dyDescent="0.2">
      <c r="A584">
        <f>IFERROR(IF(COUNTIF($C$17:C584,C584)&lt;=('BOBOT PEK'!V233-'BOBOT PEK'!U233+1),'BOBOT PEK'!U233+COUNTIF($C$17:C584,C584)-1,0),0)</f>
        <v>0</v>
      </c>
      <c r="B584" t="str">
        <f>IFERROR(TEXT(INDEX('KALENDER MINGGU'!$B$6:$B$21,$A584),"dd/mm")&amp;" - "&amp;TEXT(INDEX('KALENDER MINGGU'!$C$6:$C$21,$A584),"dd/mm"),"")</f>
        <v/>
      </c>
      <c r="C584" t="s">
        <v>546</v>
      </c>
      <c r="D584" s="228" t="str">
        <f>'BOBOT PEK'!C233</f>
        <v>Pasangan dinding hebel
7,5cm fin plester aci</v>
      </c>
      <c r="E584" s="241">
        <f>'BOBOT PEK'!J233</f>
        <v>0.93124836518901777</v>
      </c>
      <c r="F584">
        <f>100/('BOBOT PEK'!V233-'BOBOT PEK'!U233+1)</f>
        <v>33.333333333333336</v>
      </c>
      <c r="G584">
        <f t="shared" si="16"/>
        <v>0.31041612172967264</v>
      </c>
      <c r="H584">
        <f>MIN(100,($A584-'BOBOT PEK'!U233+1)/('BOBOT PEK'!V233-'BOBOT PEK'!U233+1)*100)</f>
        <v>-133.33333333333331</v>
      </c>
      <c r="I584">
        <f>IFERROR(SUM(INDEX(TS!$M:$AB,69,1):INDEX(TS!$M:$AB,69,$A584))/TS!$L$59*100,0)</f>
        <v>2664.4387828523818</v>
      </c>
      <c r="J584">
        <f t="shared" si="17"/>
        <v>0</v>
      </c>
      <c r="O584" t="str">
        <f>IF(I584&gt;=99.9,"COMPLETED",IF('BOBOT PEK'!U233&gt;$J$7,"NOT STARTED",IF('BOBOT PEK'!V233&lt;$J$7,"CRITICAL",IF(I584+1&lt;H584,"DELAYED","ON SCHEDULE"))))</f>
        <v>COMPLETED</v>
      </c>
      <c r="Q584" t="str">
        <f>IFERROR(IF(AND($A584=$B$8,'BOBOT PEK'!U233&lt;=$B$8,$B$8&lt;='BOBOT PEK'!V233),COUNTIFS($A$17:$A584,$B$8),""),"")</f>
        <v/>
      </c>
    </row>
    <row r="585" spans="1:17" ht="23.25" customHeight="1" x14ac:dyDescent="0.2">
      <c r="A585">
        <f>IFERROR(IF(COUNTIF($C$17:C585,C585)&lt;=('BOBOT PEK'!V234-'BOBOT PEK'!U234+1),'BOBOT PEK'!U234+COUNTIF($C$17:C585,C585)-1,0),0)</f>
        <v>0</v>
      </c>
      <c r="B585" t="str">
        <f>IFERROR(TEXT(INDEX('KALENDER MINGGU'!$B$6:$B$21,$A585),"dd/mm")&amp;" - "&amp;TEXT(INDEX('KALENDER MINGGU'!$C$6:$C$21,$A585),"dd/mm"),"")</f>
        <v/>
      </c>
      <c r="C585" t="s">
        <v>547</v>
      </c>
      <c r="D585" s="228" t="str">
        <f>'BOBOT PEK'!C234</f>
        <v>cat exterior
ex catylac exterior</v>
      </c>
      <c r="E585" s="241">
        <f>'BOBOT PEK'!J234</f>
        <v>8.8263924722585471E-2</v>
      </c>
      <c r="F585">
        <f>100/('BOBOT PEK'!V234-'BOBOT PEK'!U234+1)</f>
        <v>50</v>
      </c>
      <c r="G585">
        <f t="shared" si="16"/>
        <v>4.4131962361292736E-2</v>
      </c>
      <c r="H585">
        <f>MIN(100,($A585-'BOBOT PEK'!U234+1)/('BOBOT PEK'!V234-'BOBOT PEK'!U234+1)*100)</f>
        <v>-300</v>
      </c>
      <c r="I585">
        <f>IFERROR(SUM(INDEX(TS!$M:$AB,69,1):INDEX(TS!$M:$AB,69,$A585))/TS!$L$59*100,0)</f>
        <v>2664.4387828523818</v>
      </c>
      <c r="J585">
        <f t="shared" si="17"/>
        <v>0</v>
      </c>
      <c r="O585" t="str">
        <f>IF(I585&gt;=99.9,"COMPLETED",IF('BOBOT PEK'!U234&gt;$J$7,"NOT STARTED",IF('BOBOT PEK'!V234&lt;$J$7,"CRITICAL",IF(I585+1&lt;H585,"DELAYED","ON SCHEDULE"))))</f>
        <v>COMPLETED</v>
      </c>
      <c r="Q585" t="str">
        <f>IFERROR(IF(AND($A585=$B$8,'BOBOT PEK'!U234&lt;=$B$8,$B$8&lt;='BOBOT PEK'!V234),COUNTIFS($A$17:$A585,$B$8),""),"")</f>
        <v/>
      </c>
    </row>
    <row r="586" spans="1:17" ht="23.25" customHeight="1" x14ac:dyDescent="0.2">
      <c r="A586">
        <f>IFERROR(IF(COUNTIF($C$17:C586,C586)&lt;=('BOBOT PEK'!V235-'BOBOT PEK'!U235+1),'BOBOT PEK'!U235+COUNTIF($C$17:C586,C586)-1,0),0)</f>
        <v>0</v>
      </c>
      <c r="B586" t="str">
        <f>IFERROR(TEXT(INDEX('KALENDER MINGGU'!$B$6:$B$21,$A586),"dd/mm")&amp;" - "&amp;TEXT(INDEX('KALENDER MINGGU'!$C$6:$C$21,$A586),"dd/mm"),"")</f>
        <v/>
      </c>
      <c r="C586" t="s">
        <v>548</v>
      </c>
      <c r="D586" s="228" t="str">
        <f>'BOBOT PEK'!C235</f>
        <v>cat interior
ex catylac interior</v>
      </c>
      <c r="E586" s="241">
        <f>'BOBOT PEK'!J235</f>
        <v>8.4426362778125236E-2</v>
      </c>
      <c r="F586">
        <f>100/('BOBOT PEK'!V235-'BOBOT PEK'!U235+1)</f>
        <v>50</v>
      </c>
      <c r="G586">
        <f t="shared" si="16"/>
        <v>4.2213181389062618E-2</v>
      </c>
      <c r="H586">
        <f>MIN(100,($A586-'BOBOT PEK'!U235+1)/('BOBOT PEK'!V235-'BOBOT PEK'!U235+1)*100)</f>
        <v>-300</v>
      </c>
      <c r="I586">
        <f>IFERROR(SUM(INDEX(TS!$M:$AB,69,1):INDEX(TS!$M:$AB,69,$A586))/TS!$L$59*100,0)</f>
        <v>2664.4387828523818</v>
      </c>
      <c r="J586">
        <f t="shared" si="17"/>
        <v>0</v>
      </c>
      <c r="O586" t="str">
        <f>IF(I586&gt;=99.9,"COMPLETED",IF('BOBOT PEK'!U235&gt;$J$7,"NOT STARTED",IF('BOBOT PEK'!V235&lt;$J$7,"CRITICAL",IF(I586+1&lt;H586,"DELAYED","ON SCHEDULE"))))</f>
        <v>COMPLETED</v>
      </c>
      <c r="Q586" t="str">
        <f>IFERROR(IF(AND($A586=$B$8,'BOBOT PEK'!U235&lt;=$B$8,$B$8&lt;='BOBOT PEK'!V235),COUNTIFS($A$17:$A586,$B$8),""),"")</f>
        <v/>
      </c>
    </row>
    <row r="587" spans="1:17" ht="23.25" customHeight="1" x14ac:dyDescent="0.2">
      <c r="A587">
        <f>IFERROR(IF(COUNTIF($C$17:C587,C587)&lt;=('BOBOT PEK'!V236-'BOBOT PEK'!U236+1),'BOBOT PEK'!U236+COUNTIF($C$17:C587,C587)-1,0),0)</f>
        <v>0</v>
      </c>
      <c r="B587" t="str">
        <f>IFERROR(TEXT(INDEX('KALENDER MINGGU'!$B$6:$B$21,$A587),"dd/mm")&amp;" - "&amp;TEXT(INDEX('KALENDER MINGGU'!$C$6:$C$21,$A587),"dd/mm"),"")</f>
        <v/>
      </c>
      <c r="C587" t="s">
        <v>549</v>
      </c>
      <c r="D587" s="228" t="str">
        <f>'BOBOT PEK'!C236</f>
        <v>keramik lantai interior
ex platinum 60x60</v>
      </c>
      <c r="E587" s="241">
        <f>'BOBOT PEK'!J236</f>
        <v>0.31928515377909183</v>
      </c>
      <c r="F587">
        <f>100/('BOBOT PEK'!V236-'BOBOT PEK'!U236+1)</f>
        <v>50</v>
      </c>
      <c r="G587">
        <f t="shared" si="16"/>
        <v>0.15964257688954592</v>
      </c>
      <c r="H587">
        <f>MIN(100,($A587-'BOBOT PEK'!U236+1)/('BOBOT PEK'!V236-'BOBOT PEK'!U236+1)*100)</f>
        <v>-350</v>
      </c>
      <c r="I587">
        <f>IFERROR(SUM(INDEX(TS!$M:$AB,69,1):INDEX(TS!$M:$AB,69,$A587))/TS!$L$59*100,0)</f>
        <v>2664.4387828523818</v>
      </c>
      <c r="J587">
        <f t="shared" si="17"/>
        <v>0</v>
      </c>
      <c r="O587" t="str">
        <f>IF(I587&gt;=99.9,"COMPLETED",IF('BOBOT PEK'!U236&gt;$J$7,"NOT STARTED",IF('BOBOT PEK'!V236&lt;$J$7,"CRITICAL",IF(I587+1&lt;H587,"DELAYED","ON SCHEDULE"))))</f>
        <v>COMPLETED</v>
      </c>
      <c r="Q587" t="str">
        <f>IFERROR(IF(AND($A587=$B$8,'BOBOT PEK'!U236&lt;=$B$8,$B$8&lt;='BOBOT PEK'!V236),COUNTIFS($A$17:$A587,$B$8),""),"")</f>
        <v/>
      </c>
    </row>
    <row r="588" spans="1:17" ht="23.25" customHeight="1" x14ac:dyDescent="0.2">
      <c r="A588">
        <f>IFERROR(IF(COUNTIF($C$17:C588,C588)&lt;=('BOBOT PEK'!V237-'BOBOT PEK'!U237+1),'BOBOT PEK'!U237+COUNTIF($C$17:C588,C588)-1,0),0)</f>
        <v>0</v>
      </c>
      <c r="B588" t="str">
        <f>IFERROR(TEXT(INDEX('KALENDER MINGGU'!$B$6:$B$21,$A588),"dd/mm")&amp;" - "&amp;TEXT(INDEX('KALENDER MINGGU'!$C$6:$C$21,$A588),"dd/mm"),"")</f>
        <v/>
      </c>
      <c r="C588" t="s">
        <v>550</v>
      </c>
      <c r="D588" s="228" t="str">
        <f>'BOBOT PEK'!C237</f>
        <v>keramik lantai teras
ex platinum 60x60</v>
      </c>
      <c r="E588" s="241">
        <f>'BOBOT PEK'!J237</f>
        <v>7.9821288444772959E-2</v>
      </c>
      <c r="F588">
        <f>100/('BOBOT PEK'!V237-'BOBOT PEK'!U237+1)</f>
        <v>50</v>
      </c>
      <c r="G588">
        <f t="shared" si="16"/>
        <v>3.9910644222386479E-2</v>
      </c>
      <c r="H588">
        <f>MIN(100,($A588-'BOBOT PEK'!U237+1)/('BOBOT PEK'!V237-'BOBOT PEK'!U237+1)*100)</f>
        <v>-350</v>
      </c>
      <c r="I588">
        <f>IFERROR(SUM(INDEX(TS!$M:$AB,69,1):INDEX(TS!$M:$AB,69,$A588))/TS!$L$59*100,0)</f>
        <v>2664.4387828523818</v>
      </c>
      <c r="J588">
        <f t="shared" si="17"/>
        <v>0</v>
      </c>
      <c r="O588" t="str">
        <f>IF(I588&gt;=99.9,"COMPLETED",IF('BOBOT PEK'!U237&gt;$J$7,"NOT STARTED",IF('BOBOT PEK'!V237&lt;$J$7,"CRITICAL",IF(I588+1&lt;H588,"DELAYED","ON SCHEDULE"))))</f>
        <v>COMPLETED</v>
      </c>
      <c r="Q588" t="str">
        <f>IFERROR(IF(AND($A588=$B$8,'BOBOT PEK'!U237&lt;=$B$8,$B$8&lt;='BOBOT PEK'!V237),COUNTIFS($A$17:$A588,$B$8),""),"")</f>
        <v/>
      </c>
    </row>
    <row r="589" spans="1:17" ht="23.25" customHeight="1" x14ac:dyDescent="0.2">
      <c r="A589">
        <f>IFERROR(IF(COUNTIF($C$17:C589,C589)&lt;=('BOBOT PEK'!V238-'BOBOT PEK'!U238+1),'BOBOT PEK'!U238+COUNTIF($C$17:C589,C589)-1,0),0)</f>
        <v>0</v>
      </c>
      <c r="B589" t="str">
        <f>IFERROR(TEXT(INDEX('KALENDER MINGGU'!$B$6:$B$21,$A589),"dd/mm")&amp;" - "&amp;TEXT(INDEX('KALENDER MINGGU'!$C$6:$C$21,$A589),"dd/mm"),"")</f>
        <v/>
      </c>
      <c r="C589" t="s">
        <v>551</v>
      </c>
      <c r="D589" s="228" t="str">
        <f>'BOBOT PEK'!C238</f>
        <v>plafon
rangka hollow + gypsum 9mm</v>
      </c>
      <c r="E589" s="241">
        <f>'BOBOT PEK'!J238</f>
        <v>0.4052465413350011</v>
      </c>
      <c r="F589">
        <f>100/('BOBOT PEK'!V238-'BOBOT PEK'!U238+1)</f>
        <v>50</v>
      </c>
      <c r="G589">
        <f t="shared" si="16"/>
        <v>0.20262327066750055</v>
      </c>
      <c r="H589">
        <f>MIN(100,($A589-'BOBOT PEK'!U238+1)/('BOBOT PEK'!V238-'BOBOT PEK'!U238+1)*100)</f>
        <v>-300</v>
      </c>
      <c r="I589">
        <f>IFERROR(SUM(INDEX(TS!$M:$AB,69,1):INDEX(TS!$M:$AB,69,$A589))/TS!$L$59*100,0)</f>
        <v>2664.4387828523818</v>
      </c>
      <c r="J589">
        <f t="shared" si="17"/>
        <v>0</v>
      </c>
      <c r="O589" t="str">
        <f>IF(I589&gt;=99.9,"COMPLETED",IF('BOBOT PEK'!U238&gt;$J$7,"NOT STARTED",IF('BOBOT PEK'!V238&lt;$J$7,"CRITICAL",IF(I589+1&lt;H589,"DELAYED","ON SCHEDULE"))))</f>
        <v>COMPLETED</v>
      </c>
      <c r="Q589" t="str">
        <f>IFERROR(IF(AND($A589=$B$8,'BOBOT PEK'!U238&lt;=$B$8,$B$8&lt;='BOBOT PEK'!V238),COUNTIFS($A$17:$A589,$B$8),""),"")</f>
        <v/>
      </c>
    </row>
    <row r="590" spans="1:17" ht="23.25" customHeight="1" x14ac:dyDescent="0.2">
      <c r="A590">
        <f>IFERROR(IF(COUNTIF($C$17:C590,C590)&lt;=('BOBOT PEK'!V239-'BOBOT PEK'!U239+1),'BOBOT PEK'!U239+COUNTIF($C$17:C590,C590)-1,0),0)</f>
        <v>0</v>
      </c>
      <c r="B590" t="str">
        <f>IFERROR(TEXT(INDEX('KALENDER MINGGU'!$B$6:$B$21,$A590),"dd/mm")&amp;" - "&amp;TEXT(INDEX('KALENDER MINGGU'!$C$6:$C$21,$A590),"dd/mm"),"")</f>
        <v/>
      </c>
      <c r="C590" t="s">
        <v>552</v>
      </c>
      <c r="D590" s="228" t="str">
        <f>'BOBOT PEK'!C239</f>
        <v>kusen aluminium + kaca mati
aluminium 3" putih + kaca bening 8mm</v>
      </c>
      <c r="E590" s="241">
        <f>'BOBOT PEK'!J239</f>
        <v>0.68845861283616672</v>
      </c>
      <c r="F590">
        <f>100/('BOBOT PEK'!V239-'BOBOT PEK'!U239+1)</f>
        <v>50</v>
      </c>
      <c r="G590">
        <f t="shared" si="16"/>
        <v>0.34422930641808336</v>
      </c>
      <c r="H590">
        <f>MIN(100,($A590-'BOBOT PEK'!U239+1)/('BOBOT PEK'!V239-'BOBOT PEK'!U239+1)*100)</f>
        <v>-400</v>
      </c>
      <c r="I590">
        <f>IFERROR(SUM(INDEX(TS!$M:$AB,69,1):INDEX(TS!$M:$AB,69,$A590))/TS!$L$59*100,0)</f>
        <v>2664.4387828523818</v>
      </c>
      <c r="J590">
        <f t="shared" si="17"/>
        <v>0</v>
      </c>
      <c r="O590" t="str">
        <f>IF(I590&gt;=99.9,"COMPLETED",IF('BOBOT PEK'!U239&gt;$J$7,"NOT STARTED",IF('BOBOT PEK'!V239&lt;$J$7,"CRITICAL",IF(I590+1&lt;H590,"DELAYED","ON SCHEDULE"))))</f>
        <v>COMPLETED</v>
      </c>
      <c r="Q590" t="str">
        <f>IFERROR(IF(AND($A590=$B$8,'BOBOT PEK'!U239&lt;=$B$8,$B$8&lt;='BOBOT PEK'!V239),COUNTIFS($A$17:$A590,$B$8),""),"")</f>
        <v/>
      </c>
    </row>
    <row r="591" spans="1:17" ht="23.25" customHeight="1" x14ac:dyDescent="0.2">
      <c r="A591">
        <f>IFERROR(IF(COUNTIF($C$17:C591,C591)&lt;=('BOBOT PEK'!V240-'BOBOT PEK'!U240+1),'BOBOT PEK'!U240+COUNTIF($C$17:C591,C591)-1,0),0)</f>
        <v>0</v>
      </c>
      <c r="B591" t="str">
        <f>IFERROR(TEXT(INDEX('KALENDER MINGGU'!$B$6:$B$21,$A591),"dd/mm")&amp;" - "&amp;TEXT(INDEX('KALENDER MINGGU'!$C$6:$C$21,$A591),"dd/mm"),"")</f>
        <v/>
      </c>
      <c r="C591" t="s">
        <v>553</v>
      </c>
      <c r="D591" s="228" t="str">
        <f>'BOBOT PEK'!C240</f>
        <v>Kusen pintu floor hinge
aluminium 3" putih + kaca bening 8mm</v>
      </c>
      <c r="E591" s="241">
        <f>'BOBOT PEK'!J240</f>
        <v>0.13303548074128826</v>
      </c>
      <c r="F591">
        <f>100/('BOBOT PEK'!V240-'BOBOT PEK'!U240+1)</f>
        <v>50</v>
      </c>
      <c r="G591">
        <f t="shared" si="16"/>
        <v>6.6517740370644132E-2</v>
      </c>
      <c r="H591">
        <f>MIN(100,($A591-'BOBOT PEK'!U240+1)/('BOBOT PEK'!V240-'BOBOT PEK'!U240+1)*100)</f>
        <v>-400</v>
      </c>
      <c r="I591">
        <f>IFERROR(SUM(INDEX(TS!$M:$AB,69,1):INDEX(TS!$M:$AB,69,$A591))/TS!$L$59*100,0)</f>
        <v>2664.4387828523818</v>
      </c>
      <c r="J591">
        <f t="shared" si="17"/>
        <v>0</v>
      </c>
      <c r="O591" t="str">
        <f>IF(I591&gt;=99.9,"COMPLETED",IF('BOBOT PEK'!U240&gt;$J$7,"NOT STARTED",IF('BOBOT PEK'!V240&lt;$J$7,"CRITICAL",IF(I591+1&lt;H591,"DELAYED","ON SCHEDULE"))))</f>
        <v>COMPLETED</v>
      </c>
      <c r="Q591" t="str">
        <f>IFERROR(IF(AND($A591=$B$8,'BOBOT PEK'!U240&lt;=$B$8,$B$8&lt;='BOBOT PEK'!V240),COUNTIFS($A$17:$A591,$B$8),""),"")</f>
        <v/>
      </c>
    </row>
    <row r="592" spans="1:17" ht="23.25" customHeight="1" x14ac:dyDescent="0.2">
      <c r="A592">
        <f>IFERROR(IF(COUNTIF($C$17:C592,C592)&lt;=('BOBOT PEK'!V241-'BOBOT PEK'!U241+1),'BOBOT PEK'!U241+COUNTIF($C$17:C592,C592)-1,0),0)</f>
        <v>0</v>
      </c>
      <c r="B592" t="str">
        <f>IFERROR(TEXT(INDEX('KALENDER MINGGU'!$B$6:$B$21,$A592),"dd/mm")&amp;" - "&amp;TEXT(INDEX('KALENDER MINGGU'!$C$6:$C$21,$A592),"dd/mm"),"")</f>
        <v/>
      </c>
      <c r="C592" t="s">
        <v>554</v>
      </c>
      <c r="D592" s="228" t="str">
        <f>'BOBOT PEK'!C241</f>
        <v>Lighting
LED T8 18w 6500K</v>
      </c>
      <c r="E592" s="241">
        <f>'BOBOT PEK'!J241</f>
        <v>5.9865966333579719E-2</v>
      </c>
      <c r="F592">
        <f>100/('BOBOT PEK'!V241-'BOBOT PEK'!U241+1)</f>
        <v>50</v>
      </c>
      <c r="G592">
        <f t="shared" si="16"/>
        <v>2.993298316678986E-2</v>
      </c>
      <c r="H592">
        <f>MIN(100,($A592-'BOBOT PEK'!U241+1)/('BOBOT PEK'!V241-'BOBOT PEK'!U241+1)*100)</f>
        <v>-400</v>
      </c>
      <c r="I592">
        <f>IFERROR(SUM(INDEX(TS!$M:$AB,69,1):INDEX(TS!$M:$AB,69,$A592))/TS!$L$59*100,0)</f>
        <v>2664.4387828523818</v>
      </c>
      <c r="J592">
        <f t="shared" si="17"/>
        <v>0</v>
      </c>
      <c r="O592" t="str">
        <f>IF(I592&gt;=99.9,"COMPLETED",IF('BOBOT PEK'!U241&gt;$J$7,"NOT STARTED",IF('BOBOT PEK'!V241&lt;$J$7,"CRITICAL",IF(I592+1&lt;H592,"DELAYED","ON SCHEDULE"))))</f>
        <v>COMPLETED</v>
      </c>
      <c r="Q592" t="str">
        <f>IFERROR(IF(AND($A592=$B$8,'BOBOT PEK'!U241&lt;=$B$8,$B$8&lt;='BOBOT PEK'!V241),COUNTIFS($A$17:$A592,$B$8),""),"")</f>
        <v/>
      </c>
    </row>
    <row r="593" spans="1:17" ht="23.25" customHeight="1" x14ac:dyDescent="0.2">
      <c r="A593">
        <f>IFERROR(IF(COUNTIF($C$17:C593,C593)&lt;=('BOBOT PEK'!V242-'BOBOT PEK'!U242+1),'BOBOT PEK'!U242+COUNTIF($C$17:C593,C593)-1,0),0)</f>
        <v>0</v>
      </c>
      <c r="B593" t="str">
        <f>IFERROR(TEXT(INDEX('KALENDER MINGGU'!$B$6:$B$21,$A593),"dd/mm")&amp;" - "&amp;TEXT(INDEX('KALENDER MINGGU'!$C$6:$C$21,$A593),"dd/mm"),"")</f>
        <v/>
      </c>
      <c r="C593" t="s">
        <v>555</v>
      </c>
      <c r="D593" s="228" t="str">
        <f>'BOBOT PEK'!C242</f>
        <v>saklar dan stop kontak
ex schneider classic</v>
      </c>
      <c r="E593" s="241">
        <f>'BOBOT PEK'!J242</f>
        <v>0.10028828548189422</v>
      </c>
      <c r="F593">
        <f>100/('BOBOT PEK'!V242-'BOBOT PEK'!U242+1)</f>
        <v>50</v>
      </c>
      <c r="G593">
        <f t="shared" ref="G593:G609" si="18">F593/100*E593</f>
        <v>5.0144142740947112E-2</v>
      </c>
      <c r="H593">
        <f>MIN(100,($A593-'BOBOT PEK'!U242+1)/('BOBOT PEK'!V242-'BOBOT PEK'!U242+1)*100)</f>
        <v>-400</v>
      </c>
      <c r="I593">
        <f>IFERROR(SUM(INDEX(TS!$M:$AB,69,1):INDEX(TS!$M:$AB,69,$A593))/TS!$L$59*100,0)</f>
        <v>2664.4387828523818</v>
      </c>
      <c r="J593">
        <f t="shared" ref="J593:J609" si="19">MAX(0,100-I593)</f>
        <v>0</v>
      </c>
      <c r="O593" t="str">
        <f>IF(I593&gt;=99.9,"COMPLETED",IF('BOBOT PEK'!U242&gt;$J$7,"NOT STARTED",IF('BOBOT PEK'!V242&lt;$J$7,"CRITICAL",IF(I593+1&lt;H593,"DELAYED","ON SCHEDULE"))))</f>
        <v>COMPLETED</v>
      </c>
      <c r="Q593" t="str">
        <f>IFERROR(IF(AND($A593=$B$8,'BOBOT PEK'!U242&lt;=$B$8,$B$8&lt;='BOBOT PEK'!V242),COUNTIFS($A$17:$A593,$B$8),""),"")</f>
        <v/>
      </c>
    </row>
    <row r="594" spans="1:17" ht="23.25" customHeight="1" x14ac:dyDescent="0.2">
      <c r="A594">
        <f>IFERROR(IF(COUNTIF($C$17:C594,C594)&lt;=('BOBOT PEK'!V243-'BOBOT PEK'!U243+1),'BOBOT PEK'!U243+COUNTIF($C$17:C594,C594)-1,0),0)</f>
        <v>0</v>
      </c>
      <c r="B594" t="str">
        <f>IFERROR(TEXT(INDEX('KALENDER MINGGU'!$B$6:$B$21,$A594),"dd/mm")&amp;" - "&amp;TEXT(INDEX('KALENDER MINGGU'!$C$6:$C$21,$A594),"dd/mm"),"")</f>
        <v/>
      </c>
      <c r="C594" t="s">
        <v>556</v>
      </c>
      <c r="D594" s="228" t="str">
        <f>'BOBOT PEK'!C243</f>
        <v>Pengadaan dan pemasangan AC
ex gree 2pk</v>
      </c>
      <c r="E594" s="241">
        <f>'BOBOT PEK'!J243</f>
        <v>0.56540079315047509</v>
      </c>
      <c r="F594">
        <f>100/('BOBOT PEK'!V243-'BOBOT PEK'!U243+1)</f>
        <v>50</v>
      </c>
      <c r="G594">
        <f t="shared" si="18"/>
        <v>0.28270039657523754</v>
      </c>
      <c r="H594">
        <f>MIN(100,($A594-'BOBOT PEK'!U243+1)/('BOBOT PEK'!V243-'BOBOT PEK'!U243+1)*100)</f>
        <v>-400</v>
      </c>
      <c r="I594">
        <f>IFERROR(SUM(INDEX(TS!$M:$AB,69,1):INDEX(TS!$M:$AB,69,$A594))/TS!$L$59*100,0)</f>
        <v>2664.4387828523818</v>
      </c>
      <c r="J594">
        <f t="shared" si="19"/>
        <v>0</v>
      </c>
      <c r="O594" t="str">
        <f>IF(I594&gt;=99.9,"COMPLETED",IF('BOBOT PEK'!U243&gt;$J$7,"NOT STARTED",IF('BOBOT PEK'!V243&lt;$J$7,"CRITICAL",IF(I594+1&lt;H594,"DELAYED","ON SCHEDULE"))))</f>
        <v>COMPLETED</v>
      </c>
      <c r="Q594" t="str">
        <f>IFERROR(IF(AND($A594=$B$8,'BOBOT PEK'!U243&lt;=$B$8,$B$8&lt;='BOBOT PEK'!V243),COUNTIFS($A$17:$A594,$B$8),""),"")</f>
        <v/>
      </c>
    </row>
    <row r="595" spans="1:17" ht="23.25" customHeight="1" x14ac:dyDescent="0.2">
      <c r="A595">
        <f>IFERROR(IF(COUNTIF($C$17:C595,C595)&lt;=('BOBOT PEK'!V244-'BOBOT PEK'!U244+1),'BOBOT PEK'!U244+COUNTIF($C$17:C595,C595)-1,0),0)</f>
        <v>0</v>
      </c>
      <c r="B595" t="str">
        <f>IFERROR(TEXT(INDEX('KALENDER MINGGU'!$B$6:$B$21,$A595),"dd/mm")&amp;" - "&amp;TEXT(INDEX('KALENDER MINGGU'!$C$6:$C$21,$A595),"dd/mm"),"")</f>
        <v/>
      </c>
      <c r="C595" t="s">
        <v>557</v>
      </c>
      <c r="D595" s="228" t="str">
        <f>'BOBOT PEK'!C244</f>
        <v>Fasad
rangka + MMT + lighting 50w</v>
      </c>
      <c r="E595" s="241">
        <f>'BOBOT PEK'!J244</f>
        <v>9.3124836518901771E-2</v>
      </c>
      <c r="F595">
        <f>100/('BOBOT PEK'!V244-'BOBOT PEK'!U244+1)</f>
        <v>33.333333333333336</v>
      </c>
      <c r="G595">
        <f t="shared" si="18"/>
        <v>3.1041612172967262E-2</v>
      </c>
      <c r="H595">
        <f>MIN(100,($A595-'BOBOT PEK'!U244+1)/('BOBOT PEK'!V244-'BOBOT PEK'!U244+1)*100)</f>
        <v>-300</v>
      </c>
      <c r="I595">
        <f>IFERROR(SUM(INDEX(TS!$M:$AB,69,1):INDEX(TS!$M:$AB,69,$A595))/TS!$L$59*100,0)</f>
        <v>2664.4387828523818</v>
      </c>
      <c r="J595">
        <f t="shared" si="19"/>
        <v>0</v>
      </c>
      <c r="O595" t="str">
        <f>IF(I595&gt;=99.9,"COMPLETED",IF('BOBOT PEK'!U244&gt;$J$7,"NOT STARTED",IF('BOBOT PEK'!V244&lt;$J$7,"CRITICAL",IF(I595+1&lt;H595,"DELAYED","ON SCHEDULE"))))</f>
        <v>COMPLETED</v>
      </c>
      <c r="Q595" t="str">
        <f>IFERROR(IF(AND($A595=$B$8,'BOBOT PEK'!U244&lt;=$B$8,$B$8&lt;='BOBOT PEK'!V244),COUNTIFS($A$17:$A595,$B$8),""),"")</f>
        <v/>
      </c>
    </row>
    <row r="596" spans="1:17" ht="23.25" customHeight="1" x14ac:dyDescent="0.2">
      <c r="A596">
        <f>IFERROR(IF(COUNTIF($C$17:C596,C596)&lt;=('BOBOT PEK'!V245-'BOBOT PEK'!U245+1),'BOBOT PEK'!U245+COUNTIF($C$17:C596,C596)-1,0),0)</f>
        <v>0</v>
      </c>
      <c r="B596" t="str">
        <f>IFERROR(TEXT(INDEX('KALENDER MINGGU'!$B$6:$B$21,$A596),"dd/mm")&amp;" - "&amp;TEXT(INDEX('KALENDER MINGGU'!$C$6:$C$21,$A596),"dd/mm"),"")</f>
        <v/>
      </c>
      <c r="C596" t="s">
        <v>558</v>
      </c>
      <c r="D596" s="228" t="str">
        <f>'BOBOT PEK'!C245</f>
        <v>Signage
neon box</v>
      </c>
      <c r="E596" s="241">
        <f>'BOBOT PEK'!J245</f>
        <v>0.20466997037121271</v>
      </c>
      <c r="F596">
        <f>100/('BOBOT PEK'!V245-'BOBOT PEK'!U245+1)</f>
        <v>33.333333333333336</v>
      </c>
      <c r="G596">
        <f t="shared" si="18"/>
        <v>6.8223323457070911E-2</v>
      </c>
      <c r="H596">
        <f>MIN(100,($A596-'BOBOT PEK'!U245+1)/('BOBOT PEK'!V245-'BOBOT PEK'!U245+1)*100)</f>
        <v>-300</v>
      </c>
      <c r="I596">
        <f>IFERROR(SUM(INDEX(TS!$M:$AB,69,1):INDEX(TS!$M:$AB,69,$A596))/TS!$L$59*100,0)</f>
        <v>2664.4387828523818</v>
      </c>
      <c r="J596">
        <f t="shared" si="19"/>
        <v>0</v>
      </c>
      <c r="O596" t="str">
        <f>IF(I596&gt;=99.9,"COMPLETED",IF('BOBOT PEK'!U245&gt;$J$7,"NOT STARTED",IF('BOBOT PEK'!V245&lt;$J$7,"CRITICAL",IF(I596+1&lt;H596,"DELAYED","ON SCHEDULE"))))</f>
        <v>COMPLETED</v>
      </c>
      <c r="Q596" t="str">
        <f>IFERROR(IF(AND($A596=$B$8,'BOBOT PEK'!U245&lt;=$B$8,$B$8&lt;='BOBOT PEK'!V245),COUNTIFS($A$17:$A596,$B$8),""),"")</f>
        <v/>
      </c>
    </row>
    <row r="597" spans="1:17" ht="12.75" customHeight="1" x14ac:dyDescent="0.2">
      <c r="A597">
        <f>IFERROR(IF(COUNTIF($C$17:C597,C597)&lt;=('BOBOT PEK'!V253-'BOBOT PEK'!U253+1),'BOBOT PEK'!U253+COUNTIF($C$17:C597,C597)-1,0),0)</f>
        <v>14</v>
      </c>
      <c r="B597" t="str">
        <f>IFERROR(TEXT(INDEX('KALENDER MINGGU'!$B$6:$B$21,$A597),"dd/mm")&amp;" - "&amp;TEXT(INDEX('KALENDER MINGGU'!$C$6:$C$21,$A597),"dd/mm"),"")</f>
        <v>22/10 - 28/10</v>
      </c>
      <c r="C597" t="s">
        <v>563</v>
      </c>
      <c r="D597" t="str">
        <f>'BOBOT PEK'!C253</f>
        <v>Repair Rak Helm area sekuriti</v>
      </c>
      <c r="E597" s="241">
        <f>'BOBOT PEK'!J253</f>
        <v>6.7796927685464206E-2</v>
      </c>
      <c r="F597">
        <f>100/('BOBOT PEK'!V253-'BOBOT PEK'!U253+1)</f>
        <v>50</v>
      </c>
      <c r="G597">
        <f t="shared" si="18"/>
        <v>3.3898463842732103E-2</v>
      </c>
      <c r="H597">
        <f>MIN(100,($A597-'BOBOT PEK'!U253+1)/('BOBOT PEK'!V253-'BOBOT PEK'!U253+1)*100)</f>
        <v>100</v>
      </c>
      <c r="I597">
        <f>IFERROR(SUM(INDEX(TS!$M:$AB,73,1):INDEX(TS!$M:$AB,73,$A597))/TS!$L$63*100,0)</f>
        <v>-17623.426008597788</v>
      </c>
      <c r="J597">
        <f t="shared" si="19"/>
        <v>17723.426008597788</v>
      </c>
      <c r="O597" t="str">
        <f ca="1">IF(I597&gt;=99.9,"COMPLETED",IF('BOBOT PEK'!U253&gt;$J$7,"NOT STARTED",IF('BOBOT PEK'!V253&lt;$J$7,"CRITICAL",IF(I597+1&lt;H597,"DELAYED","ON SCHEDULE"))))</f>
        <v>NOT STARTED</v>
      </c>
      <c r="Q597" t="str">
        <f>IFERROR(IF(AND($A597=$B$8,'BOBOT PEK'!U253&lt;=$B$8,$B$8&lt;='BOBOT PEK'!V253),COUNTIFS($A$17:$A597,$B$8),""),"")</f>
        <v/>
      </c>
    </row>
    <row r="598" spans="1:17" ht="12.75" customHeight="1" x14ac:dyDescent="0.2">
      <c r="A598">
        <f>IFERROR(IF(COUNTIF($C$17:C598,C598)&lt;=('BOBOT PEK'!V254-'BOBOT PEK'!U254+1),'BOBOT PEK'!U254+COUNTIF($C$17:C598,C598)-1,0),0)</f>
        <v>14</v>
      </c>
      <c r="B598" t="str">
        <f>IFERROR(TEXT(INDEX('KALENDER MINGGU'!$B$6:$B$21,$A598),"dd/mm")&amp;" - "&amp;TEXT(INDEX('KALENDER MINGGU'!$C$6:$C$21,$A598),"dd/mm"),"")</f>
        <v>22/10 - 28/10</v>
      </c>
      <c r="C598" t="s">
        <v>564</v>
      </c>
      <c r="D598" t="str">
        <f>'BOBOT PEK'!C254</f>
        <v>Repair meja sekuriti</v>
      </c>
      <c r="E598" s="241">
        <f>'BOBOT PEK'!J254</f>
        <v>5.1167492592803177E-2</v>
      </c>
      <c r="F598">
        <f>100/('BOBOT PEK'!V254-'BOBOT PEK'!U254+1)</f>
        <v>50</v>
      </c>
      <c r="G598">
        <f t="shared" si="18"/>
        <v>2.5583746296401588E-2</v>
      </c>
      <c r="H598">
        <f>MIN(100,($A598-'BOBOT PEK'!U254+1)/('BOBOT PEK'!V254-'BOBOT PEK'!U254+1)*100)</f>
        <v>100</v>
      </c>
      <c r="I598">
        <f>IFERROR(SUM(INDEX(TS!$M:$AB,73,1):INDEX(TS!$M:$AB,73,$A598))/TS!$L$63*100,0)</f>
        <v>-17623.426008597788</v>
      </c>
      <c r="J598">
        <f t="shared" si="19"/>
        <v>17723.426008597788</v>
      </c>
      <c r="O598" t="str">
        <f ca="1">IF(I598&gt;=99.9,"COMPLETED",IF('BOBOT PEK'!U254&gt;$J$7,"NOT STARTED",IF('BOBOT PEK'!V254&lt;$J$7,"CRITICAL",IF(I598+1&lt;H598,"DELAYED","ON SCHEDULE"))))</f>
        <v>NOT STARTED</v>
      </c>
      <c r="Q598" t="str">
        <f>IFERROR(IF(AND($A598=$B$8,'BOBOT PEK'!U254&lt;=$B$8,$B$8&lt;='BOBOT PEK'!V254),COUNTIFS($A$17:$A598,$B$8),""),"")</f>
        <v/>
      </c>
    </row>
    <row r="599" spans="1:17" ht="12.75" customHeight="1" x14ac:dyDescent="0.2">
      <c r="A599">
        <f>IFERROR(IF(COUNTIF($C$17:C599,C599)&lt;=('BOBOT PEK'!V255-'BOBOT PEK'!U255+1),'BOBOT PEK'!U255+COUNTIF($C$17:C599,C599)-1,0),0)</f>
        <v>14</v>
      </c>
      <c r="B599" t="str">
        <f>IFERROR(TEXT(INDEX('KALENDER MINGGU'!$B$6:$B$21,$A599),"dd/mm")&amp;" - "&amp;TEXT(INDEX('KALENDER MINGGU'!$C$6:$C$21,$A599),"dd/mm"),"")</f>
        <v>22/10 - 28/10</v>
      </c>
      <c r="C599" t="s">
        <v>565</v>
      </c>
      <c r="D599" t="str">
        <f>'BOBOT PEK'!C255</f>
        <v>Repair lemari sekuriti</v>
      </c>
      <c r="E599" s="241">
        <f>'BOBOT PEK'!J255</f>
        <v>2.6862933611221666E-2</v>
      </c>
      <c r="F599">
        <f>100/('BOBOT PEK'!V255-'BOBOT PEK'!U255+1)</f>
        <v>50</v>
      </c>
      <c r="G599">
        <f t="shared" si="18"/>
        <v>1.3431466805610833E-2</v>
      </c>
      <c r="H599">
        <f>MIN(100,($A599-'BOBOT PEK'!U255+1)/('BOBOT PEK'!V255-'BOBOT PEK'!U255+1)*100)</f>
        <v>100</v>
      </c>
      <c r="I599">
        <f>IFERROR(SUM(INDEX(TS!$M:$AB,73,1):INDEX(TS!$M:$AB,73,$A599))/TS!$L$63*100,0)</f>
        <v>-17623.426008597788</v>
      </c>
      <c r="J599">
        <f t="shared" si="19"/>
        <v>17723.426008597788</v>
      </c>
      <c r="O599" t="str">
        <f ca="1">IF(I599&gt;=99.9,"COMPLETED",IF('BOBOT PEK'!U255&gt;$J$7,"NOT STARTED",IF('BOBOT PEK'!V255&lt;$J$7,"CRITICAL",IF(I599+1&lt;H599,"DELAYED","ON SCHEDULE"))))</f>
        <v>NOT STARTED</v>
      </c>
      <c r="Q599" t="str">
        <f>IFERROR(IF(AND($A599=$B$8,'BOBOT PEK'!U255&lt;=$B$8,$B$8&lt;='BOBOT PEK'!V255),COUNTIFS($A$17:$A599,$B$8),""),"")</f>
        <v/>
      </c>
    </row>
    <row r="600" spans="1:17" ht="12.75" customHeight="1" x14ac:dyDescent="0.2">
      <c r="A600">
        <f>IFERROR(IF(COUNTIF($C$17:C600,C600)&lt;=('BOBOT PEK'!V77-'BOBOT PEK'!U77+1),'BOBOT PEK'!U77+COUNTIF($C$17:C600,C600)-1,0),0)</f>
        <v>15</v>
      </c>
      <c r="B600" t="str">
        <f>IFERROR(TEXT(INDEX('KALENDER MINGGU'!$B$6:$B$21,$A600),"dd/mm")&amp;" - "&amp;TEXT(INDEX('KALENDER MINGGU'!$C$6:$C$21,$A600),"dd/mm"),"")</f>
        <v>29/10 - 04/11</v>
      </c>
      <c r="C600" t="s">
        <v>464</v>
      </c>
      <c r="D600" t="str">
        <f>'BOBOT PEK'!C77</f>
        <v xml:space="preserve">Pengupasan aspal existing </v>
      </c>
      <c r="E600" s="241">
        <f>'BOBOT PEK'!J77</f>
        <v>3.3576108639397444</v>
      </c>
      <c r="F600">
        <f>100/('BOBOT PEK'!V77-'BOBOT PEK'!U77+1)</f>
        <v>6.25</v>
      </c>
      <c r="G600">
        <f t="shared" si="18"/>
        <v>0.20985067899623402</v>
      </c>
      <c r="H600">
        <f>MIN(100,($A600-'BOBOT PEK'!U77+1)/('BOBOT PEK'!V77-'BOBOT PEK'!U77+1)*100)</f>
        <v>93.75</v>
      </c>
      <c r="I600">
        <f>IFERROR(SUM(INDEX(TS!$M:$AB,37,1):INDEX(TS!$M:$AB,37,$A600))/TS!$L$27*100,0)</f>
        <v>3.4799918820120639</v>
      </c>
      <c r="J600">
        <f t="shared" si="19"/>
        <v>96.520008117987942</v>
      </c>
      <c r="O600" t="str">
        <f ca="1">IF(I600&gt;=99.9,"COMPLETED",IF('BOBOT PEK'!U77&gt;$J$7,"NOT STARTED",IF('BOBOT PEK'!V77&lt;$J$7,"CRITICAL",IF(I600+1&lt;H600,"DELAYED","ON SCHEDULE"))))</f>
        <v>DELAYED</v>
      </c>
      <c r="Q600" t="str">
        <f>IFERROR(IF(AND($A600=$B$8,'BOBOT PEK'!U77&lt;=$B$8,$B$8&lt;='BOBOT PEK'!V77),COUNTIFS($A$17:$A600,$B$8),""),"")</f>
        <v/>
      </c>
    </row>
    <row r="601" spans="1:17" ht="12.75" customHeight="1" x14ac:dyDescent="0.2">
      <c r="A601">
        <f>IFERROR(IF(COUNTIF($C$17:C601,C601)&lt;=('BOBOT PEK'!V78-'BOBOT PEK'!U78+1),'BOBOT PEK'!U78+COUNTIF($C$17:C601,C601)-1,0),0)</f>
        <v>15</v>
      </c>
      <c r="B601" t="str">
        <f>IFERROR(TEXT(INDEX('KALENDER MINGGU'!$B$6:$B$21,$A601),"dd/mm")&amp;" - "&amp;TEXT(INDEX('KALENDER MINGGU'!$C$6:$C$21,$A601),"dd/mm"),"")</f>
        <v>29/10 - 04/11</v>
      </c>
      <c r="C601" t="s">
        <v>465</v>
      </c>
      <c r="D601" t="str">
        <f>'BOBOT PEK'!C78</f>
        <v xml:space="preserve">Pengupasan beton existing </v>
      </c>
      <c r="E601" s="241">
        <f>'BOBOT PEK'!J78</f>
        <v>1.9430855312117006</v>
      </c>
      <c r="F601">
        <f>100/('BOBOT PEK'!V78-'BOBOT PEK'!U78+1)</f>
        <v>6.25</v>
      </c>
      <c r="G601">
        <f t="shared" si="18"/>
        <v>0.12144284570073129</v>
      </c>
      <c r="H601">
        <f>MIN(100,($A601-'BOBOT PEK'!U78+1)/('BOBOT PEK'!V78-'BOBOT PEK'!U78+1)*100)</f>
        <v>93.75</v>
      </c>
      <c r="I601">
        <f>IFERROR(SUM(INDEX(TS!$M:$AB,37,1):INDEX(TS!$M:$AB,37,$A601))/TS!$L$27*100,0)</f>
        <v>3.4799918820120639</v>
      </c>
      <c r="J601">
        <f t="shared" si="19"/>
        <v>96.520008117987942</v>
      </c>
      <c r="O601" t="str">
        <f ca="1">IF(I601&gt;=99.9,"COMPLETED",IF('BOBOT PEK'!U78&gt;$J$7,"NOT STARTED",IF('BOBOT PEK'!V78&lt;$J$7,"CRITICAL",IF(I601+1&lt;H601,"DELAYED","ON SCHEDULE"))))</f>
        <v>DELAYED</v>
      </c>
      <c r="Q601" t="str">
        <f>IFERROR(IF(AND($A601=$B$8,'BOBOT PEK'!U78&lt;=$B$8,$B$8&lt;='BOBOT PEK'!V78),COUNTIFS($A$17:$A601,$B$8),""),"")</f>
        <v/>
      </c>
    </row>
    <row r="602" spans="1:17" ht="12.75" customHeight="1" x14ac:dyDescent="0.2">
      <c r="A602">
        <f>IFERROR(IF(COUNTIF($C$17:C602,C602)&lt;=('BOBOT PEK'!V79-'BOBOT PEK'!U79+1),'BOBOT PEK'!U79+COUNTIF($C$17:C602,C602)-1,0),0)</f>
        <v>15</v>
      </c>
      <c r="B602" t="str">
        <f>IFERROR(TEXT(INDEX('KALENDER MINGGU'!$B$6:$B$21,$A602),"dd/mm")&amp;" - "&amp;TEXT(INDEX('KALENDER MINGGU'!$C$6:$C$21,$A602),"dd/mm"),"")</f>
        <v>29/10 - 04/11</v>
      </c>
      <c r="C602" t="s">
        <v>466</v>
      </c>
      <c r="D602" t="str">
        <f>'BOBOT PEK'!C79</f>
        <v>Pembuangan puing sewa truk</v>
      </c>
      <c r="E602" s="241">
        <f>'BOBOT PEK'!J79</f>
        <v>3.3766707549305637</v>
      </c>
      <c r="F602">
        <f>100/('BOBOT PEK'!V79-'BOBOT PEK'!U79+1)</f>
        <v>6.25</v>
      </c>
      <c r="G602">
        <f t="shared" si="18"/>
        <v>0.21104192218316023</v>
      </c>
      <c r="H602">
        <f>MIN(100,($A602-'BOBOT PEK'!U79+1)/('BOBOT PEK'!V79-'BOBOT PEK'!U79+1)*100)</f>
        <v>93.75</v>
      </c>
      <c r="I602">
        <f>IFERROR(SUM(INDEX(TS!$M:$AB,37,1):INDEX(TS!$M:$AB,37,$A602))/TS!$L$27*100,0)</f>
        <v>3.4799918820120639</v>
      </c>
      <c r="J602">
        <f t="shared" si="19"/>
        <v>96.520008117987942</v>
      </c>
      <c r="O602" t="str">
        <f ca="1">IF(I602&gt;=99.9,"COMPLETED",IF('BOBOT PEK'!U79&gt;$J$7,"NOT STARTED",IF('BOBOT PEK'!V79&lt;$J$7,"CRITICAL",IF(I602+1&lt;H602,"DELAYED","ON SCHEDULE"))))</f>
        <v>DELAYED</v>
      </c>
      <c r="Q602" t="str">
        <f>IFERROR(IF(AND($A602=$B$8,'BOBOT PEK'!U79&lt;=$B$8,$B$8&lt;='BOBOT PEK'!V79),COUNTIFS($A$17:$A602,$B$8),""),"")</f>
        <v/>
      </c>
    </row>
    <row r="603" spans="1:17" ht="12.75" customHeight="1" x14ac:dyDescent="0.2">
      <c r="A603">
        <f>IFERROR(IF(COUNTIF($C$17:C603,C603)&lt;=('BOBOT PEK'!V80-'BOBOT PEK'!U80+1),'BOBOT PEK'!U80+COUNTIF($C$17:C603,C603)-1,0),0)</f>
        <v>15</v>
      </c>
      <c r="B603" t="str">
        <f>IFERROR(TEXT(INDEX('KALENDER MINGGU'!$B$6:$B$21,$A603),"dd/mm")&amp;" - "&amp;TEXT(INDEX('KALENDER MINGGU'!$C$6:$C$21,$A603),"dd/mm"),"")</f>
        <v>29/10 - 04/11</v>
      </c>
      <c r="C603" t="s">
        <v>467</v>
      </c>
      <c r="D603" t="str">
        <f>'BOBOT PEK'!C80</f>
        <v>Besi 13 ulir , kotak 30x30cm</v>
      </c>
      <c r="E603" s="241">
        <f>'BOBOT PEK'!J80</f>
        <v>15.224105695407308</v>
      </c>
      <c r="F603">
        <f>100/('BOBOT PEK'!V80-'BOBOT PEK'!U80+1)</f>
        <v>6.25</v>
      </c>
      <c r="G603">
        <f t="shared" si="18"/>
        <v>0.95150660596295678</v>
      </c>
      <c r="H603">
        <f>MIN(100,($A603-'BOBOT PEK'!U80+1)/('BOBOT PEK'!V80-'BOBOT PEK'!U80+1)*100)</f>
        <v>93.75</v>
      </c>
      <c r="I603">
        <f>IFERROR(SUM(INDEX(TS!$M:$AB,37,1):INDEX(TS!$M:$AB,37,$A603))/TS!$L$27*100,0)</f>
        <v>3.4799918820120639</v>
      </c>
      <c r="J603">
        <f t="shared" si="19"/>
        <v>96.520008117987942</v>
      </c>
      <c r="O603" t="str">
        <f ca="1">IF(I603&gt;=99.9,"COMPLETED",IF('BOBOT PEK'!U80&gt;$J$7,"NOT STARTED",IF('BOBOT PEK'!V80&lt;$J$7,"CRITICAL",IF(I603+1&lt;H603,"DELAYED","ON SCHEDULE"))))</f>
        <v>DELAYED</v>
      </c>
      <c r="Q603" t="str">
        <f>IFERROR(IF(AND($A603=$B$8,'BOBOT PEK'!U80&lt;=$B$8,$B$8&lt;='BOBOT PEK'!V80),COUNTIFS($A$17:$A603,$B$8),""),"")</f>
        <v/>
      </c>
    </row>
    <row r="604" spans="1:17" ht="12.75" customHeight="1" x14ac:dyDescent="0.2">
      <c r="A604">
        <f>IFERROR(IF(COUNTIF($C$17:C604,C604)&lt;=('BOBOT PEK'!V81-'BOBOT PEK'!U81+1),'BOBOT PEK'!U81+COUNTIF($C$17:C604,C604)-1,0),0)</f>
        <v>15</v>
      </c>
      <c r="B604" t="str">
        <f>IFERROR(TEXT(INDEX('KALENDER MINGGU'!$B$6:$B$21,$A604),"dd/mm")&amp;" - "&amp;TEXT(INDEX('KALENDER MINGGU'!$C$6:$C$21,$A604),"dd/mm"),"")</f>
        <v>29/10 - 04/11</v>
      </c>
      <c r="C604" t="s">
        <v>468</v>
      </c>
      <c r="D604" t="str">
        <f>'BOBOT PEK'!C81</f>
        <v>Cor ready mix K-350 (tanpa trowel dan line cutting)</v>
      </c>
      <c r="E604" s="241">
        <f>'BOBOT PEK'!J81</f>
        <v>18.885237150790225</v>
      </c>
      <c r="F604">
        <f>100/('BOBOT PEK'!V81-'BOBOT PEK'!U81+1)</f>
        <v>6.25</v>
      </c>
      <c r="G604">
        <f t="shared" si="18"/>
        <v>1.1803273219243891</v>
      </c>
      <c r="H604">
        <f>MIN(100,($A604-'BOBOT PEK'!U81+1)/('BOBOT PEK'!V81-'BOBOT PEK'!U81+1)*100)</f>
        <v>93.75</v>
      </c>
      <c r="I604">
        <f>IFERROR(SUM(INDEX(TS!$M:$AB,37,1):INDEX(TS!$M:$AB,37,$A604))/TS!$L$27*100,0)</f>
        <v>3.4799918820120639</v>
      </c>
      <c r="J604">
        <f t="shared" si="19"/>
        <v>96.520008117987942</v>
      </c>
      <c r="O604" t="str">
        <f ca="1">IF(I604&gt;=99.9,"COMPLETED",IF('BOBOT PEK'!U81&gt;$J$7,"NOT STARTED",IF('BOBOT PEK'!V81&lt;$J$7,"CRITICAL",IF(I604+1&lt;H604,"DELAYED","ON SCHEDULE"))))</f>
        <v>DELAYED</v>
      </c>
      <c r="Q604" t="str">
        <f>IFERROR(IF(AND($A604=$B$8,'BOBOT PEK'!U81&lt;=$B$8,$B$8&lt;='BOBOT PEK'!V81),COUNTIFS($A$17:$A604,$B$8),""),"")</f>
        <v/>
      </c>
    </row>
    <row r="605" spans="1:17" ht="12.75" customHeight="1" x14ac:dyDescent="0.2">
      <c r="A605">
        <f>IFERROR(IF(COUNTIF($C$17:C605,C605)&lt;=('BOBOT PEK'!V77-'BOBOT PEK'!U77+1),'BOBOT PEK'!U77+COUNTIF($C$17:C605,C605)-1,0),0)</f>
        <v>16</v>
      </c>
      <c r="B605" t="str">
        <f>IFERROR(TEXT(INDEX('KALENDER MINGGU'!$B$6:$B$21,$A605),"dd/mm")&amp;" - "&amp;TEXT(INDEX('KALENDER MINGGU'!$C$6:$C$21,$A605),"dd/mm"),"")</f>
        <v>05/11 - 11/11</v>
      </c>
      <c r="C605" t="s">
        <v>464</v>
      </c>
      <c r="D605" t="str">
        <f>'BOBOT PEK'!C77</f>
        <v xml:space="preserve">Pengupasan aspal existing </v>
      </c>
      <c r="E605" s="241">
        <f>'BOBOT PEK'!J77</f>
        <v>3.3576108639397444</v>
      </c>
      <c r="F605">
        <f>100/('BOBOT PEK'!V77-'BOBOT PEK'!U77+1)</f>
        <v>6.25</v>
      </c>
      <c r="G605">
        <f t="shared" si="18"/>
        <v>0.20985067899623402</v>
      </c>
      <c r="H605">
        <f>MIN(100,($A605-'BOBOT PEK'!U77+1)/('BOBOT PEK'!V77-'BOBOT PEK'!U77+1)*100)</f>
        <v>100</v>
      </c>
      <c r="I605">
        <f>IFERROR(SUM(INDEX(TS!$M:$AB,37,1):INDEX(TS!$M:$AB,37,$A605))/TS!$L$27*100,0)</f>
        <v>3.4799918820120639</v>
      </c>
      <c r="J605">
        <f t="shared" si="19"/>
        <v>96.520008117987942</v>
      </c>
      <c r="O605" t="str">
        <f ca="1">IF(I605&gt;=99.9,"COMPLETED",IF('BOBOT PEK'!U77&gt;$J$7,"NOT STARTED",IF('BOBOT PEK'!V77&lt;$J$7,"CRITICAL",IF(I605+1&lt;H605,"DELAYED","ON SCHEDULE"))))</f>
        <v>DELAYED</v>
      </c>
      <c r="Q605" t="str">
        <f>IFERROR(IF(AND($A605=$B$8,'BOBOT PEK'!U77&lt;=$B$8,$B$8&lt;='BOBOT PEK'!V77),COUNTIFS($A$17:$A605,$B$8),""),"")</f>
        <v/>
      </c>
    </row>
    <row r="606" spans="1:17" ht="12.75" customHeight="1" x14ac:dyDescent="0.2">
      <c r="A606">
        <f>IFERROR(IF(COUNTIF($C$17:C606,C606)&lt;=('BOBOT PEK'!V78-'BOBOT PEK'!U78+1),'BOBOT PEK'!U78+COUNTIF($C$17:C606,C606)-1,0),0)</f>
        <v>16</v>
      </c>
      <c r="B606" t="str">
        <f>IFERROR(TEXT(INDEX('KALENDER MINGGU'!$B$6:$B$21,$A606),"dd/mm")&amp;" - "&amp;TEXT(INDEX('KALENDER MINGGU'!$C$6:$C$21,$A606),"dd/mm"),"")</f>
        <v>05/11 - 11/11</v>
      </c>
      <c r="C606" t="s">
        <v>465</v>
      </c>
      <c r="D606" t="str">
        <f>'BOBOT PEK'!C78</f>
        <v xml:space="preserve">Pengupasan beton existing </v>
      </c>
      <c r="E606" s="241">
        <f>'BOBOT PEK'!J78</f>
        <v>1.9430855312117006</v>
      </c>
      <c r="F606">
        <f>100/('BOBOT PEK'!V78-'BOBOT PEK'!U78+1)</f>
        <v>6.25</v>
      </c>
      <c r="G606">
        <f t="shared" si="18"/>
        <v>0.12144284570073129</v>
      </c>
      <c r="H606">
        <f>MIN(100,($A606-'BOBOT PEK'!U78+1)/('BOBOT PEK'!V78-'BOBOT PEK'!U78+1)*100)</f>
        <v>100</v>
      </c>
      <c r="I606">
        <f>IFERROR(SUM(INDEX(TS!$M:$AB,37,1):INDEX(TS!$M:$AB,37,$A606))/TS!$L$27*100,0)</f>
        <v>3.4799918820120639</v>
      </c>
      <c r="J606">
        <f t="shared" si="19"/>
        <v>96.520008117987942</v>
      </c>
      <c r="O606" t="str">
        <f ca="1">IF(I606&gt;=99.9,"COMPLETED",IF('BOBOT PEK'!U78&gt;$J$7,"NOT STARTED",IF('BOBOT PEK'!V78&lt;$J$7,"CRITICAL",IF(I606+1&lt;H606,"DELAYED","ON SCHEDULE"))))</f>
        <v>DELAYED</v>
      </c>
      <c r="Q606" t="str">
        <f>IFERROR(IF(AND($A606=$B$8,'BOBOT PEK'!U78&lt;=$B$8,$B$8&lt;='BOBOT PEK'!V78),COUNTIFS($A$17:$A606,$B$8),""),"")</f>
        <v/>
      </c>
    </row>
    <row r="607" spans="1:17" ht="12.75" customHeight="1" x14ac:dyDescent="0.2">
      <c r="A607">
        <f>IFERROR(IF(COUNTIF($C$17:C607,C607)&lt;=('BOBOT PEK'!V79-'BOBOT PEK'!U79+1),'BOBOT PEK'!U79+COUNTIF($C$17:C607,C607)-1,0),0)</f>
        <v>16</v>
      </c>
      <c r="B607" t="str">
        <f>IFERROR(TEXT(INDEX('KALENDER MINGGU'!$B$6:$B$21,$A607),"dd/mm")&amp;" - "&amp;TEXT(INDEX('KALENDER MINGGU'!$C$6:$C$21,$A607),"dd/mm"),"")</f>
        <v>05/11 - 11/11</v>
      </c>
      <c r="C607" t="s">
        <v>466</v>
      </c>
      <c r="D607" t="str">
        <f>'BOBOT PEK'!C79</f>
        <v>Pembuangan puing sewa truk</v>
      </c>
      <c r="E607" s="241">
        <f>'BOBOT PEK'!J79</f>
        <v>3.3766707549305637</v>
      </c>
      <c r="F607">
        <f>100/('BOBOT PEK'!V79-'BOBOT PEK'!U79+1)</f>
        <v>6.25</v>
      </c>
      <c r="G607">
        <f t="shared" si="18"/>
        <v>0.21104192218316023</v>
      </c>
      <c r="H607">
        <f>MIN(100,($A607-'BOBOT PEK'!U79+1)/('BOBOT PEK'!V79-'BOBOT PEK'!U79+1)*100)</f>
        <v>100</v>
      </c>
      <c r="I607">
        <f>IFERROR(SUM(INDEX(TS!$M:$AB,37,1):INDEX(TS!$M:$AB,37,$A607))/TS!$L$27*100,0)</f>
        <v>3.4799918820120639</v>
      </c>
      <c r="J607">
        <f t="shared" si="19"/>
        <v>96.520008117987942</v>
      </c>
      <c r="O607" t="str">
        <f ca="1">IF(I607&gt;=99.9,"COMPLETED",IF('BOBOT PEK'!U79&gt;$J$7,"NOT STARTED",IF('BOBOT PEK'!V79&lt;$J$7,"CRITICAL",IF(I607+1&lt;H607,"DELAYED","ON SCHEDULE"))))</f>
        <v>DELAYED</v>
      </c>
      <c r="Q607" t="str">
        <f>IFERROR(IF(AND($A607=$B$8,'BOBOT PEK'!U79&lt;=$B$8,$B$8&lt;='BOBOT PEK'!V79),COUNTIFS($A$17:$A607,$B$8),""),"")</f>
        <v/>
      </c>
    </row>
    <row r="608" spans="1:17" ht="12.75" customHeight="1" x14ac:dyDescent="0.2">
      <c r="A608">
        <f>IFERROR(IF(COUNTIF($C$17:C608,C608)&lt;=('BOBOT PEK'!V80-'BOBOT PEK'!U80+1),'BOBOT PEK'!U80+COUNTIF($C$17:C608,C608)-1,0),0)</f>
        <v>16</v>
      </c>
      <c r="B608" t="str">
        <f>IFERROR(TEXT(INDEX('KALENDER MINGGU'!$B$6:$B$21,$A608),"dd/mm")&amp;" - "&amp;TEXT(INDEX('KALENDER MINGGU'!$C$6:$C$21,$A608),"dd/mm"),"")</f>
        <v>05/11 - 11/11</v>
      </c>
      <c r="C608" t="s">
        <v>467</v>
      </c>
      <c r="D608" t="str">
        <f>'BOBOT PEK'!C80</f>
        <v>Besi 13 ulir , kotak 30x30cm</v>
      </c>
      <c r="E608" s="241">
        <f>'BOBOT PEK'!J80</f>
        <v>15.224105695407308</v>
      </c>
      <c r="F608">
        <f>100/('BOBOT PEK'!V80-'BOBOT PEK'!U80+1)</f>
        <v>6.25</v>
      </c>
      <c r="G608">
        <f t="shared" si="18"/>
        <v>0.95150660596295678</v>
      </c>
      <c r="H608">
        <f>MIN(100,($A608-'BOBOT PEK'!U80+1)/('BOBOT PEK'!V80-'BOBOT PEK'!U80+1)*100)</f>
        <v>100</v>
      </c>
      <c r="I608">
        <f>IFERROR(SUM(INDEX(TS!$M:$AB,37,1):INDEX(TS!$M:$AB,37,$A608))/TS!$L$27*100,0)</f>
        <v>3.4799918820120639</v>
      </c>
      <c r="J608">
        <f t="shared" si="19"/>
        <v>96.520008117987942</v>
      </c>
      <c r="O608" t="str">
        <f ca="1">IF(I608&gt;=99.9,"COMPLETED",IF('BOBOT PEK'!U80&gt;$J$7,"NOT STARTED",IF('BOBOT PEK'!V80&lt;$J$7,"CRITICAL",IF(I608+1&lt;H608,"DELAYED","ON SCHEDULE"))))</f>
        <v>DELAYED</v>
      </c>
      <c r="Q608" t="str">
        <f>IFERROR(IF(AND($A608=$B$8,'BOBOT PEK'!U80&lt;=$B$8,$B$8&lt;='BOBOT PEK'!V80),COUNTIFS($A$17:$A608,$B$8),""),"")</f>
        <v/>
      </c>
    </row>
    <row r="609" spans="1:17" ht="12.75" customHeight="1" x14ac:dyDescent="0.2">
      <c r="A609">
        <f>IFERROR(IF(COUNTIF($C$17:C609,C609)&lt;=('BOBOT PEK'!V81-'BOBOT PEK'!U81+1),'BOBOT PEK'!U81+COUNTIF($C$17:C609,C609)-1,0),0)</f>
        <v>16</v>
      </c>
      <c r="B609" t="str">
        <f>IFERROR(TEXT(INDEX('KALENDER MINGGU'!$B$6:$B$21,$A609),"dd/mm")&amp;" - "&amp;TEXT(INDEX('KALENDER MINGGU'!$C$6:$C$21,$A609),"dd/mm"),"")</f>
        <v>05/11 - 11/11</v>
      </c>
      <c r="C609" t="s">
        <v>468</v>
      </c>
      <c r="D609" t="str">
        <f>'BOBOT PEK'!C81</f>
        <v>Cor ready mix K-350 (tanpa trowel dan line cutting)</v>
      </c>
      <c r="E609" s="241">
        <f>'BOBOT PEK'!J81</f>
        <v>18.885237150790225</v>
      </c>
      <c r="F609">
        <f>100/('BOBOT PEK'!V81-'BOBOT PEK'!U81+1)</f>
        <v>6.25</v>
      </c>
      <c r="G609">
        <f t="shared" si="18"/>
        <v>1.1803273219243891</v>
      </c>
      <c r="H609">
        <f>MIN(100,($A609-'BOBOT PEK'!U81+1)/('BOBOT PEK'!V81-'BOBOT PEK'!U81+1)*100)</f>
        <v>100</v>
      </c>
      <c r="I609">
        <f>IFERROR(SUM(INDEX(TS!$M:$AB,37,1):INDEX(TS!$M:$AB,37,$A609))/TS!$L$27*100,0)</f>
        <v>3.4799918820120639</v>
      </c>
      <c r="J609">
        <f t="shared" si="19"/>
        <v>96.520008117987942</v>
      </c>
      <c r="O609" t="str">
        <f ca="1">IF(I609&gt;=99.9,"COMPLETED",IF('BOBOT PEK'!U81&gt;$J$7,"NOT STARTED",IF('BOBOT PEK'!V81&lt;$J$7,"CRITICAL",IF(I609+1&lt;H609,"DELAYED","ON SCHEDULE"))))</f>
        <v>DELAYED</v>
      </c>
      <c r="Q609" t="str">
        <f>IFERROR(IF(AND($A609=$B$8,'BOBOT PEK'!U81&lt;=$B$8,$B$8&lt;='BOBOT PEK'!V81),COUNTIFS($A$17:$A609,$B$8),""),"")</f>
        <v/>
      </c>
    </row>
  </sheetData>
  <autoFilter ref="A16:P160" xr:uid="{00000000-0009-0000-0000-000007000000}"/>
  <mergeCells count="3">
    <mergeCell ref="A1:P1"/>
    <mergeCell ref="A5:P5"/>
    <mergeCell ref="A14:P14"/>
  </mergeCells>
  <conditionalFormatting sqref="A17:A160">
    <cfRule type="expression" dxfId="11" priority="7">
      <formula>AND(ISNUMBER($A17),OR(IFERROR(INDEX($W$17:$W$41,MATCH($C17,$R$17:$R$41,0)),0)&gt;$A17,IFERROR(INDEX($X$17:$X$41,MATCH($C17,$R$17:$R$41,0)),16)&lt;$A17))</formula>
    </cfRule>
  </conditionalFormatting>
  <conditionalFormatting sqref="O17:O109">
    <cfRule type="cellIs" dxfId="10" priority="2" operator="equal">
      <formula>"COMPLETED"</formula>
    </cfRule>
    <cfRule type="cellIs" dxfId="9" priority="3" operator="equal">
      <formula>"ON SCHEDULE"</formula>
    </cfRule>
    <cfRule type="cellIs" dxfId="8" priority="4" operator="equal">
      <formula>"DELAYED"</formula>
    </cfRule>
    <cfRule type="cellIs" dxfId="7" priority="5" operator="equal">
      <formula>"CRITICAL"</formula>
    </cfRule>
    <cfRule type="cellIs" dxfId="6" priority="6" operator="equal">
      <formula>"NOT STARTED"</formula>
    </cfRule>
  </conditionalFormatting>
  <dataValidations count="1">
    <dataValidation type="list" allowBlank="1" sqref="O17:O160" xr:uid="{00000000-0002-0000-0700-000000000000}">
      <formula1>"NOT STARTED,ON SCHEDULE,DELAYED,CRITICAL,COMPLETED"</formula1>
      <formula2>0</formula2>
    </dataValidation>
  </dataValidations>
  <pageMargins left="0.25" right="0.25" top="0.75" bottom="0.75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S175"/>
  <sheetViews>
    <sheetView showGridLines="0" zoomScaleNormal="100" workbookViewId="0">
      <pane ySplit="16" topLeftCell="A17" activePane="bottomLeft" state="frozen"/>
      <selection pane="bottomLeft" activeCell="B27" sqref="B27"/>
    </sheetView>
  </sheetViews>
  <sheetFormatPr defaultColWidth="14.42578125" defaultRowHeight="12.75" x14ac:dyDescent="0.2"/>
  <cols>
    <col min="1" max="1" width="10.5703125" bestFit="1" customWidth="1"/>
    <col min="2" max="2" width="15.140625" bestFit="1" customWidth="1"/>
    <col min="3" max="3" width="11.85546875" bestFit="1" customWidth="1"/>
    <col min="4" max="4" width="57.7109375" bestFit="1" customWidth="1"/>
    <col min="5" max="6" width="12.85546875" bestFit="1" customWidth="1"/>
    <col min="7" max="7" width="9.5703125" bestFit="1" customWidth="1"/>
    <col min="8" max="8" width="13" customWidth="1"/>
    <col min="9" max="9" width="8.42578125" customWidth="1"/>
    <col min="10" max="10" width="9.28515625" bestFit="1" customWidth="1"/>
    <col min="11" max="11" width="9.42578125" customWidth="1"/>
    <col min="12" max="12" width="6.7109375" bestFit="1" customWidth="1"/>
    <col min="13" max="13" width="6.42578125" bestFit="1" customWidth="1"/>
    <col min="14" max="14" width="10.7109375" bestFit="1" customWidth="1"/>
    <col min="15" max="15" width="14.42578125" bestFit="1" customWidth="1"/>
    <col min="16" max="16" width="9.140625" customWidth="1"/>
    <col min="17" max="18" width="8.7109375" customWidth="1"/>
    <col min="19" max="19" width="1" hidden="1" customWidth="1"/>
  </cols>
  <sheetData>
    <row r="1" spans="1:16" ht="12.75" customHeight="1" x14ac:dyDescent="0.2"/>
    <row r="2" spans="1:16" ht="12.75" customHeight="1" x14ac:dyDescent="0.2"/>
    <row r="3" spans="1:16" ht="12.75" customHeight="1" x14ac:dyDescent="0.2">
      <c r="P3" s="242" t="str">
        <f ca="1">"Proyek : ARTABOGA GATSU   |   Periode : Juli 2026 s/d November 2026   |   Minggu Berjalan : Minggu ke-"&amp;'RENCANA MINGGUAN'!$J$7</f>
        <v>Proyek : ARTABOGA GATSU   |   Periode : Juli 2026 s/d November 2026   |   Minggu Berjalan : Minggu ke-10</v>
      </c>
    </row>
    <row r="4" spans="1:16" ht="12.75" customHeight="1" x14ac:dyDescent="0.2">
      <c r="P4" s="242" t="str">
        <f>"Laporan Minggu ke-"&amp;$B11&amp;" : "&amp;TEXT('RENCANA MINGGUAN'!$F$7,"dd/mm/yyyy")&amp;" s/d "&amp;TEXT('RENCANA MINGGUAN'!$H$7,"dd/mm/yyyy")&amp;" (Tahun "&amp;'RENCANA MINGGUAN'!$D$7&amp;")"</f>
        <v>Laporan Minggu ke-6 : 27/08/2026 s/d 02/09/2026 (Tahun 2026)</v>
      </c>
    </row>
    <row r="5" spans="1:16" ht="12.75" customHeight="1" x14ac:dyDescent="0.2"/>
    <row r="6" spans="1:16" ht="18" customHeight="1" x14ac:dyDescent="0.2">
      <c r="A6" s="301" t="s">
        <v>675</v>
      </c>
      <c r="B6" s="301"/>
      <c r="C6" s="301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</row>
    <row r="7" spans="1:16" ht="12.75" hidden="1" customHeight="1" x14ac:dyDescent="0.2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2.75" hidden="1" customHeight="1" x14ac:dyDescent="0.2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2.75" customHeight="1" x14ac:dyDescent="0.2">
      <c r="A9" s="302" t="s">
        <v>742</v>
      </c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</row>
    <row r="10" spans="1:16" ht="25.5" customHeight="1" x14ac:dyDescent="0.2">
      <c r="A10" s="243" t="s">
        <v>743</v>
      </c>
      <c r="B10" s="244" t="s">
        <v>786</v>
      </c>
      <c r="C10" s="245" t="s">
        <v>744</v>
      </c>
      <c r="E10" s="246" t="s">
        <v>745</v>
      </c>
      <c r="G10" s="247" t="s">
        <v>746</v>
      </c>
      <c r="I10" s="248" t="s">
        <v>747</v>
      </c>
      <c r="K10" s="249" t="s">
        <v>748</v>
      </c>
    </row>
    <row r="11" spans="1:16" ht="12.75" customHeight="1" x14ac:dyDescent="0.2">
      <c r="A11" s="250" t="s">
        <v>749</v>
      </c>
      <c r="B11" s="222">
        <f>VALUE(SUBSTITUTE($B10,"Minggu Ke-",""))</f>
        <v>6</v>
      </c>
      <c r="C11" s="303" t="str">
        <f>"Jumlah item minggu ini : "&amp;COUNT($S17:$S116)&amp;" item"</f>
        <v>Jumlah item minggu ini : 31 item</v>
      </c>
      <c r="D11" s="303"/>
      <c r="E11" s="303"/>
      <c r="F11" s="303"/>
      <c r="G11" s="303"/>
      <c r="H11" s="303"/>
      <c r="I11" s="303"/>
      <c r="J11" s="303"/>
      <c r="K11" s="303"/>
      <c r="L11" s="303"/>
      <c r="M11" s="303"/>
      <c r="N11" s="303"/>
      <c r="O11" s="303"/>
      <c r="P11" s="303"/>
    </row>
    <row r="12" spans="1:16" ht="18.75" customHeight="1" x14ac:dyDescent="0.2">
      <c r="B12" s="304" t="s">
        <v>750</v>
      </c>
      <c r="C12" s="304"/>
      <c r="D12" s="304" t="s">
        <v>751</v>
      </c>
      <c r="E12" s="304"/>
      <c r="F12" s="304" t="s">
        <v>752</v>
      </c>
      <c r="G12" s="304"/>
      <c r="H12" s="304" t="s">
        <v>753</v>
      </c>
      <c r="I12" s="304"/>
      <c r="J12" s="304" t="s">
        <v>754</v>
      </c>
      <c r="K12" s="304"/>
    </row>
    <row r="13" spans="1:16" ht="15" customHeight="1" x14ac:dyDescent="0.2">
      <c r="B13" s="300">
        <f>'RENCANA MINGGUAN'!$B$10</f>
        <v>0</v>
      </c>
      <c r="C13" s="300"/>
      <c r="D13" s="300">
        <f>'RENCANA MINGGUAN'!$D$10</f>
        <v>0</v>
      </c>
      <c r="E13" s="300"/>
      <c r="F13" s="300">
        <f>'RENCANA MINGGUAN'!$F$10</f>
        <v>0</v>
      </c>
      <c r="G13" s="300"/>
      <c r="H13" s="300">
        <f>'RENCANA MINGGUAN'!$H$10</f>
        <v>0</v>
      </c>
      <c r="I13" s="300"/>
      <c r="J13" s="300">
        <f>'RENCANA MINGGUAN'!$J$10</f>
        <v>0</v>
      </c>
      <c r="K13" s="300"/>
    </row>
    <row r="14" spans="1:16" ht="12.75" customHeight="1" x14ac:dyDescent="0.2">
      <c r="B14" s="296" t="s">
        <v>755</v>
      </c>
      <c r="C14" s="296"/>
      <c r="D14" s="297" t="s">
        <v>756</v>
      </c>
      <c r="E14" s="297"/>
      <c r="F14" s="298" t="s">
        <v>757</v>
      </c>
      <c r="G14" s="298"/>
      <c r="H14" s="296" t="s">
        <v>758</v>
      </c>
      <c r="I14" s="296"/>
    </row>
    <row r="15" spans="1:16" ht="15" customHeight="1" x14ac:dyDescent="0.2">
      <c r="B15" s="299">
        <f>'RENCANA MINGGUAN'!$B$12</f>
        <v>31</v>
      </c>
      <c r="C15" s="299"/>
      <c r="D15" s="299">
        <f ca="1">'RENCANA MINGGUAN'!$D$12</f>
        <v>1</v>
      </c>
      <c r="E15" s="299"/>
      <c r="F15" s="299">
        <f ca="1">'RENCANA MINGGUAN'!$F$12</f>
        <v>30</v>
      </c>
      <c r="G15" s="299"/>
      <c r="H15" s="299">
        <f ca="1">'RENCANA MINGGUAN'!$H$12</f>
        <v>0</v>
      </c>
      <c r="I15" s="299"/>
    </row>
    <row r="16" spans="1:16" ht="36" customHeight="1" x14ac:dyDescent="0.2">
      <c r="A16" s="251" t="s">
        <v>643</v>
      </c>
      <c r="B16" s="251" t="s">
        <v>693</v>
      </c>
      <c r="C16" s="251" t="s">
        <v>414</v>
      </c>
      <c r="D16" s="251" t="s">
        <v>694</v>
      </c>
      <c r="E16" s="251" t="s">
        <v>695</v>
      </c>
      <c r="F16" s="251" t="s">
        <v>696</v>
      </c>
      <c r="G16" s="251" t="s">
        <v>697</v>
      </c>
      <c r="H16" s="251" t="s">
        <v>698</v>
      </c>
      <c r="I16" s="251" t="s">
        <v>699</v>
      </c>
      <c r="J16" s="251" t="s">
        <v>700</v>
      </c>
      <c r="K16" s="251" t="s">
        <v>701</v>
      </c>
      <c r="L16" s="251" t="s">
        <v>702</v>
      </c>
      <c r="M16" s="251" t="s">
        <v>703</v>
      </c>
      <c r="N16" s="251" t="s">
        <v>704</v>
      </c>
      <c r="O16" s="251" t="s">
        <v>705</v>
      </c>
      <c r="P16" s="251" t="s">
        <v>706</v>
      </c>
    </row>
    <row r="17" spans="1:19" x14ac:dyDescent="0.2">
      <c r="A17" s="252">
        <f>IFERROR(INDEX('RENCANA MINGGUAN'!$A$17:$A$610,$S17),"")</f>
        <v>6</v>
      </c>
      <c r="B17" s="252" t="str">
        <f>IFERROR(INDEX('RENCANA MINGGUAN'!$B$17:$B$610,$S17),"")</f>
        <v>27/08 - 02/09</v>
      </c>
      <c r="C17" s="252" t="str">
        <f>IFERROR(INDEX('RENCANA MINGGUAN'!$C$17:$C$610,$S17),"")</f>
        <v>K-11</v>
      </c>
      <c r="D17" s="253" t="str">
        <f>IFERROR(INDEX('RENCANA MINGGUAN'!$D$17:$D$610,$S17),"")</f>
        <v xml:space="preserve">Finishing paving </v>
      </c>
      <c r="E17" s="254">
        <f>IFERROR(INDEX('RENCANA MINGGUAN'!$E$17:$E$610,$S17),"")</f>
        <v>2.7016436089000075</v>
      </c>
      <c r="F17" s="254">
        <f>IFERROR(INDEX('RENCANA MINGGUAN'!$F$17:$F$610,$S17),"")</f>
        <v>25</v>
      </c>
      <c r="G17" s="254">
        <f>IFERROR(INDEX('RENCANA MINGGUAN'!$G$17:$G$610,$S17),"")</f>
        <v>0.67541090222500189</v>
      </c>
      <c r="H17" s="254">
        <f>IFERROR(INDEX('RENCANA MINGGUAN'!$H$17:$H$610,$S17),"")</f>
        <v>25</v>
      </c>
      <c r="I17" s="254">
        <f>IFERROR(INDEX('RENCANA MINGGUAN'!$I$17:$I$610,$S17),"")</f>
        <v>0</v>
      </c>
      <c r="J17" s="254">
        <f>IFERROR(INDEX('RENCANA MINGGUAN'!$J$17:$J$610,$S17),"")</f>
        <v>100</v>
      </c>
      <c r="K17" s="252" t="str">
        <f t="array" ref="K17">IFERROR(IF(INDEX('RENCANA MINGGUAN'!$K$17:$K$160,$S17)=0,"",INDEX('RENCANA MINGGUAN'!$K$17:$K$160,$S17)),"")</f>
        <v/>
      </c>
      <c r="L17" s="252" t="str">
        <f t="array" ref="L17">IFERROR(IF(INDEX('RENCANA MINGGUAN'!$L$17:$L$160,$S17)=0,"",INDEX('RENCANA MINGGUAN'!$L$17:$L$160,$S17)),"")</f>
        <v/>
      </c>
      <c r="M17" s="252" t="str">
        <f t="array" ref="M17">IFERROR(IF(INDEX('RENCANA MINGGUAN'!$M$17:$M$160,$S17)=0,"",INDEX('RENCANA MINGGUAN'!$M$17:$M$160,$S17)),"")</f>
        <v/>
      </c>
      <c r="N17" s="252" t="str">
        <f>IFERROR(IF(INDEX('RENCANA MINGGUAN'!$N$17:$N$610,$S17)=0,"",INDEX('RENCANA MINGGUAN'!$N$17:$N$610,$S17)),"")</f>
        <v/>
      </c>
      <c r="O17" s="252" t="str">
        <f ca="1">IFERROR(INDEX('RENCANA MINGGUAN'!$O$17:$O$610,$S17),"")</f>
        <v>CRITICAL</v>
      </c>
      <c r="P17" s="252" t="str">
        <f t="array" ref="P17">IFERROR(IF(INDEX('RENCANA MINGGUAN'!$P$17:$P$160,$S17)=0,"",INDEX('RENCANA MINGGUAN'!$P$17:$P$160,$S17)),"")</f>
        <v/>
      </c>
      <c r="S17">
        <f>IFERROR(MATCH(ROW()-16,'RENCANA MINGGUAN'!$Q$17:$Q$610,0),"")</f>
        <v>52</v>
      </c>
    </row>
    <row r="18" spans="1:19" x14ac:dyDescent="0.2">
      <c r="A18" s="252">
        <f>IFERROR(INDEX('RENCANA MINGGUAN'!$A$17:$A$610,$S18),"")</f>
        <v>6</v>
      </c>
      <c r="B18" s="252" t="str">
        <f>IFERROR(INDEX('RENCANA MINGGUAN'!$B$17:$B$610,$S18),"")</f>
        <v>27/08 - 02/09</v>
      </c>
      <c r="C18" s="252" t="str">
        <f>IFERROR(INDEX('RENCANA MINGGUAN'!$C$17:$C$610,$S18),"")</f>
        <v>B-2</v>
      </c>
      <c r="D18" s="253" t="str">
        <f>IFERROR(INDEX('RENCANA MINGGUAN'!$D$17:$D$610,$S18),"")</f>
        <v>Pasang aluminium bubble dibawah atap+plat strip</v>
      </c>
      <c r="E18" s="254">
        <f>IFERROR(INDEX('RENCANA MINGGUAN'!$E$17:$E$610,$S18),"")</f>
        <v>8.8263924722585472</v>
      </c>
      <c r="F18" s="254">
        <f>IFERROR(INDEX('RENCANA MINGGUAN'!$F$17:$F$610,$S18),"")</f>
        <v>25</v>
      </c>
      <c r="G18" s="254">
        <f>IFERROR(INDEX('RENCANA MINGGUAN'!$G$17:$G$610,$S18),"")</f>
        <v>2.2065981180646368</v>
      </c>
      <c r="H18" s="254">
        <f>IFERROR(INDEX('RENCANA MINGGUAN'!$H$17:$H$610,$S18),"")</f>
        <v>25</v>
      </c>
      <c r="I18" s="254">
        <f>IFERROR(INDEX('RENCANA MINGGUAN'!$I$17:$I$610,$S18),"")</f>
        <v>6.3585114450039812</v>
      </c>
      <c r="J18" s="254">
        <f>IFERROR(INDEX('RENCANA MINGGUAN'!$J$17:$J$610,$S18),"")</f>
        <v>93.641488554996016</v>
      </c>
      <c r="K18" s="252" t="str">
        <f t="array" ref="K18">IFERROR(IF(INDEX('RENCANA MINGGUAN'!$K$17:$K$160,$S18)=0,"",INDEX('RENCANA MINGGUAN'!$K$17:$K$160,$S18)),"")</f>
        <v/>
      </c>
      <c r="L18" s="252" t="str">
        <f t="array" ref="L18">IFERROR(IF(INDEX('RENCANA MINGGUAN'!$L$17:$L$160,$S18)=0,"",INDEX('RENCANA MINGGUAN'!$L$17:$L$160,$S18)),"")</f>
        <v/>
      </c>
      <c r="M18" s="252" t="str">
        <f t="array" ref="M18">IFERROR(IF(INDEX('RENCANA MINGGUAN'!$M$17:$M$160,$S18)=0,"",INDEX('RENCANA MINGGUAN'!$M$17:$M$160,$S18)),"")</f>
        <v/>
      </c>
      <c r="N18" s="252" t="str">
        <f>IFERROR(IF(INDEX('RENCANA MINGGUAN'!$N$17:$N$610,$S18)=0,"",INDEX('RENCANA MINGGUAN'!$N$17:$N$610,$S18)),"")</f>
        <v/>
      </c>
      <c r="O18" s="252" t="str">
        <f ca="1">IFERROR(INDEX('RENCANA MINGGUAN'!$O$17:$O$610,$S18),"")</f>
        <v>CRITICAL</v>
      </c>
      <c r="P18" s="252" t="str">
        <f t="array" ref="P18">IFERROR(IF(INDEX('RENCANA MINGGUAN'!$P$17:$P$160,$S18)=0,"",INDEX('RENCANA MINGGUAN'!$P$17:$P$160,$S18)),"")</f>
        <v/>
      </c>
      <c r="S18">
        <f>IFERROR(MATCH(ROW()-16,'RENCANA MINGGUAN'!$Q$17:$Q$610,0),"")</f>
        <v>63</v>
      </c>
    </row>
    <row r="19" spans="1:19" x14ac:dyDescent="0.2">
      <c r="A19" s="252">
        <f>IFERROR(INDEX('RENCANA MINGGUAN'!$A$17:$A$610,$S19),"")</f>
        <v>6</v>
      </c>
      <c r="B19" s="252" t="str">
        <f>IFERROR(INDEX('RENCANA MINGGUAN'!$B$17:$B$610,$S19),"")</f>
        <v>27/08 - 02/09</v>
      </c>
      <c r="C19" s="252" t="str">
        <f>IFERROR(INDEX('RENCANA MINGGUAN'!$C$17:$C$610,$S19),"")</f>
        <v>K-1</v>
      </c>
      <c r="D19" s="253" t="str">
        <f>IFERROR(INDEX('RENCANA MINGGUAN'!$D$17:$D$610,$S19),"")</f>
        <v>Ganti rangka atap toilet ( rangka lama sudah lapuk )</v>
      </c>
      <c r="E19" s="254">
        <f>IFERROR(INDEX('RENCANA MINGGUAN'!$E$17:$E$610,$S19),"")</f>
        <v>0.92235801335101819</v>
      </c>
      <c r="F19" s="254">
        <f>IFERROR(INDEX('RENCANA MINGGUAN'!$F$17:$F$610,$S19),"")</f>
        <v>50</v>
      </c>
      <c r="G19" s="254">
        <f>IFERROR(INDEX('RENCANA MINGGUAN'!$G$17:$G$610,$S19),"")</f>
        <v>0.4611790066755091</v>
      </c>
      <c r="H19" s="254">
        <f>IFERROR(INDEX('RENCANA MINGGUAN'!$H$17:$H$610,$S19),"")</f>
        <v>50</v>
      </c>
      <c r="I19" s="254">
        <f>IFERROR(INDEX('RENCANA MINGGUAN'!$I$17:$I$610,$S19),"")</f>
        <v>0</v>
      </c>
      <c r="J19" s="254">
        <f>IFERROR(INDEX('RENCANA MINGGUAN'!$J$17:$J$610,$S19),"")</f>
        <v>100</v>
      </c>
      <c r="K19" s="252" t="str">
        <f t="array" ref="K19">IFERROR(IF(INDEX('RENCANA MINGGUAN'!$K$17:$K$160,$S19)=0,"",INDEX('RENCANA MINGGUAN'!$K$17:$K$160,$S19)),"")</f>
        <v/>
      </c>
      <c r="L19" s="252" t="str">
        <f t="array" ref="L19">IFERROR(IF(INDEX('RENCANA MINGGUAN'!$L$17:$L$160,$S19)=0,"",INDEX('RENCANA MINGGUAN'!$L$17:$L$160,$S19)),"")</f>
        <v/>
      </c>
      <c r="M19" s="252" t="str">
        <f t="array" ref="M19">IFERROR(IF(INDEX('RENCANA MINGGUAN'!$M$17:$M$160,$S19)=0,"",INDEX('RENCANA MINGGUAN'!$M$17:$M$160,$S19)),"")</f>
        <v/>
      </c>
      <c r="N19" s="252" t="str">
        <f>IFERROR(IF(INDEX('RENCANA MINGGUAN'!$N$17:$N$610,$S19)=0,"",INDEX('RENCANA MINGGUAN'!$N$17:$N$610,$S19)),"")</f>
        <v/>
      </c>
      <c r="O19" s="252" t="str">
        <f ca="1">IFERROR(INDEX('RENCANA MINGGUAN'!$O$17:$O$610,$S19),"")</f>
        <v>CRITICAL</v>
      </c>
      <c r="P19" s="252" t="str">
        <f t="array" ref="P19">IFERROR(IF(INDEX('RENCANA MINGGUAN'!$P$17:$P$160,$S19)=0,"",INDEX('RENCANA MINGGUAN'!$P$17:$P$160,$S19)),"")</f>
        <v/>
      </c>
      <c r="S19">
        <f>IFERROR(MATCH(ROW()-16,'RENCANA MINGGUAN'!$Q$17:$Q$610,0),"")</f>
        <v>74</v>
      </c>
    </row>
    <row r="20" spans="1:19" x14ac:dyDescent="0.2">
      <c r="A20" s="252">
        <f>IFERROR(INDEX('RENCANA MINGGUAN'!$A$17:$A$610,$S20),"")</f>
        <v>6</v>
      </c>
      <c r="B20" s="252" t="str">
        <f>IFERROR(INDEX('RENCANA MINGGUAN'!$B$17:$B$610,$S20),"")</f>
        <v>27/08 - 02/09</v>
      </c>
      <c r="C20" s="252" t="str">
        <f>IFERROR(INDEX('RENCANA MINGGUAN'!$C$17:$C$610,$S20),"")</f>
        <v>A-5</v>
      </c>
      <c r="D20" s="253" t="str">
        <f>IFERROR(INDEX('RENCANA MINGGUAN'!$D$17:$D$610,$S20),"")</f>
        <v>Skafolding dan Alat Bantu Pekerjaan</v>
      </c>
      <c r="E20" s="254">
        <f>IFERROR(INDEX('RENCANA MINGGUAN'!$E$17:$E$610,$S20),"")</f>
        <v>0.38375619444602382</v>
      </c>
      <c r="F20" s="254">
        <f>IFERROR(INDEX('RENCANA MINGGUAN'!$F$17:$F$610,$S20),"")</f>
        <v>16.666666666666668</v>
      </c>
      <c r="G20" s="254">
        <f>IFERROR(INDEX('RENCANA MINGGUAN'!$G$17:$G$610,$S20),"")</f>
        <v>6.3959365741003985E-2</v>
      </c>
      <c r="H20" s="254">
        <f>IFERROR(INDEX('RENCANA MINGGUAN'!$H$17:$H$610,$S20),"")</f>
        <v>100</v>
      </c>
      <c r="I20" s="254">
        <f>IFERROR(INDEX('RENCANA MINGGUAN'!$I$17:$I$610,$S20),"")</f>
        <v>0</v>
      </c>
      <c r="J20" s="254">
        <f>IFERROR(INDEX('RENCANA MINGGUAN'!$J$17:$J$610,$S20),"")</f>
        <v>100</v>
      </c>
      <c r="K20" s="252" t="str">
        <f t="array" ref="K20">IFERROR(IF(INDEX('RENCANA MINGGUAN'!$K$17:$K$160,$S20)=0,"",INDEX('RENCANA MINGGUAN'!$K$17:$K$160,$S20)),"")</f>
        <v/>
      </c>
      <c r="L20" s="252" t="str">
        <f t="array" ref="L20">IFERROR(IF(INDEX('RENCANA MINGGUAN'!$L$17:$L$160,$S20)=0,"",INDEX('RENCANA MINGGUAN'!$L$17:$L$160,$S20)),"")</f>
        <v/>
      </c>
      <c r="M20" s="252" t="str">
        <f t="array" ref="M20">IFERROR(IF(INDEX('RENCANA MINGGUAN'!$M$17:$M$160,$S20)=0,"",INDEX('RENCANA MINGGUAN'!$M$17:$M$160,$S20)),"")</f>
        <v/>
      </c>
      <c r="N20" s="252" t="str">
        <f>IFERROR(IF(INDEX('RENCANA MINGGUAN'!$N$17:$N$610,$S20)=0,"",INDEX('RENCANA MINGGUAN'!$N$17:$N$610,$S20)),"")</f>
        <v/>
      </c>
      <c r="O20" s="252" t="str">
        <f ca="1">IFERROR(INDEX('RENCANA MINGGUAN'!$O$17:$O$610,$S20),"")</f>
        <v>CRITICAL</v>
      </c>
      <c r="P20" s="252" t="str">
        <f t="array" ref="P20">IFERROR(IF(INDEX('RENCANA MINGGUAN'!$P$17:$P$160,$S20)=0,"",INDEX('RENCANA MINGGUAN'!$P$17:$P$160,$S20)),"")</f>
        <v/>
      </c>
      <c r="S20">
        <f>IFERROR(MATCH(ROW()-16,'RENCANA MINGGUAN'!$Q$17:$Q$610,0),"")</f>
        <v>95</v>
      </c>
    </row>
    <row r="21" spans="1:19" x14ac:dyDescent="0.2">
      <c r="A21" s="252">
        <f>IFERROR(INDEX('RENCANA MINGGUAN'!$A$17:$A$610,$S21),"")</f>
        <v>6</v>
      </c>
      <c r="B21" s="252" t="str">
        <f>IFERROR(INDEX('RENCANA MINGGUAN'!$B$17:$B$610,$S21),"")</f>
        <v>27/08 - 02/09</v>
      </c>
      <c r="C21" s="252" t="str">
        <f>IFERROR(INDEX('RENCANA MINGGUAN'!$C$17:$C$610,$S21),"")</f>
        <v>D-1</v>
      </c>
      <c r="D21" s="253" t="str">
        <f>IFERROR(INDEX('RENCANA MINGGUAN'!$D$17:$D$610,$S21),"")</f>
        <v>Pekerjaan bongkaran dinding pagar existing</v>
      </c>
      <c r="E21" s="254">
        <f>IFERROR(INDEX('RENCANA MINGGUAN'!$E$17:$E$610,$S21),"")</f>
        <v>0.12382533207458367</v>
      </c>
      <c r="F21" s="254">
        <f>IFERROR(INDEX('RENCANA MINGGUAN'!$F$17:$F$610,$S21),"")</f>
        <v>25</v>
      </c>
      <c r="G21" s="254">
        <f>IFERROR(INDEX('RENCANA MINGGUAN'!$G$17:$G$610,$S21),"")</f>
        <v>3.0956333018645917E-2</v>
      </c>
      <c r="H21" s="254">
        <f>IFERROR(INDEX('RENCANA MINGGUAN'!$H$17:$H$610,$S21),"")</f>
        <v>75</v>
      </c>
      <c r="I21" s="254">
        <f>IFERROR(INDEX('RENCANA MINGGUAN'!$I$17:$I$610,$S21),"")</f>
        <v>0</v>
      </c>
      <c r="J21" s="254">
        <f>IFERROR(INDEX('RENCANA MINGGUAN'!$J$17:$J$610,$S21),"")</f>
        <v>100</v>
      </c>
      <c r="K21" s="252" t="str">
        <f t="array" ref="K21">IFERROR(IF(INDEX('RENCANA MINGGUAN'!$K$17:$K$160,$S21)=0,"",INDEX('RENCANA MINGGUAN'!$K$17:$K$160,$S21)),"")</f>
        <v/>
      </c>
      <c r="L21" s="252" t="str">
        <f t="array" ref="L21">IFERROR(IF(INDEX('RENCANA MINGGUAN'!$L$17:$L$160,$S21)=0,"",INDEX('RENCANA MINGGUAN'!$L$17:$L$160,$S21)),"")</f>
        <v/>
      </c>
      <c r="M21" s="252" t="str">
        <f t="array" ref="M21">IFERROR(IF(INDEX('RENCANA MINGGUAN'!$M$17:$M$160,$S21)=0,"",INDEX('RENCANA MINGGUAN'!$M$17:$M$160,$S21)),"")</f>
        <v/>
      </c>
      <c r="N21" s="252" t="str">
        <f>IFERROR(IF(INDEX('RENCANA MINGGUAN'!$N$17:$N$610,$S21)=0,"",INDEX('RENCANA MINGGUAN'!$N$17:$N$610,$S21)),"")</f>
        <v/>
      </c>
      <c r="O21" s="252" t="str">
        <f ca="1">IFERROR(INDEX('RENCANA MINGGUAN'!$O$17:$O$610,$S21),"")</f>
        <v>CRITICAL</v>
      </c>
      <c r="P21" s="252" t="str">
        <f t="array" ref="P21">IFERROR(IF(INDEX('RENCANA MINGGUAN'!$P$17:$P$160,$S21)=0,"",INDEX('RENCANA MINGGUAN'!$P$17:$P$160,$S21)),"")</f>
        <v/>
      </c>
      <c r="S21">
        <f>IFERROR(MATCH(ROW()-16,'RENCANA MINGGUAN'!$Q$17:$Q$610,0),"")</f>
        <v>117</v>
      </c>
    </row>
    <row r="22" spans="1:19" hidden="1" x14ac:dyDescent="0.2">
      <c r="A22" s="252">
        <f>IFERROR(INDEX('RENCANA MINGGUAN'!$A$17:$A$610,$S22),"")</f>
        <v>6</v>
      </c>
      <c r="B22" s="252" t="str">
        <f>IFERROR(INDEX('RENCANA MINGGUAN'!$B$17:$B$610,$S22),"")</f>
        <v>27/08 - 02/09</v>
      </c>
      <c r="C22" s="252" t="str">
        <f>IFERROR(INDEX('RENCANA MINGGUAN'!$C$17:$C$610,$S22),"")</f>
        <v>D-2</v>
      </c>
      <c r="D22" s="253" t="str">
        <f>IFERROR(INDEX('RENCANA MINGGUAN'!$D$17:$D$610,$S22),"")</f>
        <v>Pekerjaan pasangan pagar precast sisi barat</v>
      </c>
      <c r="E22" s="254">
        <f>IFERROR(INDEX('RENCANA MINGGUAN'!$E$17:$E$610,$S22),"")</f>
        <v>0.90950218083707646</v>
      </c>
      <c r="F22" s="254">
        <f>IFERROR(INDEX('RENCANA MINGGUAN'!$F$17:$F$610,$S22),"")</f>
        <v>20</v>
      </c>
      <c r="G22" s="254">
        <f>IFERROR(INDEX('RENCANA MINGGUAN'!$G$17:$G$610,$S22),"")</f>
        <v>0.1819004361674153</v>
      </c>
      <c r="H22" s="254">
        <f>IFERROR(INDEX('RENCANA MINGGUAN'!$H$17:$H$610,$S22),"")</f>
        <v>20</v>
      </c>
      <c r="I22" s="254">
        <f>IFERROR(INDEX('RENCANA MINGGUAN'!$I$17:$I$610,$S22),"")</f>
        <v>0</v>
      </c>
      <c r="J22" s="254">
        <f>IFERROR(INDEX('RENCANA MINGGUAN'!$J$17:$J$610,$S22),"")</f>
        <v>100</v>
      </c>
      <c r="K22" s="252" t="str">
        <f t="array" ref="K22">IFERROR(IF(INDEX('RENCANA MINGGUAN'!$K$17:$K$160,$S22)=0,"",INDEX('RENCANA MINGGUAN'!$K$17:$K$160,$S22)),"")</f>
        <v/>
      </c>
      <c r="L22" s="252" t="str">
        <f t="array" ref="L22">IFERROR(IF(INDEX('RENCANA MINGGUAN'!$L$17:$L$160,$S22)=0,"",INDEX('RENCANA MINGGUAN'!$L$17:$L$160,$S22)),"")</f>
        <v/>
      </c>
      <c r="M22" s="252" t="str">
        <f t="array" ref="M22">IFERROR(IF(INDEX('RENCANA MINGGUAN'!$M$17:$M$160,$S22)=0,"",INDEX('RENCANA MINGGUAN'!$M$17:$M$160,$S22)),"")</f>
        <v/>
      </c>
      <c r="N22" s="252" t="str">
        <f>IFERROR(IF(INDEX('RENCANA MINGGUAN'!$N$17:$N$610,$S22)=0,"",INDEX('RENCANA MINGGUAN'!$N$17:$N$610,$S22)),"")</f>
        <v/>
      </c>
      <c r="O22" s="252" t="str">
        <f ca="1">IFERROR(INDEX('RENCANA MINGGUAN'!$O$17:$O$610,$S22),"")</f>
        <v>DELAYED</v>
      </c>
      <c r="P22" s="252" t="str">
        <f t="array" ref="P22">IFERROR(IF(INDEX('RENCANA MINGGUAN'!$P$17:$P$160,$S22)=0,"",INDEX('RENCANA MINGGUAN'!$P$17:$P$160,$S22)),"")</f>
        <v/>
      </c>
      <c r="S22">
        <f>IFERROR(MATCH(ROW()-16,'RENCANA MINGGUAN'!$Q$17:$Q$610,0),"")</f>
        <v>118</v>
      </c>
    </row>
    <row r="23" spans="1:19" hidden="1" x14ac:dyDescent="0.2">
      <c r="A23" s="252">
        <f>IFERROR(INDEX('RENCANA MINGGUAN'!$A$17:$A$610,$S23),"")</f>
        <v>6</v>
      </c>
      <c r="B23" s="252" t="str">
        <f>IFERROR(INDEX('RENCANA MINGGUAN'!$B$17:$B$610,$S23),"")</f>
        <v>27/08 - 02/09</v>
      </c>
      <c r="C23" s="252" t="str">
        <f>IFERROR(INDEX('RENCANA MINGGUAN'!$C$17:$C$610,$S23),"")</f>
        <v>G-1</v>
      </c>
      <c r="D23" s="253" t="str">
        <f>IFERROR(INDEX('RENCANA MINGGUAN'!$D$17:$D$610,$S23),"")</f>
        <v>Kansteen dan ban-banan area dalam taman</v>
      </c>
      <c r="E23" s="254">
        <f>IFERROR(INDEX('RENCANA MINGGUAN'!$E$17:$E$610,$S23),"")</f>
        <v>0.81867988148485082</v>
      </c>
      <c r="F23" s="254">
        <f>IFERROR(INDEX('RENCANA MINGGUAN'!$F$17:$F$610,$S23),"")</f>
        <v>14.285714285714286</v>
      </c>
      <c r="G23" s="254">
        <f>IFERROR(INDEX('RENCANA MINGGUAN'!$G$17:$G$610,$S23),"")</f>
        <v>0.11695426878355013</v>
      </c>
      <c r="H23" s="254">
        <f>IFERROR(INDEX('RENCANA MINGGUAN'!$H$17:$H$610,$S23),"")</f>
        <v>42.857142857142854</v>
      </c>
      <c r="I23" s="254">
        <f>IFERROR(INDEX('RENCANA MINGGUAN'!$I$17:$I$610,$S23),"")</f>
        <v>0</v>
      </c>
      <c r="J23" s="254">
        <f>IFERROR(INDEX('RENCANA MINGGUAN'!$J$17:$J$610,$S23),"")</f>
        <v>100</v>
      </c>
      <c r="K23" s="252" t="str">
        <f t="array" ref="K23">IFERROR(IF(INDEX('RENCANA MINGGUAN'!$K$17:$K$160,$S23)=0,"",INDEX('RENCANA MINGGUAN'!$K$17:$K$160,$S23)),"")</f>
        <v/>
      </c>
      <c r="L23" s="252" t="str">
        <f t="array" ref="L23">IFERROR(IF(INDEX('RENCANA MINGGUAN'!$L$17:$L$160,$S23)=0,"",INDEX('RENCANA MINGGUAN'!$L$17:$L$160,$S23)),"")</f>
        <v/>
      </c>
      <c r="M23" s="252" t="str">
        <f t="array" ref="M23">IFERROR(IF(INDEX('RENCANA MINGGUAN'!$M$17:$M$160,$S23)=0,"",INDEX('RENCANA MINGGUAN'!$M$17:$M$160,$S23)),"")</f>
        <v/>
      </c>
      <c r="N23" s="252" t="str">
        <f>IFERROR(IF(INDEX('RENCANA MINGGUAN'!$N$17:$N$610,$S23)=0,"",INDEX('RENCANA MINGGUAN'!$N$17:$N$610,$S23)),"")</f>
        <v/>
      </c>
      <c r="O23" s="252" t="str">
        <f ca="1">IFERROR(INDEX('RENCANA MINGGUAN'!$O$17:$O$610,$S23),"")</f>
        <v>DELAYED</v>
      </c>
      <c r="P23" s="252" t="str">
        <f t="array" ref="P23">IFERROR(IF(INDEX('RENCANA MINGGUAN'!$P$17:$P$160,$S23)=0,"",INDEX('RENCANA MINGGUAN'!$P$17:$P$160,$S23)),"")</f>
        <v/>
      </c>
      <c r="S23">
        <f>IFERROR(MATCH(ROW()-16,'RENCANA MINGGUAN'!$Q$17:$Q$610,0),"")</f>
        <v>121</v>
      </c>
    </row>
    <row r="24" spans="1:19" hidden="1" x14ac:dyDescent="0.2">
      <c r="A24" s="252">
        <f>IFERROR(INDEX('RENCANA MINGGUAN'!$A$17:$A$610,$S24),"")</f>
        <v>6</v>
      </c>
      <c r="B24" s="252" t="str">
        <f>IFERROR(INDEX('RENCANA MINGGUAN'!$B$17:$B$610,$S24),"")</f>
        <v>27/08 - 02/09</v>
      </c>
      <c r="C24" s="252" t="str">
        <f>IFERROR(INDEX('RENCANA MINGGUAN'!$C$17:$C$610,$S24),"")</f>
        <v>G-2</v>
      </c>
      <c r="D24" s="253" t="str">
        <f>IFERROR(INDEX('RENCANA MINGGUAN'!$D$17:$D$610,$S24),"")</f>
        <v>Instalasi penerangan lampu taman</v>
      </c>
      <c r="E24" s="254">
        <f>IFERROR(INDEX('RENCANA MINGGUAN'!$E$17:$E$610,$S24),"")</f>
        <v>0.13469842425055434</v>
      </c>
      <c r="F24" s="254">
        <f>IFERROR(INDEX('RENCANA MINGGUAN'!$F$17:$F$610,$S24),"")</f>
        <v>33.333333333333336</v>
      </c>
      <c r="G24" s="254">
        <f>IFERROR(INDEX('RENCANA MINGGUAN'!$G$17:$G$610,$S24),"")</f>
        <v>4.4899474750184784E-2</v>
      </c>
      <c r="H24" s="254">
        <f>IFERROR(INDEX('RENCANA MINGGUAN'!$H$17:$H$610,$S24),"")</f>
        <v>33.333333333333329</v>
      </c>
      <c r="I24" s="254">
        <f>IFERROR(INDEX('RENCANA MINGGUAN'!$I$17:$I$610,$S24),"")</f>
        <v>0</v>
      </c>
      <c r="J24" s="254">
        <f>IFERROR(INDEX('RENCANA MINGGUAN'!$J$17:$J$610,$S24),"")</f>
        <v>100</v>
      </c>
      <c r="K24" s="252" t="str">
        <f t="array" ref="K24">IFERROR(IF(INDEX('RENCANA MINGGUAN'!$K$17:$K$160,$S24)=0,"",INDEX('RENCANA MINGGUAN'!$K$17:$K$160,$S24)),"")</f>
        <v/>
      </c>
      <c r="L24" s="252" t="str">
        <f t="array" ref="L24">IFERROR(IF(INDEX('RENCANA MINGGUAN'!$L$17:$L$160,$S24)=0,"",INDEX('RENCANA MINGGUAN'!$L$17:$L$160,$S24)),"")</f>
        <v/>
      </c>
      <c r="M24" s="252" t="str">
        <f t="array" ref="M24">IFERROR(IF(INDEX('RENCANA MINGGUAN'!$M$17:$M$160,$S24)=0,"",INDEX('RENCANA MINGGUAN'!$M$17:$M$160,$S24)),"")</f>
        <v/>
      </c>
      <c r="N24" s="252" t="str">
        <f>IFERROR(IF(INDEX('RENCANA MINGGUAN'!$N$17:$N$610,$S24)=0,"",INDEX('RENCANA MINGGUAN'!$N$17:$N$610,$S24)),"")</f>
        <v/>
      </c>
      <c r="O24" s="252" t="str">
        <f ca="1">IFERROR(INDEX('RENCANA MINGGUAN'!$O$17:$O$610,$S24),"")</f>
        <v>CRITICAL</v>
      </c>
      <c r="P24" s="252" t="str">
        <f t="array" ref="P24">IFERROR(IF(INDEX('RENCANA MINGGUAN'!$P$17:$P$160,$S24)=0,"",INDEX('RENCANA MINGGUAN'!$P$17:$P$160,$S24)),"")</f>
        <v/>
      </c>
      <c r="S24">
        <f>IFERROR(MATCH(ROW()-16,'RENCANA MINGGUAN'!$Q$17:$Q$610,0),"")</f>
        <v>122</v>
      </c>
    </row>
    <row r="25" spans="1:19" hidden="1" x14ac:dyDescent="0.2">
      <c r="A25" s="252">
        <f>IFERROR(INDEX('RENCANA MINGGUAN'!$A$17:$A$610,$S25),"")</f>
        <v>6</v>
      </c>
      <c r="B25" s="252" t="str">
        <f>IFERROR(INDEX('RENCANA MINGGUAN'!$B$17:$B$610,$S25),"")</f>
        <v>27/08 - 02/09</v>
      </c>
      <c r="C25" s="252" t="str">
        <f>IFERROR(INDEX('RENCANA MINGGUAN'!$C$17:$C$610,$S25),"")</f>
        <v>H-1</v>
      </c>
      <c r="D25" s="253" t="str">
        <f>IFERROR(INDEX('RENCANA MINGGUAN'!$D$17:$D$610,$S25),"")</f>
        <v xml:space="preserve">Pengupasan aspal existing </v>
      </c>
      <c r="E25" s="254">
        <f>IFERROR(INDEX('RENCANA MINGGUAN'!$E$17:$E$610,$S25),"")</f>
        <v>3.3576108639397444</v>
      </c>
      <c r="F25" s="254">
        <f>IFERROR(INDEX('RENCANA MINGGUAN'!$F$17:$F$610,$S25),"")</f>
        <v>6.25</v>
      </c>
      <c r="G25" s="254">
        <f>IFERROR(INDEX('RENCANA MINGGUAN'!$G$17:$G$610,$S25),"")</f>
        <v>0.20985067899623402</v>
      </c>
      <c r="H25" s="254">
        <f>IFERROR(INDEX('RENCANA MINGGUAN'!$H$17:$H$610,$S25),"")</f>
        <v>37.5</v>
      </c>
      <c r="I25" s="254">
        <f>IFERROR(INDEX('RENCANA MINGGUAN'!$I$17:$I$610,$S25),"")</f>
        <v>0</v>
      </c>
      <c r="J25" s="254">
        <f>IFERROR(INDEX('RENCANA MINGGUAN'!$J$17:$J$610,$S25),"")</f>
        <v>100</v>
      </c>
      <c r="K25" s="252" t="str">
        <f t="array" ref="K25">IFERROR(IF(INDEX('RENCANA MINGGUAN'!$K$17:$K$160,$S25)=0,"",INDEX('RENCANA MINGGUAN'!$K$17:$K$160,$S25)),"")</f>
        <v/>
      </c>
      <c r="L25" s="252" t="str">
        <f t="array" ref="L25">IFERROR(IF(INDEX('RENCANA MINGGUAN'!$L$17:$L$160,$S25)=0,"",INDEX('RENCANA MINGGUAN'!$L$17:$L$160,$S25)),"")</f>
        <v/>
      </c>
      <c r="M25" s="252" t="str">
        <f t="array" ref="M25">IFERROR(IF(INDEX('RENCANA MINGGUAN'!$M$17:$M$160,$S25)=0,"",INDEX('RENCANA MINGGUAN'!$M$17:$M$160,$S25)),"")</f>
        <v/>
      </c>
      <c r="N25" s="252" t="str">
        <f>IFERROR(IF(INDEX('RENCANA MINGGUAN'!$N$17:$N$610,$S25)=0,"",INDEX('RENCANA MINGGUAN'!$N$17:$N$610,$S25)),"")</f>
        <v>Pak Jasmin</v>
      </c>
      <c r="O25" s="252" t="str">
        <f ca="1">IFERROR(INDEX('RENCANA MINGGUAN'!$O$17:$O$610,$S25),"")</f>
        <v>DELAYED</v>
      </c>
      <c r="P25" s="252" t="str">
        <f t="array" ref="P25">IFERROR(IF(INDEX('RENCANA MINGGUAN'!$P$17:$P$160,$S25)=0,"",INDEX('RENCANA MINGGUAN'!$P$17:$P$160,$S25)),"")</f>
        <v/>
      </c>
      <c r="S25">
        <f>IFERROR(MATCH(ROW()-16,'RENCANA MINGGUAN'!$Q$17:$Q$610,0),"")</f>
        <v>123</v>
      </c>
    </row>
    <row r="26" spans="1:19" hidden="1" x14ac:dyDescent="0.2">
      <c r="A26" s="252">
        <f>IFERROR(INDEX('RENCANA MINGGUAN'!$A$17:$A$610,$S26),"")</f>
        <v>6</v>
      </c>
      <c r="B26" s="252" t="str">
        <f>IFERROR(INDEX('RENCANA MINGGUAN'!$B$17:$B$610,$S26),"")</f>
        <v>27/08 - 02/09</v>
      </c>
      <c r="C26" s="252" t="str">
        <f>IFERROR(INDEX('RENCANA MINGGUAN'!$C$17:$C$610,$S26),"")</f>
        <v>H-2</v>
      </c>
      <c r="D26" s="253" t="str">
        <f>IFERROR(INDEX('RENCANA MINGGUAN'!$D$17:$D$610,$S26),"")</f>
        <v xml:space="preserve">Pengupasan beton existing </v>
      </c>
      <c r="E26" s="254">
        <f>IFERROR(INDEX('RENCANA MINGGUAN'!$E$17:$E$610,$S26),"")</f>
        <v>1.9430855312117006</v>
      </c>
      <c r="F26" s="254">
        <f>IFERROR(INDEX('RENCANA MINGGUAN'!$F$17:$F$610,$S26),"")</f>
        <v>6.25</v>
      </c>
      <c r="G26" s="254">
        <f>IFERROR(INDEX('RENCANA MINGGUAN'!$G$17:$G$610,$S26),"")</f>
        <v>0.12144284570073129</v>
      </c>
      <c r="H26" s="254">
        <f>IFERROR(INDEX('RENCANA MINGGUAN'!$H$17:$H$610,$S26),"")</f>
        <v>37.5</v>
      </c>
      <c r="I26" s="254">
        <f>IFERROR(INDEX('RENCANA MINGGUAN'!$I$17:$I$610,$S26),"")</f>
        <v>0</v>
      </c>
      <c r="J26" s="254">
        <f>IFERROR(INDEX('RENCANA MINGGUAN'!$J$17:$J$610,$S26),"")</f>
        <v>100</v>
      </c>
      <c r="K26" s="252" t="str">
        <f t="array" ref="K26">IFERROR(IF(INDEX('RENCANA MINGGUAN'!$K$17:$K$160,$S26)=0,"",INDEX('RENCANA MINGGUAN'!$K$17:$K$160,$S26)),"")</f>
        <v/>
      </c>
      <c r="L26" s="252" t="str">
        <f t="array" ref="L26">IFERROR(IF(INDEX('RENCANA MINGGUAN'!$L$17:$L$160,$S26)=0,"",INDEX('RENCANA MINGGUAN'!$L$17:$L$160,$S26)),"")</f>
        <v/>
      </c>
      <c r="M26" s="252" t="str">
        <f t="array" ref="M26">IFERROR(IF(INDEX('RENCANA MINGGUAN'!$M$17:$M$160,$S26)=0,"",INDEX('RENCANA MINGGUAN'!$M$17:$M$160,$S26)),"")</f>
        <v/>
      </c>
      <c r="N26" s="252" t="str">
        <f>IFERROR(IF(INDEX('RENCANA MINGGUAN'!$N$17:$N$610,$S26)=0,"",INDEX('RENCANA MINGGUAN'!$N$17:$N$610,$S26)),"")</f>
        <v>Pak Jasmin</v>
      </c>
      <c r="O26" s="252" t="str">
        <f ca="1">IFERROR(INDEX('RENCANA MINGGUAN'!$O$17:$O$610,$S26),"")</f>
        <v>DELAYED</v>
      </c>
      <c r="P26" s="252" t="str">
        <f t="array" ref="P26">IFERROR(IF(INDEX('RENCANA MINGGUAN'!$P$17:$P$160,$S26)=0,"",INDEX('RENCANA MINGGUAN'!$P$17:$P$160,$S26)),"")</f>
        <v/>
      </c>
      <c r="S26">
        <f>IFERROR(MATCH(ROW()-16,'RENCANA MINGGUAN'!$Q$17:$Q$610,0),"")</f>
        <v>124</v>
      </c>
    </row>
    <row r="27" spans="1:19" x14ac:dyDescent="0.2">
      <c r="A27" s="252">
        <f>IFERROR(INDEX('RENCANA MINGGUAN'!$A$17:$A$610,$S27),"")</f>
        <v>6</v>
      </c>
      <c r="B27" s="252" t="str">
        <f>IFERROR(INDEX('RENCANA MINGGUAN'!$B$17:$B$610,$S27),"")</f>
        <v>27/08 - 02/09</v>
      </c>
      <c r="C27" s="252" t="str">
        <f>IFERROR(INDEX('RENCANA MINGGUAN'!$C$17:$C$610,$S27),"")</f>
        <v>H-3</v>
      </c>
      <c r="D27" s="253" t="str">
        <f>IFERROR(INDEX('RENCANA MINGGUAN'!$D$17:$D$610,$S27),"")</f>
        <v>Pembuangan puing sewa truk</v>
      </c>
      <c r="E27" s="254">
        <f>IFERROR(INDEX('RENCANA MINGGUAN'!$E$17:$E$610,$S27),"")</f>
        <v>3.3766707549305637</v>
      </c>
      <c r="F27" s="254">
        <f>IFERROR(INDEX('RENCANA MINGGUAN'!$F$17:$F$610,$S27),"")</f>
        <v>6.25</v>
      </c>
      <c r="G27" s="254">
        <f>IFERROR(INDEX('RENCANA MINGGUAN'!$G$17:$G$610,$S27),"")</f>
        <v>0.21104192218316023</v>
      </c>
      <c r="H27" s="254">
        <f>IFERROR(INDEX('RENCANA MINGGUAN'!$H$17:$H$610,$S27),"")</f>
        <v>37.5</v>
      </c>
      <c r="I27" s="254">
        <f>IFERROR(INDEX('RENCANA MINGGUAN'!$I$17:$I$610,$S27),"")</f>
        <v>0</v>
      </c>
      <c r="J27" s="254">
        <f>IFERROR(INDEX('RENCANA MINGGUAN'!$J$17:$J$610,$S27),"")</f>
        <v>100</v>
      </c>
      <c r="K27" s="252" t="str">
        <f t="array" ref="K27">IFERROR(IF(INDEX('RENCANA MINGGUAN'!$K$17:$K$160,$S27)=0,"",INDEX('RENCANA MINGGUAN'!$K$17:$K$160,$S27)),"")</f>
        <v/>
      </c>
      <c r="L27" s="252" t="str">
        <f t="array" ref="L27">IFERROR(IF(INDEX('RENCANA MINGGUAN'!$L$17:$L$160,$S27)=0,"",INDEX('RENCANA MINGGUAN'!$L$17:$L$160,$S27)),"")</f>
        <v/>
      </c>
      <c r="M27" s="252" t="str">
        <f t="array" ref="M27">IFERROR(IF(INDEX('RENCANA MINGGUAN'!$M$17:$M$160,$S27)=0,"",INDEX('RENCANA MINGGUAN'!$M$17:$M$160,$S27)),"")</f>
        <v/>
      </c>
      <c r="N27" s="252" t="str">
        <f>IFERROR(IF(INDEX('RENCANA MINGGUAN'!$N$17:$N$610,$S27)=0,"",INDEX('RENCANA MINGGUAN'!$N$17:$N$610,$S27)),"")</f>
        <v>Pak Jasmin</v>
      </c>
      <c r="O27" s="252" t="str">
        <f ca="1">IFERROR(INDEX('RENCANA MINGGUAN'!$O$17:$O$610,$S27),"")</f>
        <v>DELAYED</v>
      </c>
      <c r="P27" s="252" t="str">
        <f t="array" ref="P27">IFERROR(IF(INDEX('RENCANA MINGGUAN'!$P$17:$P$160,$S27)=0,"",INDEX('RENCANA MINGGUAN'!$P$17:$P$160,$S27)),"")</f>
        <v/>
      </c>
      <c r="S27">
        <f>IFERROR(MATCH(ROW()-16,'RENCANA MINGGUAN'!$Q$17:$Q$610,0),"")</f>
        <v>125</v>
      </c>
    </row>
    <row r="28" spans="1:19" x14ac:dyDescent="0.2">
      <c r="A28" s="252">
        <f>IFERROR(INDEX('RENCANA MINGGUAN'!$A$17:$A$610,$S28),"")</f>
        <v>6</v>
      </c>
      <c r="B28" s="252" t="str">
        <f>IFERROR(INDEX('RENCANA MINGGUAN'!$B$17:$B$610,$S28),"")</f>
        <v>27/08 - 02/09</v>
      </c>
      <c r="C28" s="252" t="str">
        <f>IFERROR(INDEX('RENCANA MINGGUAN'!$C$17:$C$610,$S28),"")</f>
        <v>H-4</v>
      </c>
      <c r="D28" s="253" t="str">
        <f>IFERROR(INDEX('RENCANA MINGGUAN'!$D$17:$D$610,$S28),"")</f>
        <v>Besi 13 ulir , kotak 30x30cm</v>
      </c>
      <c r="E28" s="254">
        <f>IFERROR(INDEX('RENCANA MINGGUAN'!$E$17:$E$610,$S28),"")</f>
        <v>15.224105695407308</v>
      </c>
      <c r="F28" s="254">
        <f>IFERROR(INDEX('RENCANA MINGGUAN'!$F$17:$F$610,$S28),"")</f>
        <v>6.25</v>
      </c>
      <c r="G28" s="254">
        <f>IFERROR(INDEX('RENCANA MINGGUAN'!$G$17:$G$610,$S28),"")</f>
        <v>0.95150660596295678</v>
      </c>
      <c r="H28" s="254">
        <f>IFERROR(INDEX('RENCANA MINGGUAN'!$H$17:$H$610,$S28),"")</f>
        <v>37.5</v>
      </c>
      <c r="I28" s="254">
        <f>IFERROR(INDEX('RENCANA MINGGUAN'!$I$17:$I$610,$S28),"")</f>
        <v>0</v>
      </c>
      <c r="J28" s="254">
        <f>IFERROR(INDEX('RENCANA MINGGUAN'!$J$17:$J$610,$S28),"")</f>
        <v>100</v>
      </c>
      <c r="K28" s="252" t="str">
        <f t="array" ref="K28">IFERROR(IF(INDEX('RENCANA MINGGUAN'!$K$17:$K$160,$S28)=0,"",INDEX('RENCANA MINGGUAN'!$K$17:$K$160,$S28)),"")</f>
        <v/>
      </c>
      <c r="L28" s="252" t="str">
        <f t="array" ref="L28">IFERROR(IF(INDEX('RENCANA MINGGUAN'!$L$17:$L$160,$S28)=0,"",INDEX('RENCANA MINGGUAN'!$L$17:$L$160,$S28)),"")</f>
        <v/>
      </c>
      <c r="M28" s="252" t="str">
        <f t="array" ref="M28">IFERROR(IF(INDEX('RENCANA MINGGUAN'!$M$17:$M$160,$S28)=0,"",INDEX('RENCANA MINGGUAN'!$M$17:$M$160,$S28)),"")</f>
        <v/>
      </c>
      <c r="N28" s="252" t="str">
        <f>IFERROR(IF(INDEX('RENCANA MINGGUAN'!$N$17:$N$610,$S28)=0,"",INDEX('RENCANA MINGGUAN'!$N$17:$N$610,$S28)),"")</f>
        <v>Pak Jasmin</v>
      </c>
      <c r="O28" s="252" t="str">
        <f ca="1">IFERROR(INDEX('RENCANA MINGGUAN'!$O$17:$O$610,$S28),"")</f>
        <v>DELAYED</v>
      </c>
      <c r="P28" s="252" t="str">
        <f t="array" ref="P28">IFERROR(IF(INDEX('RENCANA MINGGUAN'!$P$17:$P$160,$S28)=0,"",INDEX('RENCANA MINGGUAN'!$P$17:$P$160,$S28)),"")</f>
        <v/>
      </c>
      <c r="S28">
        <f>IFERROR(MATCH(ROW()-16,'RENCANA MINGGUAN'!$Q$17:$Q$610,0),"")</f>
        <v>126</v>
      </c>
    </row>
    <row r="29" spans="1:19" x14ac:dyDescent="0.2">
      <c r="A29" s="252">
        <f>IFERROR(INDEX('RENCANA MINGGUAN'!$A$17:$A$610,$S29),"")</f>
        <v>6</v>
      </c>
      <c r="B29" s="252" t="str">
        <f>IFERROR(INDEX('RENCANA MINGGUAN'!$B$17:$B$610,$S29),"")</f>
        <v>27/08 - 02/09</v>
      </c>
      <c r="C29" s="252" t="str">
        <f>IFERROR(INDEX('RENCANA MINGGUAN'!$C$17:$C$610,$S29),"")</f>
        <v>H-5</v>
      </c>
      <c r="D29" s="253" t="str">
        <f>IFERROR(INDEX('RENCANA MINGGUAN'!$D$17:$D$610,$S29),"")</f>
        <v>Cor ready mix K-350 (tanpa trowel dan line cutting)</v>
      </c>
      <c r="E29" s="254">
        <f>IFERROR(INDEX('RENCANA MINGGUAN'!$E$17:$E$610,$S29),"")</f>
        <v>18.885237150790225</v>
      </c>
      <c r="F29" s="254">
        <f>IFERROR(INDEX('RENCANA MINGGUAN'!$F$17:$F$610,$S29),"")</f>
        <v>6.25</v>
      </c>
      <c r="G29" s="254">
        <f>IFERROR(INDEX('RENCANA MINGGUAN'!$G$17:$G$610,$S29),"")</f>
        <v>1.1803273219243891</v>
      </c>
      <c r="H29" s="254">
        <f>IFERROR(INDEX('RENCANA MINGGUAN'!$H$17:$H$610,$S29),"")</f>
        <v>37.5</v>
      </c>
      <c r="I29" s="254">
        <f>IFERROR(INDEX('RENCANA MINGGUAN'!$I$17:$I$610,$S29),"")</f>
        <v>0</v>
      </c>
      <c r="J29" s="254">
        <f>IFERROR(INDEX('RENCANA MINGGUAN'!$J$17:$J$610,$S29),"")</f>
        <v>100</v>
      </c>
      <c r="K29" s="252" t="str">
        <f t="array" ref="K29">IFERROR(IF(INDEX('RENCANA MINGGUAN'!$K$17:$K$160,$S29)=0,"",INDEX('RENCANA MINGGUAN'!$K$17:$K$160,$S29)),"")</f>
        <v/>
      </c>
      <c r="L29" s="252" t="str">
        <f t="array" ref="L29">IFERROR(IF(INDEX('RENCANA MINGGUAN'!$L$17:$L$160,$S29)=0,"",INDEX('RENCANA MINGGUAN'!$L$17:$L$160,$S29)),"")</f>
        <v/>
      </c>
      <c r="M29" s="252" t="str">
        <f t="array" ref="M29">IFERROR(IF(INDEX('RENCANA MINGGUAN'!$M$17:$M$160,$S29)=0,"",INDEX('RENCANA MINGGUAN'!$M$17:$M$160,$S29)),"")</f>
        <v/>
      </c>
      <c r="N29" s="252" t="str">
        <f>IFERROR(IF(INDEX('RENCANA MINGGUAN'!$N$17:$N$610,$S29)=0,"",INDEX('RENCANA MINGGUAN'!$N$17:$N$610,$S29)),"")</f>
        <v>Pak Jasmin</v>
      </c>
      <c r="O29" s="252" t="str">
        <f ca="1">IFERROR(INDEX('RENCANA MINGGUAN'!$O$17:$O$610,$S29),"")</f>
        <v>DELAYED</v>
      </c>
      <c r="P29" s="252" t="str">
        <f t="array" ref="P29">IFERROR(IF(INDEX('RENCANA MINGGUAN'!$P$17:$P$160,$S29)=0,"",INDEX('RENCANA MINGGUAN'!$P$17:$P$160,$S29)),"")</f>
        <v/>
      </c>
      <c r="S29">
        <f>IFERROR(MATCH(ROW()-16,'RENCANA MINGGUAN'!$Q$17:$Q$610,0),"")</f>
        <v>127</v>
      </c>
    </row>
    <row r="30" spans="1:19" x14ac:dyDescent="0.2">
      <c r="A30" s="252">
        <f>IFERROR(INDEX('RENCANA MINGGUAN'!$A$17:$A$610,$S30),"")</f>
        <v>6</v>
      </c>
      <c r="B30" s="252" t="str">
        <f>IFERROR(INDEX('RENCANA MINGGUAN'!$B$17:$B$610,$S30),"")</f>
        <v>27/08 - 02/09</v>
      </c>
      <c r="C30" s="252" t="str">
        <f>IFERROR(INDEX('RENCANA MINGGUAN'!$C$17:$C$610,$S30),"")</f>
        <v>J-1</v>
      </c>
      <c r="D30" s="253" t="str">
        <f>IFERROR(INDEX('RENCANA MINGGUAN'!$D$17:$D$610,$S30),"")</f>
        <v>Pekerjaan refinishing dinding pagar timur &amp; utara</v>
      </c>
      <c r="E30" s="254">
        <f>IFERROR(INDEX('RENCANA MINGGUAN'!$E$17:$E$610,$S30),"")</f>
        <v>1.0803504386044462</v>
      </c>
      <c r="F30" s="254">
        <f>IFERROR(INDEX('RENCANA MINGGUAN'!$F$17:$F$610,$S30),"")</f>
        <v>10</v>
      </c>
      <c r="G30" s="254">
        <f>IFERROR(INDEX('RENCANA MINGGUAN'!$G$17:$G$610,$S30),"")</f>
        <v>0.10803504386044463</v>
      </c>
      <c r="H30" s="254">
        <f>IFERROR(INDEX('RENCANA MINGGUAN'!$H$17:$H$610,$S30),"")</f>
        <v>20</v>
      </c>
      <c r="I30" s="254">
        <f>IFERROR(INDEX('RENCANA MINGGUAN'!$I$17:$I$610,$S30),"")</f>
        <v>0</v>
      </c>
      <c r="J30" s="254">
        <f>IFERROR(INDEX('RENCANA MINGGUAN'!$J$17:$J$610,$S30),"")</f>
        <v>100</v>
      </c>
      <c r="K30" s="252" t="str">
        <f t="array" ref="K30">IFERROR(IF(INDEX('RENCANA MINGGUAN'!$K$17:$K$160,$S30)=0,"",INDEX('RENCANA MINGGUAN'!$K$17:$K$160,$S30)),"")</f>
        <v/>
      </c>
      <c r="L30" s="252" t="str">
        <f t="array" ref="L30">IFERROR(IF(INDEX('RENCANA MINGGUAN'!$L$17:$L$160,$S30)=0,"",INDEX('RENCANA MINGGUAN'!$L$17:$L$160,$S30)),"")</f>
        <v/>
      </c>
      <c r="M30" s="252" t="str">
        <f t="array" ref="M30">IFERROR(IF(INDEX('RENCANA MINGGUAN'!$M$17:$M$160,$S30)=0,"",INDEX('RENCANA MINGGUAN'!$M$17:$M$160,$S30)),"")</f>
        <v/>
      </c>
      <c r="N30" s="252" t="str">
        <f>IFERROR(IF(INDEX('RENCANA MINGGUAN'!$N$17:$N$610,$S30)=0,"",INDEX('RENCANA MINGGUAN'!$N$17:$N$610,$S30)),"")</f>
        <v/>
      </c>
      <c r="O30" s="252" t="str">
        <f ca="1">IFERROR(INDEX('RENCANA MINGGUAN'!$O$17:$O$610,$S30),"")</f>
        <v>DELAYED</v>
      </c>
      <c r="P30" s="252" t="str">
        <f t="array" ref="P30">IFERROR(IF(INDEX('RENCANA MINGGUAN'!$P$17:$P$160,$S30)=0,"",INDEX('RENCANA MINGGUAN'!$P$17:$P$160,$S30)),"")</f>
        <v/>
      </c>
      <c r="S30">
        <f>IFERROR(MATCH(ROW()-16,'RENCANA MINGGUAN'!$Q$17:$Q$610,0),"")</f>
        <v>128</v>
      </c>
    </row>
    <row r="31" spans="1:19" x14ac:dyDescent="0.2">
      <c r="A31" s="252">
        <f>IFERROR(INDEX('RENCANA MINGGUAN'!$A$17:$A$610,$S31),"")</f>
        <v>6</v>
      </c>
      <c r="B31" s="252" t="str">
        <f>IFERROR(INDEX('RENCANA MINGGUAN'!$B$17:$B$610,$S31),"")</f>
        <v>27/08 - 02/09</v>
      </c>
      <c r="C31" s="252" t="str">
        <f>IFERROR(INDEX('RENCANA MINGGUAN'!$C$17:$C$610,$S31),"")</f>
        <v>J-2</v>
      </c>
      <c r="D31" s="253" t="str">
        <f>IFERROR(INDEX('RENCANA MINGGUAN'!$D$17:$D$610,$S31),"")</f>
        <v>Pekerjaan refinishing dinding barat</v>
      </c>
      <c r="E31" s="254">
        <f>IFERROR(INDEX('RENCANA MINGGUAN'!$E$17:$E$610,$S31),"")</f>
        <v>0.75906975261423504</v>
      </c>
      <c r="F31" s="254">
        <f>IFERROR(INDEX('RENCANA MINGGUAN'!$F$17:$F$610,$S31),"")</f>
        <v>10</v>
      </c>
      <c r="G31" s="254">
        <f>IFERROR(INDEX('RENCANA MINGGUAN'!$G$17:$G$610,$S31),"")</f>
        <v>7.5906975261423509E-2</v>
      </c>
      <c r="H31" s="254">
        <f>IFERROR(INDEX('RENCANA MINGGUAN'!$H$17:$H$610,$S31),"")</f>
        <v>20</v>
      </c>
      <c r="I31" s="254">
        <f>IFERROR(INDEX('RENCANA MINGGUAN'!$I$17:$I$610,$S31),"")</f>
        <v>0</v>
      </c>
      <c r="J31" s="254">
        <f>IFERROR(INDEX('RENCANA MINGGUAN'!$J$17:$J$610,$S31),"")</f>
        <v>100</v>
      </c>
      <c r="K31" s="252" t="str">
        <f t="array" ref="K31">IFERROR(IF(INDEX('RENCANA MINGGUAN'!$K$17:$K$160,$S31)=0,"",INDEX('RENCANA MINGGUAN'!$K$17:$K$160,$S31)),"")</f>
        <v/>
      </c>
      <c r="L31" s="252" t="str">
        <f t="array" ref="L31">IFERROR(IF(INDEX('RENCANA MINGGUAN'!$L$17:$L$160,$S31)=0,"",INDEX('RENCANA MINGGUAN'!$L$17:$L$160,$S31)),"")</f>
        <v/>
      </c>
      <c r="M31" s="252" t="str">
        <f t="array" ref="M31">IFERROR(IF(INDEX('RENCANA MINGGUAN'!$M$17:$M$160,$S31)=0,"",INDEX('RENCANA MINGGUAN'!$M$17:$M$160,$S31)),"")</f>
        <v/>
      </c>
      <c r="N31" s="252" t="str">
        <f>IFERROR(IF(INDEX('RENCANA MINGGUAN'!$N$17:$N$610,$S31)=0,"",INDEX('RENCANA MINGGUAN'!$N$17:$N$610,$S31)),"")</f>
        <v/>
      </c>
      <c r="O31" s="252" t="str">
        <f ca="1">IFERROR(INDEX('RENCANA MINGGUAN'!$O$17:$O$610,$S31),"")</f>
        <v>DELAYED</v>
      </c>
      <c r="P31" s="252" t="str">
        <f t="array" ref="P31">IFERROR(IF(INDEX('RENCANA MINGGUAN'!$P$17:$P$160,$S31)=0,"",INDEX('RENCANA MINGGUAN'!$P$17:$P$160,$S31)),"")</f>
        <v/>
      </c>
      <c r="S31">
        <f>IFERROR(MATCH(ROW()-16,'RENCANA MINGGUAN'!$Q$17:$Q$610,0),"")</f>
        <v>129</v>
      </c>
    </row>
    <row r="32" spans="1:19" x14ac:dyDescent="0.2">
      <c r="A32" s="252">
        <f>IFERROR(INDEX('RENCANA MINGGUAN'!$A$17:$A$610,$S32),"")</f>
        <v>6</v>
      </c>
      <c r="B32" s="252" t="str">
        <f>IFERROR(INDEX('RENCANA MINGGUAN'!$B$17:$B$610,$S32),"")</f>
        <v>27/08 - 02/09</v>
      </c>
      <c r="C32" s="252" t="str">
        <f>IFERROR(INDEX('RENCANA MINGGUAN'!$C$17:$C$610,$S32),"")</f>
        <v>K-13</v>
      </c>
      <c r="D32" s="253" t="str">
        <f>IFERROR(INDEX('RENCANA MINGGUAN'!$D$17:$D$610,$S32),"")</f>
        <v>Pondasi Struktur bengkel</v>
      </c>
      <c r="E32" s="254">
        <f>IFERROR(INDEX('RENCANA MINGGUAN'!$E$17:$E$610,$S32),"")</f>
        <v>0.19955322111193238</v>
      </c>
      <c r="F32" s="254">
        <f>IFERROR(INDEX('RENCANA MINGGUAN'!$F$17:$F$610,$S32),"")</f>
        <v>14.285714285714286</v>
      </c>
      <c r="G32" s="254">
        <f>IFERROR(INDEX('RENCANA MINGGUAN'!$G$17:$G$610,$S32),"")</f>
        <v>2.8507603015990344E-2</v>
      </c>
      <c r="H32" s="254">
        <f>IFERROR(INDEX('RENCANA MINGGUAN'!$H$17:$H$610,$S32),"")</f>
        <v>42.857142857142854</v>
      </c>
      <c r="I32" s="254">
        <f>IFERROR(INDEX('RENCANA MINGGUAN'!$I$17:$I$610,$S32),"")</f>
        <v>0</v>
      </c>
      <c r="J32" s="254">
        <f>IFERROR(INDEX('RENCANA MINGGUAN'!$J$17:$J$610,$S32),"")</f>
        <v>100</v>
      </c>
      <c r="K32" s="252" t="str">
        <f t="array" ref="K32">IFERROR(IF(INDEX('RENCANA MINGGUAN'!$K$17:$K$160,$S32)=0,"",INDEX('RENCANA MINGGUAN'!$K$17:$K$160,$S32)),"")</f>
        <v/>
      </c>
      <c r="L32" s="252" t="str">
        <f t="array" ref="L32">IFERROR(IF(INDEX('RENCANA MINGGUAN'!$L$17:$L$160,$S32)=0,"",INDEX('RENCANA MINGGUAN'!$L$17:$L$160,$S32)),"")</f>
        <v/>
      </c>
      <c r="M32" s="252" t="str">
        <f t="array" ref="M32">IFERROR(IF(INDEX('RENCANA MINGGUAN'!$M$17:$M$160,$S32)=0,"",INDEX('RENCANA MINGGUAN'!$M$17:$M$160,$S32)),"")</f>
        <v/>
      </c>
      <c r="N32" s="252" t="str">
        <f>IFERROR(IF(INDEX('RENCANA MINGGUAN'!$N$17:$N$610,$S32)=0,"",INDEX('RENCANA MINGGUAN'!$N$17:$N$610,$S32)),"")</f>
        <v/>
      </c>
      <c r="O32" s="252" t="str">
        <f ca="1">IFERROR(INDEX('RENCANA MINGGUAN'!$O$17:$O$610,$S32),"")</f>
        <v>DELAYED</v>
      </c>
      <c r="P32" s="252" t="str">
        <f t="array" ref="P32">IFERROR(IF(INDEX('RENCANA MINGGUAN'!$P$17:$P$160,$S32)=0,"",INDEX('RENCANA MINGGUAN'!$P$17:$P$160,$S32)),"")</f>
        <v/>
      </c>
      <c r="S32">
        <f>IFERROR(MATCH(ROW()-16,'RENCANA MINGGUAN'!$Q$17:$Q$610,0),"")</f>
        <v>140</v>
      </c>
    </row>
    <row r="33" spans="1:19" x14ac:dyDescent="0.2">
      <c r="A33" s="255">
        <f>IFERROR(INDEX('RENCANA MINGGUAN'!$A$17:$A$610,$S33),"")</f>
        <v>6</v>
      </c>
      <c r="B33" s="255" t="str">
        <f>IFERROR(INDEX('RENCANA MINGGUAN'!$B$17:$B$610,$S33),"")</f>
        <v>27/08 - 02/09</v>
      </c>
      <c r="C33" s="255" t="str">
        <f>IFERROR(INDEX('RENCANA MINGGUAN'!$C$17:$C$610,$S33),"")</f>
        <v>K-14</v>
      </c>
      <c r="D33" s="255" t="str">
        <f>IFERROR(INDEX('RENCANA MINGGUAN'!$D$17:$D$610,$S33),"")</f>
        <v>Atap bengkel dan cucian mobil</v>
      </c>
      <c r="E33" s="256">
        <f>IFERROR(INDEX('RENCANA MINGGUAN'!$E$17:$E$610,$S33),"")</f>
        <v>1.4215864467058505</v>
      </c>
      <c r="F33" s="256">
        <f>IFERROR(INDEX('RENCANA MINGGUAN'!$F$17:$F$610,$S33),"")</f>
        <v>14.285714285714286</v>
      </c>
      <c r="G33" s="256">
        <f>IFERROR(INDEX('RENCANA MINGGUAN'!$G$17:$G$610,$S33),"")</f>
        <v>0.20308377810083583</v>
      </c>
      <c r="H33" s="256">
        <f>IFERROR(INDEX('RENCANA MINGGUAN'!$H$17:$H$610,$S33),"")</f>
        <v>42.857142857142854</v>
      </c>
      <c r="I33" s="256">
        <f>IFERROR(INDEX('RENCANA MINGGUAN'!$I$17:$I$610,$S33),"")</f>
        <v>0</v>
      </c>
      <c r="J33" s="256">
        <f>IFERROR(INDEX('RENCANA MINGGUAN'!$J$17:$J$610,$S33),"")</f>
        <v>100</v>
      </c>
      <c r="K33" s="255"/>
      <c r="L33" s="255"/>
      <c r="M33" s="255"/>
      <c r="N33" s="255" t="str">
        <f>IFERROR(IF(INDEX('RENCANA MINGGUAN'!$N$17:$N$610,$S33)=0,"",INDEX('RENCANA MINGGUAN'!$N$17:$N$610,$S33)),"")</f>
        <v/>
      </c>
      <c r="O33" s="255" t="str">
        <f ca="1">IFERROR(INDEX('RENCANA MINGGUAN'!$O$17:$O$610,$S33),"")</f>
        <v>DELAYED</v>
      </c>
      <c r="P33" s="255"/>
      <c r="S33">
        <f>IFERROR(MATCH(ROW()-16,'RENCANA MINGGUAN'!$Q$17:$Q$610,0),"")</f>
        <v>141</v>
      </c>
    </row>
    <row r="34" spans="1:19" x14ac:dyDescent="0.2">
      <c r="A34" s="255">
        <f>IFERROR(INDEX('RENCANA MINGGUAN'!$A$17:$A$610,$S34),"")</f>
        <v>6</v>
      </c>
      <c r="B34" s="255" t="str">
        <f>IFERROR(INDEX('RENCANA MINGGUAN'!$B$17:$B$610,$S34),"")</f>
        <v>27/08 - 02/09</v>
      </c>
      <c r="C34" s="255" t="str">
        <f>IFERROR(INDEX('RENCANA MINGGUAN'!$C$17:$C$610,$S34),"")</f>
        <v>K-15</v>
      </c>
      <c r="D34" s="255" t="str">
        <f>IFERROR(INDEX('RENCANA MINGGUAN'!$D$17:$D$610,$S34),"")</f>
        <v>Instalasi air bersih ke arah bengkel</v>
      </c>
      <c r="E34" s="256">
        <f>IFERROR(INDEX('RENCANA MINGGUAN'!$E$17:$E$610,$S34),"")</f>
        <v>0.14531567896356101</v>
      </c>
      <c r="F34" s="256">
        <f>IFERROR(INDEX('RENCANA MINGGUAN'!$F$17:$F$610,$S34),"")</f>
        <v>14.285714285714286</v>
      </c>
      <c r="G34" s="256">
        <f>IFERROR(INDEX('RENCANA MINGGUAN'!$G$17:$G$610,$S34),"")</f>
        <v>2.0759382709080149E-2</v>
      </c>
      <c r="H34" s="256">
        <f>IFERROR(INDEX('RENCANA MINGGUAN'!$H$17:$H$610,$S34),"")</f>
        <v>42.857142857142854</v>
      </c>
      <c r="I34" s="256">
        <f>IFERROR(INDEX('RENCANA MINGGUAN'!$I$17:$I$610,$S34),"")</f>
        <v>0</v>
      </c>
      <c r="J34" s="256">
        <f>IFERROR(INDEX('RENCANA MINGGUAN'!$J$17:$J$610,$S34),"")</f>
        <v>100</v>
      </c>
      <c r="K34" s="255"/>
      <c r="L34" s="255"/>
      <c r="M34" s="255"/>
      <c r="N34" s="255" t="str">
        <f>IFERROR(IF(INDEX('RENCANA MINGGUAN'!$N$17:$N$610,$S34)=0,"",INDEX('RENCANA MINGGUAN'!$N$17:$N$610,$S34)),"")</f>
        <v/>
      </c>
      <c r="O34" s="255" t="str">
        <f ca="1">IFERROR(INDEX('RENCANA MINGGUAN'!$O$17:$O$610,$S34),"")</f>
        <v>DELAYED</v>
      </c>
      <c r="P34" s="255"/>
      <c r="S34">
        <f>IFERROR(MATCH(ROW()-16,'RENCANA MINGGUAN'!$Q$17:$Q$610,0),"")</f>
        <v>142</v>
      </c>
    </row>
    <row r="35" spans="1:19" x14ac:dyDescent="0.2">
      <c r="A35" s="255">
        <f>IFERROR(INDEX('RENCANA MINGGUAN'!$A$17:$A$610,$S35),"")</f>
        <v>6</v>
      </c>
      <c r="B35" s="255" t="str">
        <f>IFERROR(INDEX('RENCANA MINGGUAN'!$B$17:$B$610,$S35),"")</f>
        <v>27/08 - 02/09</v>
      </c>
      <c r="C35" s="255" t="str">
        <f>IFERROR(INDEX('RENCANA MINGGUAN'!$C$17:$C$610,$S35),"")</f>
        <v>L-1</v>
      </c>
      <c r="D35" s="255" t="str">
        <f>IFERROR(INDEX('RENCANA MINGGUAN'!$D$17:$D$610,$S35),"")</f>
        <v>Pemadatan dan peninggian lantai ex. Taman samping</v>
      </c>
      <c r="E35" s="256">
        <f>IFERROR(INDEX('RENCANA MINGGUAN'!$E$17:$E$610,$S35),"")</f>
        <v>0.51167492592803177</v>
      </c>
      <c r="F35" s="256">
        <f>IFERROR(INDEX('RENCANA MINGGUAN'!$F$17:$F$610,$S35),"")</f>
        <v>16.666666666666668</v>
      </c>
      <c r="G35" s="256">
        <f>IFERROR(INDEX('RENCANA MINGGUAN'!$G$17:$G$610,$S35),"")</f>
        <v>8.5279154321338632E-2</v>
      </c>
      <c r="H35" s="256">
        <f>IFERROR(INDEX('RENCANA MINGGUAN'!$H$17:$H$610,$S35),"")</f>
        <v>50</v>
      </c>
      <c r="I35" s="256">
        <f>IFERROR(INDEX('RENCANA MINGGUAN'!$I$17:$I$610,$S35),"")</f>
        <v>0</v>
      </c>
      <c r="J35" s="256">
        <f>IFERROR(INDEX('RENCANA MINGGUAN'!$J$17:$J$610,$S35),"")</f>
        <v>100</v>
      </c>
      <c r="K35" s="255"/>
      <c r="L35" s="255"/>
      <c r="M35" s="255"/>
      <c r="N35" s="255" t="str">
        <f>IFERROR(IF(INDEX('RENCANA MINGGUAN'!$N$17:$N$610,$S35)=0,"",INDEX('RENCANA MINGGUAN'!$N$17:$N$610,$S35)),"")</f>
        <v/>
      </c>
      <c r="O35" s="255" t="str">
        <f ca="1">IFERROR(INDEX('RENCANA MINGGUAN'!$O$17:$O$610,$S35),"")</f>
        <v>CRITICAL</v>
      </c>
      <c r="P35" s="255"/>
      <c r="S35">
        <f>IFERROR(MATCH(ROW()-16,'RENCANA MINGGUAN'!$Q$17:$Q$610,0),"")</f>
        <v>143</v>
      </c>
    </row>
    <row r="36" spans="1:19" x14ac:dyDescent="0.2">
      <c r="A36" s="255">
        <f>IFERROR(INDEX('RENCANA MINGGUAN'!$A$17:$A$610,$S36),"")</f>
        <v>6</v>
      </c>
      <c r="B36" s="255" t="str">
        <f>IFERROR(INDEX('RENCANA MINGGUAN'!$B$17:$B$610,$S36),"")</f>
        <v>27/08 - 02/09</v>
      </c>
      <c r="C36" s="255" t="str">
        <f>IFERROR(INDEX('RENCANA MINGGUAN'!$C$17:$C$610,$S36),"")</f>
        <v>L-3</v>
      </c>
      <c r="D36" s="255" t="str">
        <f>IFERROR(INDEX('RENCANA MINGGUAN'!$D$17:$D$610,$S36),"")</f>
        <v>Pekerjaan got samping</v>
      </c>
      <c r="E36" s="256">
        <f>IFERROR(INDEX('RENCANA MINGGUAN'!$E$17:$E$610,$S36),"")</f>
        <v>0</v>
      </c>
      <c r="F36" s="256">
        <f>IFERROR(INDEX('RENCANA MINGGUAN'!$F$17:$F$610,$S36),"")</f>
        <v>16.666666666666668</v>
      </c>
      <c r="G36" s="256">
        <f>IFERROR(INDEX('RENCANA MINGGUAN'!$G$17:$G$610,$S36),"")</f>
        <v>0</v>
      </c>
      <c r="H36" s="256">
        <f>IFERROR(INDEX('RENCANA MINGGUAN'!$H$17:$H$610,$S36),"")</f>
        <v>50</v>
      </c>
      <c r="I36" s="256">
        <f>IFERROR(INDEX('RENCANA MINGGUAN'!$I$17:$I$610,$S36),"")</f>
        <v>0</v>
      </c>
      <c r="J36" s="256">
        <f>IFERROR(INDEX('RENCANA MINGGUAN'!$J$17:$J$610,$S36),"")</f>
        <v>100</v>
      </c>
      <c r="K36" s="255"/>
      <c r="L36" s="255"/>
      <c r="M36" s="255"/>
      <c r="N36" s="255" t="str">
        <f>IFERROR(IF(INDEX('RENCANA MINGGUAN'!$N$17:$N$610,$S36)=0,"",INDEX('RENCANA MINGGUAN'!$N$17:$N$610,$S36)),"")</f>
        <v/>
      </c>
      <c r="O36" s="255" t="str">
        <f ca="1">IFERROR(INDEX('RENCANA MINGGUAN'!$O$17:$O$610,$S36),"")</f>
        <v>CRITICAL</v>
      </c>
      <c r="P36" s="255"/>
      <c r="S36">
        <f>IFERROR(MATCH(ROW()-16,'RENCANA MINGGUAN'!$Q$17:$Q$610,0),"")</f>
        <v>145</v>
      </c>
    </row>
    <row r="37" spans="1:19" x14ac:dyDescent="0.2">
      <c r="A37" s="255">
        <f>IFERROR(INDEX('RENCANA MINGGUAN'!$A$17:$A$610,$S37),"")</f>
        <v>6</v>
      </c>
      <c r="B37" s="255" t="str">
        <f>IFERROR(INDEX('RENCANA MINGGUAN'!$B$17:$B$610,$S37),"")</f>
        <v>27/08 - 02/09</v>
      </c>
      <c r="C37" s="255" t="str">
        <f>IFERROR(INDEX('RENCANA MINGGUAN'!$C$17:$C$610,$S37),"")</f>
        <v>L-4</v>
      </c>
      <c r="D37" s="255" t="str">
        <f>IFERROR(INDEX('RENCANA MINGGUAN'!$D$17:$D$610,$S37),"")</f>
        <v>Refinishing saluran</v>
      </c>
      <c r="E37" s="256">
        <f>IFERROR(INDEX('RENCANA MINGGUAN'!$E$17:$E$610,$S37),"")</f>
        <v>0.85193875167017286</v>
      </c>
      <c r="F37" s="256">
        <f>IFERROR(INDEX('RENCANA MINGGUAN'!$F$17:$F$610,$S37),"")</f>
        <v>14.285714285714286</v>
      </c>
      <c r="G37" s="256">
        <f>IFERROR(INDEX('RENCANA MINGGUAN'!$G$17:$G$610,$S37),"")</f>
        <v>0.12170553595288186</v>
      </c>
      <c r="H37" s="256">
        <f>IFERROR(INDEX('RENCANA MINGGUAN'!$H$17:$H$610,$S37),"")</f>
        <v>42.857142857142854</v>
      </c>
      <c r="I37" s="256">
        <f>IFERROR(INDEX('RENCANA MINGGUAN'!$I$17:$I$610,$S37),"")</f>
        <v>0</v>
      </c>
      <c r="J37" s="256">
        <f>IFERROR(INDEX('RENCANA MINGGUAN'!$J$17:$J$610,$S37),"")</f>
        <v>100</v>
      </c>
      <c r="K37" s="255"/>
      <c r="L37" s="255"/>
      <c r="M37" s="255"/>
      <c r="N37" s="255" t="str">
        <f>IFERROR(IF(INDEX('RENCANA MINGGUAN'!$N$17:$N$610,$S37)=0,"",INDEX('RENCANA MINGGUAN'!$N$17:$N$610,$S37)),"")</f>
        <v/>
      </c>
      <c r="O37" s="255" t="str">
        <f ca="1">IFERROR(INDEX('RENCANA MINGGUAN'!$O$17:$O$610,$S37),"")</f>
        <v>DELAYED</v>
      </c>
      <c r="P37" s="255"/>
      <c r="S37">
        <f>IFERROR(MATCH(ROW()-16,'RENCANA MINGGUAN'!$Q$17:$Q$610,0),"")</f>
        <v>146</v>
      </c>
    </row>
    <row r="38" spans="1:19" x14ac:dyDescent="0.2">
      <c r="A38" s="255">
        <f>IFERROR(INDEX('RENCANA MINGGUAN'!$A$17:$A$610,$S38),"")</f>
        <v>6</v>
      </c>
      <c r="B38" s="255" t="str">
        <f>IFERROR(INDEX('RENCANA MINGGUAN'!$B$17:$B$610,$S38),"")</f>
        <v>27/08 - 02/09</v>
      </c>
      <c r="C38" s="255" t="str">
        <f>IFERROR(INDEX('RENCANA MINGGUAN'!$C$17:$C$610,$S38),"")</f>
        <v>L-5</v>
      </c>
      <c r="D38" s="255" t="str">
        <f>IFERROR(INDEX('RENCANA MINGGUAN'!$D$17:$D$610,$S38),"")</f>
        <v>Pembuatan dinding batu kali</v>
      </c>
      <c r="E38" s="256">
        <f>IFERROR(INDEX('RENCANA MINGGUAN'!$E$17:$E$610,$S38),"")</f>
        <v>0.61400991111363812</v>
      </c>
      <c r="F38" s="256">
        <f>IFERROR(INDEX('RENCANA MINGGUAN'!$F$17:$F$610,$S38),"")</f>
        <v>14.285714285714286</v>
      </c>
      <c r="G38" s="256">
        <f>IFERROR(INDEX('RENCANA MINGGUAN'!$G$17:$G$610,$S38),"")</f>
        <v>8.7715701587662606E-2</v>
      </c>
      <c r="H38" s="256">
        <f>IFERROR(INDEX('RENCANA MINGGUAN'!$H$17:$H$610,$S38),"")</f>
        <v>42.857142857142854</v>
      </c>
      <c r="I38" s="256">
        <f>IFERROR(INDEX('RENCANA MINGGUAN'!$I$17:$I$610,$S38),"")</f>
        <v>0</v>
      </c>
      <c r="J38" s="256">
        <f>IFERROR(INDEX('RENCANA MINGGUAN'!$J$17:$J$610,$S38),"")</f>
        <v>100</v>
      </c>
      <c r="K38" s="255"/>
      <c r="L38" s="255"/>
      <c r="M38" s="255"/>
      <c r="N38" s="255" t="str">
        <f>IFERROR(IF(INDEX('RENCANA MINGGUAN'!$N$17:$N$610,$S38)=0,"",INDEX('RENCANA MINGGUAN'!$N$17:$N$610,$S38)),"")</f>
        <v/>
      </c>
      <c r="O38" s="255" t="str">
        <f ca="1">IFERROR(INDEX('RENCANA MINGGUAN'!$O$17:$O$610,$S38),"")</f>
        <v>DELAYED</v>
      </c>
      <c r="P38" s="255"/>
      <c r="S38">
        <f>IFERROR(MATCH(ROW()-16,'RENCANA MINGGUAN'!$Q$17:$Q$610,0),"")</f>
        <v>147</v>
      </c>
    </row>
    <row r="39" spans="1:19" x14ac:dyDescent="0.2">
      <c r="A39" s="255">
        <f>IFERROR(INDEX('RENCANA MINGGUAN'!$A$17:$A$610,$S39),"")</f>
        <v>6</v>
      </c>
      <c r="B39" s="255" t="str">
        <f>IFERROR(INDEX('RENCANA MINGGUAN'!$B$17:$B$610,$S39),"")</f>
        <v>27/08 - 02/09</v>
      </c>
      <c r="C39" s="255" t="str">
        <f>IFERROR(INDEX('RENCANA MINGGUAN'!$C$17:$C$610,$S39),"")</f>
        <v>III-B-1</v>
      </c>
      <c r="D39" s="255" t="str">
        <f>IFERROR(INDEX('RENCANA MINGGUAN'!$D$17:$D$610,$S39),"")</f>
        <v>Galian tanah dan langsir</v>
      </c>
      <c r="E39" s="256">
        <f>IFERROR(INDEX('RENCANA MINGGUAN'!$E$17:$E$610,$S39),"")</f>
        <v>1.2970959372275603E-2</v>
      </c>
      <c r="F39" s="256">
        <f>IFERROR(INDEX('RENCANA MINGGUAN'!$F$17:$F$610,$S39),"")</f>
        <v>50</v>
      </c>
      <c r="G39" s="256">
        <f>IFERROR(INDEX('RENCANA MINGGUAN'!$G$17:$G$610,$S39),"")</f>
        <v>6.4854796861378017E-3</v>
      </c>
      <c r="H39" s="256">
        <f>IFERROR(INDEX('RENCANA MINGGUAN'!$H$17:$H$610,$S39),"")</f>
        <v>100</v>
      </c>
      <c r="I39" s="256">
        <f>IFERROR(INDEX('RENCANA MINGGUAN'!$I$17:$I$610,$S39),"")</f>
        <v>0</v>
      </c>
      <c r="J39" s="256">
        <f>IFERROR(INDEX('RENCANA MINGGUAN'!$J$17:$J$610,$S39),"")</f>
        <v>100</v>
      </c>
      <c r="K39" s="255"/>
      <c r="L39" s="255"/>
      <c r="M39" s="255"/>
      <c r="N39" s="255" t="str">
        <f>IFERROR(IF(INDEX('RENCANA MINGGUAN'!$N$17:$N$610,$S39)=0,"",INDEX('RENCANA MINGGUAN'!$N$17:$N$610,$S39)),"")</f>
        <v/>
      </c>
      <c r="O39" s="255" t="str">
        <f ca="1">IFERROR(INDEX('RENCANA MINGGUAN'!$O$17:$O$610,$S39),"")</f>
        <v>CRITICAL</v>
      </c>
      <c r="P39" s="255"/>
      <c r="S39">
        <f>IFERROR(MATCH(ROW()-16,'RENCANA MINGGUAN'!$Q$17:$Q$610,0),"")</f>
        <v>149</v>
      </c>
    </row>
    <row r="40" spans="1:19" x14ac:dyDescent="0.2">
      <c r="A40" s="255">
        <f>IFERROR(INDEX('RENCANA MINGGUAN'!$A$17:$A$610,$S40),"")</f>
        <v>6</v>
      </c>
      <c r="B40" s="255" t="str">
        <f>IFERROR(INDEX('RENCANA MINGGUAN'!$B$17:$B$610,$S40),"")</f>
        <v>27/08 - 02/09</v>
      </c>
      <c r="C40" s="255" t="str">
        <f>IFERROR(INDEX('RENCANA MINGGUAN'!$C$17:$C$610,$S40),"")</f>
        <v>III-B-2</v>
      </c>
      <c r="D40" s="255" t="str">
        <f>IFERROR(INDEX('RENCANA MINGGUAN'!$D$17:$D$610,$S40),"")</f>
        <v>urugan kembali dan pemadatan tanah</v>
      </c>
      <c r="E40" s="256">
        <f>IFERROR(INDEX('RENCANA MINGGUAN'!$E$17:$E$610,$S40),"")</f>
        <v>1.995532211119324E-2</v>
      </c>
      <c r="F40" s="256">
        <f>IFERROR(INDEX('RENCANA MINGGUAN'!$F$17:$F$610,$S40),"")</f>
        <v>50</v>
      </c>
      <c r="G40" s="256">
        <f>IFERROR(INDEX('RENCANA MINGGUAN'!$G$17:$G$610,$S40),"")</f>
        <v>9.9776610555966198E-3</v>
      </c>
      <c r="H40" s="256">
        <f>IFERROR(INDEX('RENCANA MINGGUAN'!$H$17:$H$610,$S40),"")</f>
        <v>100</v>
      </c>
      <c r="I40" s="256">
        <f>IFERROR(INDEX('RENCANA MINGGUAN'!$I$17:$I$610,$S40),"")</f>
        <v>0</v>
      </c>
      <c r="J40" s="256">
        <f>IFERROR(INDEX('RENCANA MINGGUAN'!$J$17:$J$610,$S40),"")</f>
        <v>100</v>
      </c>
      <c r="K40" s="255"/>
      <c r="L40" s="255"/>
      <c r="M40" s="255"/>
      <c r="N40" s="255" t="str">
        <f>IFERROR(IF(INDEX('RENCANA MINGGUAN'!$N$17:$N$610,$S40)=0,"",INDEX('RENCANA MINGGUAN'!$N$17:$N$610,$S40)),"")</f>
        <v/>
      </c>
      <c r="O40" s="255" t="str">
        <f ca="1">IFERROR(INDEX('RENCANA MINGGUAN'!$O$17:$O$610,$S40),"")</f>
        <v>CRITICAL</v>
      </c>
      <c r="P40" s="255"/>
      <c r="S40">
        <f>IFERROR(MATCH(ROW()-16,'RENCANA MINGGUAN'!$Q$17:$Q$610,0),"")</f>
        <v>216</v>
      </c>
    </row>
    <row r="41" spans="1:19" x14ac:dyDescent="0.2">
      <c r="A41" s="255">
        <f>IFERROR(INDEX('RENCANA MINGGUAN'!$A$17:$A$610,$S41),"")</f>
        <v>6</v>
      </c>
      <c r="B41" s="255" t="str">
        <f>IFERROR(INDEX('RENCANA MINGGUAN'!$B$17:$B$610,$S41),"")</f>
        <v>27/08 - 02/09</v>
      </c>
      <c r="C41" s="255" t="str">
        <f>IFERROR(INDEX('RENCANA MINGGUAN'!$C$17:$C$610,$S41),"")</f>
        <v>III-B-3</v>
      </c>
      <c r="D41" s="255" t="str">
        <f>IFERROR(INDEX('RENCANA MINGGUAN'!$D$17:$D$610,$S41),"")</f>
        <v>Cor lantai 8cm</v>
      </c>
      <c r="E41" s="256">
        <f>IFERROR(INDEX('RENCANA MINGGUAN'!$E$17:$E$610,$S41),"")</f>
        <v>0.49120792889091047</v>
      </c>
      <c r="F41" s="256">
        <f>IFERROR(INDEX('RENCANA MINGGUAN'!$F$17:$F$610,$S41),"")</f>
        <v>33.333333333333336</v>
      </c>
      <c r="G41" s="256">
        <f>IFERROR(INDEX('RENCANA MINGGUAN'!$G$17:$G$610,$S41),"")</f>
        <v>0.16373597629697018</v>
      </c>
      <c r="H41" s="256">
        <f>IFERROR(INDEX('RENCANA MINGGUAN'!$H$17:$H$610,$S41),"")</f>
        <v>33.333333333333329</v>
      </c>
      <c r="I41" s="256">
        <f>IFERROR(INDEX('RENCANA MINGGUAN'!$I$17:$I$610,$S41),"")</f>
        <v>0</v>
      </c>
      <c r="J41" s="256">
        <f>IFERROR(INDEX('RENCANA MINGGUAN'!$J$17:$J$610,$S41),"")</f>
        <v>100</v>
      </c>
      <c r="K41" s="255"/>
      <c r="L41" s="255"/>
      <c r="M41" s="255"/>
      <c r="N41" s="255" t="str">
        <f>IFERROR(IF(INDEX('RENCANA MINGGUAN'!$N$17:$N$610,$S41)=0,"",INDEX('RENCANA MINGGUAN'!$N$17:$N$610,$S41)),"")</f>
        <v/>
      </c>
      <c r="O41" s="255" t="str">
        <f ca="1">IFERROR(INDEX('RENCANA MINGGUAN'!$O$17:$O$610,$S41),"")</f>
        <v>CRITICAL</v>
      </c>
      <c r="P41" s="255"/>
      <c r="S41">
        <f>IFERROR(MATCH(ROW()-16,'RENCANA MINGGUAN'!$Q$17:$Q$610,0),"")</f>
        <v>217</v>
      </c>
    </row>
    <row r="42" spans="1:19" x14ac:dyDescent="0.2">
      <c r="A42" s="255">
        <f>IFERROR(INDEX('RENCANA MINGGUAN'!$A$17:$A$610,$S42),"")</f>
        <v>6</v>
      </c>
      <c r="B42" s="255" t="str">
        <f>IFERROR(INDEX('RENCANA MINGGUAN'!$B$17:$B$610,$S42),"")</f>
        <v>27/08 - 02/09</v>
      </c>
      <c r="C42" s="255" t="str">
        <f>IFERROR(INDEX('RENCANA MINGGUAN'!$C$17:$C$610,$S42),"")</f>
        <v>III-B-4</v>
      </c>
      <c r="D42" s="255" t="str">
        <f>IFERROR(INDEX('RENCANA MINGGUAN'!$D$17:$D$610,$S42),"")</f>
        <v>bekesting</v>
      </c>
      <c r="E42" s="256">
        <f>IFERROR(INDEX('RENCANA MINGGUAN'!$E$17:$E$610,$S42),"")</f>
        <v>3.3258870185322066E-2</v>
      </c>
      <c r="F42" s="256">
        <f>IFERROR(INDEX('RENCANA MINGGUAN'!$F$17:$F$610,$S42),"")</f>
        <v>25</v>
      </c>
      <c r="G42" s="256">
        <f>IFERROR(INDEX('RENCANA MINGGUAN'!$G$17:$G$610,$S42),"")</f>
        <v>8.3147175463305165E-3</v>
      </c>
      <c r="H42" s="256">
        <f>IFERROR(INDEX('RENCANA MINGGUAN'!$H$17:$H$610,$S42),"")</f>
        <v>50</v>
      </c>
      <c r="I42" s="256">
        <f>IFERROR(INDEX('RENCANA MINGGUAN'!$I$17:$I$610,$S42),"")</f>
        <v>0</v>
      </c>
      <c r="J42" s="256">
        <f>IFERROR(INDEX('RENCANA MINGGUAN'!$J$17:$J$610,$S42),"")</f>
        <v>100</v>
      </c>
      <c r="K42" s="255"/>
      <c r="L42" s="255"/>
      <c r="M42" s="255"/>
      <c r="N42" s="255" t="str">
        <f>IFERROR(IF(INDEX('RENCANA MINGGUAN'!$N$17:$N$610,$S42)=0,"",INDEX('RENCANA MINGGUAN'!$N$17:$N$610,$S42)),"")</f>
        <v/>
      </c>
      <c r="O42" s="255" t="str">
        <f ca="1">IFERROR(INDEX('RENCANA MINGGUAN'!$O$17:$O$610,$S42),"")</f>
        <v>CRITICAL</v>
      </c>
      <c r="P42" s="255"/>
      <c r="S42">
        <f>IFERROR(MATCH(ROW()-16,'RENCANA MINGGUAN'!$Q$17:$Q$610,0),"")</f>
        <v>218</v>
      </c>
    </row>
    <row r="43" spans="1:19" x14ac:dyDescent="0.2">
      <c r="A43" s="255">
        <f>IFERROR(INDEX('RENCANA MINGGUAN'!$A$17:$A$610,$S43),"")</f>
        <v>6</v>
      </c>
      <c r="B43" s="255" t="str">
        <f>IFERROR(INDEX('RENCANA MINGGUAN'!$B$17:$B$610,$S43),"")</f>
        <v>27/08 - 02/09</v>
      </c>
      <c r="C43" s="255" t="str">
        <f>IFERROR(INDEX('RENCANA MINGGUAN'!$C$17:$C$610,$S43),"")</f>
        <v>III-B-5</v>
      </c>
      <c r="D43" s="255" t="str">
        <f>IFERROR(INDEX('RENCANA MINGGUAN'!$D$17:$D$610,$S43),"")</f>
        <v>sloof
rolag bata</v>
      </c>
      <c r="E43" s="256">
        <f>IFERROR(INDEX('RENCANA MINGGUAN'!$E$17:$E$610,$S43),"")</f>
        <v>1.5299080285248149E-2</v>
      </c>
      <c r="F43" s="256">
        <f>IFERROR(INDEX('RENCANA MINGGUAN'!$F$17:$F$610,$S43),"")</f>
        <v>25</v>
      </c>
      <c r="G43" s="256">
        <f>IFERROR(INDEX('RENCANA MINGGUAN'!$G$17:$G$610,$S43),"")</f>
        <v>3.8247700713120373E-3</v>
      </c>
      <c r="H43" s="256">
        <f>IFERROR(INDEX('RENCANA MINGGUAN'!$H$17:$H$610,$S43),"")</f>
        <v>50</v>
      </c>
      <c r="I43" s="256">
        <f>IFERROR(INDEX('RENCANA MINGGUAN'!$I$17:$I$610,$S43),"")</f>
        <v>0</v>
      </c>
      <c r="J43" s="256">
        <f>IFERROR(INDEX('RENCANA MINGGUAN'!$J$17:$J$610,$S43),"")</f>
        <v>100</v>
      </c>
      <c r="K43" s="255"/>
      <c r="L43" s="255"/>
      <c r="M43" s="255"/>
      <c r="N43" s="255" t="str">
        <f>IFERROR(IF(INDEX('RENCANA MINGGUAN'!$N$17:$N$610,$S43)=0,"",INDEX('RENCANA MINGGUAN'!$N$17:$N$610,$S43)),"")</f>
        <v/>
      </c>
      <c r="O43" s="255" t="str">
        <f ca="1">IFERROR(INDEX('RENCANA MINGGUAN'!$O$17:$O$610,$S43),"")</f>
        <v>CRITICAL</v>
      </c>
      <c r="P43" s="255"/>
      <c r="S43">
        <f>IFERROR(MATCH(ROW()-16,'RENCANA MINGGUAN'!$Q$17:$Q$610,0),"")</f>
        <v>219</v>
      </c>
    </row>
    <row r="44" spans="1:19" x14ac:dyDescent="0.2">
      <c r="A44" s="255">
        <f>IFERROR(INDEX('RENCANA MINGGUAN'!$A$17:$A$610,$S44),"")</f>
        <v>6</v>
      </c>
      <c r="B44" s="255" t="str">
        <f>IFERROR(INDEX('RENCANA MINGGUAN'!$B$17:$B$610,$S44),"")</f>
        <v>27/08 - 02/09</v>
      </c>
      <c r="C44" s="255" t="str">
        <f>IFERROR(INDEX('RENCANA MINGGUAN'!$C$17:$C$610,$S44),"")</f>
        <v>III-C-1</v>
      </c>
      <c r="D44" s="255" t="str">
        <f>IFERROR(INDEX('RENCANA MINGGUAN'!$D$17:$D$610,$S44),"")</f>
        <v>Kolom tipe 1CNP 150 double</v>
      </c>
      <c r="E44" s="256">
        <f>IFERROR(INDEX('RENCANA MINGGUAN'!$E$17:$E$610,$S44),"")</f>
        <v>0.17192277511181867</v>
      </c>
      <c r="F44" s="256">
        <f>IFERROR(INDEX('RENCANA MINGGUAN'!$F$17:$F$610,$S44),"")</f>
        <v>25</v>
      </c>
      <c r="G44" s="256">
        <f>IFERROR(INDEX('RENCANA MINGGUAN'!$G$17:$G$610,$S44),"")</f>
        <v>4.2980693777954666E-2</v>
      </c>
      <c r="H44" s="256">
        <f>IFERROR(INDEX('RENCANA MINGGUAN'!$H$17:$H$610,$S44),"")</f>
        <v>50</v>
      </c>
      <c r="I44" s="256">
        <f>IFERROR(INDEX('RENCANA MINGGUAN'!$I$17:$I$610,$S44),"")</f>
        <v>0</v>
      </c>
      <c r="J44" s="256">
        <f>IFERROR(INDEX('RENCANA MINGGUAN'!$J$17:$J$610,$S44),"")</f>
        <v>100</v>
      </c>
      <c r="K44" s="255"/>
      <c r="L44" s="255"/>
      <c r="M44" s="255"/>
      <c r="N44" s="255" t="str">
        <f>IFERROR(IF(INDEX('RENCANA MINGGUAN'!$N$17:$N$610,$S44)=0,"",INDEX('RENCANA MINGGUAN'!$N$17:$N$610,$S44)),"")</f>
        <v/>
      </c>
      <c r="O44" s="255" t="str">
        <f ca="1">IFERROR(INDEX('RENCANA MINGGUAN'!$O$17:$O$610,$S44),"")</f>
        <v>CRITICAL</v>
      </c>
      <c r="P44" s="255"/>
      <c r="S44">
        <f>IFERROR(MATCH(ROW()-16,'RENCANA MINGGUAN'!$Q$17:$Q$610,0),"")</f>
        <v>287</v>
      </c>
    </row>
    <row r="45" spans="1:19" x14ac:dyDescent="0.2">
      <c r="A45" s="255">
        <f>IFERROR(INDEX('RENCANA MINGGUAN'!$A$17:$A$610,$S45),"")</f>
        <v>6</v>
      </c>
      <c r="B45" s="255" t="str">
        <f>IFERROR(INDEX('RENCANA MINGGUAN'!$B$17:$B$610,$S45),"")</f>
        <v>27/08 - 02/09</v>
      </c>
      <c r="C45" s="255" t="str">
        <f>IFERROR(INDEX('RENCANA MINGGUAN'!$C$17:$C$610,$S45),"")</f>
        <v>II-C-3</v>
      </c>
      <c r="D45" s="255" t="str">
        <f>IFERROR(INDEX('RENCANA MINGGUAN'!$D$17:$D$610,$S45),"")</f>
        <v>Pemasangan gypsum 1 sisi</v>
      </c>
      <c r="E45" s="256">
        <f>IFERROR(INDEX('RENCANA MINGGUAN'!$E$17:$E$610,$S45),"")</f>
        <v>0.52062923713177223</v>
      </c>
      <c r="F45" s="256">
        <f>IFERROR(INDEX('RENCANA MINGGUAN'!$F$17:$F$610,$S45),"")</f>
        <v>33.333333333333336</v>
      </c>
      <c r="G45" s="256">
        <f>IFERROR(INDEX('RENCANA MINGGUAN'!$G$17:$G$610,$S45),"")</f>
        <v>0.1735430790439241</v>
      </c>
      <c r="H45" s="256">
        <f>IFERROR(INDEX('RENCANA MINGGUAN'!$H$17:$H$610,$S45),"")</f>
        <v>33.333333333333329</v>
      </c>
      <c r="I45" s="256">
        <f>IFERROR(INDEX('RENCANA MINGGUAN'!$I$17:$I$610,$S45),"")</f>
        <v>6.7075384457307266</v>
      </c>
      <c r="J45" s="256">
        <f>IFERROR(INDEX('RENCANA MINGGUAN'!$J$17:$J$610,$S45),"")</f>
        <v>93.292461554269266</v>
      </c>
      <c r="K45" s="255"/>
      <c r="L45" s="255"/>
      <c r="M45" s="255"/>
      <c r="N45" s="255" t="str">
        <f>IFERROR(IF(INDEX('RENCANA MINGGUAN'!$N$17:$N$610,$S45)=0,"",INDEX('RENCANA MINGGUAN'!$N$17:$N$610,$S45)),"")</f>
        <v/>
      </c>
      <c r="O45" s="255" t="str">
        <f ca="1">IFERROR(INDEX('RENCANA MINGGUAN'!$O$17:$O$610,$S45),"")</f>
        <v>CRITICAL</v>
      </c>
      <c r="P45" s="255"/>
      <c r="S45">
        <f>IFERROR(MATCH(ROW()-16,'RENCANA MINGGUAN'!$Q$17:$Q$610,0),"")</f>
        <v>353</v>
      </c>
    </row>
    <row r="46" spans="1:19" x14ac:dyDescent="0.2">
      <c r="A46" s="255">
        <f>IFERROR(INDEX('RENCANA MINGGUAN'!$A$17:$A$610,$S46),"")</f>
        <v>6</v>
      </c>
      <c r="B46" s="255" t="str">
        <f>IFERROR(INDEX('RENCANA MINGGUAN'!$B$17:$B$610,$S46),"")</f>
        <v>27/08 - 02/09</v>
      </c>
      <c r="C46" s="255" t="str">
        <f>IFERROR(INDEX('RENCANA MINGGUAN'!$C$17:$C$610,$S46),"")</f>
        <v>III-C-2</v>
      </c>
      <c r="D46" s="255" t="str">
        <f>IFERROR(INDEX('RENCANA MINGGUAN'!$D$17:$D$610,$S46),"")</f>
        <v>ring balok
CNP 150 double</v>
      </c>
      <c r="E46" s="256">
        <f>IFERROR(INDEX('RENCANA MINGGUAN'!$E$17:$E$610,$S46),"")</f>
        <v>0.17192277511181867</v>
      </c>
      <c r="F46" s="256">
        <f>IFERROR(INDEX('RENCANA MINGGUAN'!$F$17:$F$610,$S46),"")</f>
        <v>16.666666666666668</v>
      </c>
      <c r="G46" s="256">
        <f>IFERROR(INDEX('RENCANA MINGGUAN'!$G$17:$G$610,$S46),"")</f>
        <v>2.8653795851969782E-2</v>
      </c>
      <c r="H46" s="256">
        <f>IFERROR(INDEX('RENCANA MINGGUAN'!$H$17:$H$610,$S46),"")</f>
        <v>33.333333333333329</v>
      </c>
      <c r="I46" s="256">
        <f>IFERROR(INDEX('RENCANA MINGGUAN'!$I$17:$I$610,$S46),"")</f>
        <v>0</v>
      </c>
      <c r="J46" s="256">
        <f>IFERROR(INDEX('RENCANA MINGGUAN'!$J$17:$J$610,$S46),"")</f>
        <v>100</v>
      </c>
      <c r="K46" s="255"/>
      <c r="L46" s="255"/>
      <c r="M46" s="255"/>
      <c r="N46" s="255" t="str">
        <f>IFERROR(IF(INDEX('RENCANA MINGGUAN'!$N$17:$N$610,$S46)=0,"",INDEX('RENCANA MINGGUAN'!$N$17:$N$610,$S46)),"")</f>
        <v/>
      </c>
      <c r="O46" s="255" t="str">
        <f ca="1">IFERROR(INDEX('RENCANA MINGGUAN'!$O$17:$O$610,$S46),"")</f>
        <v>DELAYED</v>
      </c>
      <c r="P46" s="255"/>
      <c r="S46">
        <f>IFERROR(MATCH(ROW()-16,'RENCANA MINGGUAN'!$Q$17:$Q$610,0),"")</f>
        <v>417</v>
      </c>
    </row>
    <row r="47" spans="1:19" x14ac:dyDescent="0.2">
      <c r="A47" s="255">
        <f>IFERROR(INDEX('RENCANA MINGGUAN'!$A$17:$A$610,$S47),"")</f>
        <v>6</v>
      </c>
      <c r="B47" s="255" t="str">
        <f>IFERROR(INDEX('RENCANA MINGGUAN'!$B$17:$B$610,$S47),"")</f>
        <v>27/08 - 02/09</v>
      </c>
      <c r="C47" s="255" t="str">
        <f>IFERROR(INDEX('RENCANA MINGGUAN'!$C$17:$C$610,$S47),"")</f>
        <v>III-E-1</v>
      </c>
      <c r="D47" s="255" t="str">
        <f>IFERROR(INDEX('RENCANA MINGGUAN'!$D$17:$D$610,$S47),"")</f>
        <v>Pasangan dinding hebel
7,5cm fin plester aci</v>
      </c>
      <c r="E47" s="256">
        <f>IFERROR(INDEX('RENCANA MINGGUAN'!$E$17:$E$610,$S47),"")</f>
        <v>0.93124836518901777</v>
      </c>
      <c r="F47" s="256">
        <f>IFERROR(INDEX('RENCANA MINGGUAN'!$F$17:$F$610,$S47),"")</f>
        <v>33.333333333333336</v>
      </c>
      <c r="G47" s="256">
        <f>IFERROR(INDEX('RENCANA MINGGUAN'!$G$17:$G$610,$S47),"")</f>
        <v>0.31041612172967264</v>
      </c>
      <c r="H47" s="256">
        <f>IFERROR(INDEX('RENCANA MINGGUAN'!$H$17:$H$610,$S47),"")</f>
        <v>66.666666666666657</v>
      </c>
      <c r="I47" s="256">
        <f>IFERROR(INDEX('RENCANA MINGGUAN'!$I$17:$I$610,$S47),"")</f>
        <v>952.6128649738697</v>
      </c>
      <c r="J47" s="256">
        <f>IFERROR(INDEX('RENCANA MINGGUAN'!$J$17:$J$610,$S47),"")</f>
        <v>0</v>
      </c>
      <c r="K47" s="255"/>
      <c r="L47" s="255"/>
      <c r="M47" s="255"/>
      <c r="N47" s="255" t="str">
        <f>IFERROR(IF(INDEX('RENCANA MINGGUAN'!$N$17:$N$610,$S47)=0,"",INDEX('RENCANA MINGGUAN'!$N$17:$N$610,$S47)),"")</f>
        <v/>
      </c>
      <c r="O47" s="255" t="str">
        <f>IFERROR(INDEX('RENCANA MINGGUAN'!$O$17:$O$610,$S47),"")</f>
        <v>COMPLETED</v>
      </c>
      <c r="P47" s="255"/>
      <c r="S47">
        <f>IFERROR(MATCH(ROW()-16,'RENCANA MINGGUAN'!$Q$17:$Q$610,0),"")</f>
        <v>491</v>
      </c>
    </row>
    <row r="48" spans="1:19" x14ac:dyDescent="0.2">
      <c r="A48" s="255" t="str">
        <f>IFERROR(INDEX('RENCANA MINGGUAN'!$A$17:$A$610,$S48),"")</f>
        <v/>
      </c>
      <c r="B48" s="255" t="str">
        <f>IFERROR(INDEX('RENCANA MINGGUAN'!$B$17:$B$610,$S48),"")</f>
        <v/>
      </c>
      <c r="C48" s="255" t="str">
        <f>IFERROR(INDEX('RENCANA MINGGUAN'!$C$17:$C$610,$S48),"")</f>
        <v/>
      </c>
      <c r="D48" s="255" t="str">
        <f>IFERROR(INDEX('RENCANA MINGGUAN'!$D$17:$D$610,$S48),"")</f>
        <v/>
      </c>
      <c r="E48" s="256" t="str">
        <f>IFERROR(INDEX('RENCANA MINGGUAN'!$E$17:$E$610,$S48),"")</f>
        <v/>
      </c>
      <c r="F48" s="256" t="str">
        <f>IFERROR(INDEX('RENCANA MINGGUAN'!$F$17:$F$610,$S48),"")</f>
        <v/>
      </c>
      <c r="G48" s="256" t="str">
        <f>IFERROR(INDEX('RENCANA MINGGUAN'!$G$17:$G$610,$S48),"")</f>
        <v/>
      </c>
      <c r="H48" s="256" t="str">
        <f>IFERROR(INDEX('RENCANA MINGGUAN'!$H$17:$H$610,$S48),"")</f>
        <v/>
      </c>
      <c r="I48" s="256" t="str">
        <f>IFERROR(INDEX('RENCANA MINGGUAN'!$I$17:$I$610,$S48),"")</f>
        <v/>
      </c>
      <c r="J48" s="256" t="str">
        <f>IFERROR(INDEX('RENCANA MINGGUAN'!$J$17:$J$610,$S48),"")</f>
        <v/>
      </c>
      <c r="K48" s="255"/>
      <c r="L48" s="255"/>
      <c r="M48" s="255"/>
      <c r="N48" s="255" t="str">
        <f>IFERROR(IF(INDEX('RENCANA MINGGUAN'!$N$17:$N$610,$S48)=0,"",INDEX('RENCANA MINGGUAN'!$N$17:$N$610,$S48)),"")</f>
        <v/>
      </c>
      <c r="O48" s="255" t="str">
        <f>IFERROR(INDEX('RENCANA MINGGUAN'!$O$17:$O$610,$S48),"")</f>
        <v/>
      </c>
      <c r="P48" s="255"/>
      <c r="S48" t="str">
        <f>IFERROR(MATCH(ROW()-16,'RENCANA MINGGUAN'!$Q$17:$Q$610,0),"")</f>
        <v/>
      </c>
    </row>
    <row r="49" spans="1:19" x14ac:dyDescent="0.2">
      <c r="A49" s="255" t="str">
        <f>IFERROR(INDEX('RENCANA MINGGUAN'!$A$17:$A$610,$S49),"")</f>
        <v/>
      </c>
      <c r="B49" s="255" t="str">
        <f>IFERROR(INDEX('RENCANA MINGGUAN'!$B$17:$B$610,$S49),"")</f>
        <v/>
      </c>
      <c r="C49" s="255" t="str">
        <f>IFERROR(INDEX('RENCANA MINGGUAN'!$C$17:$C$610,$S49),"")</f>
        <v/>
      </c>
      <c r="D49" s="255" t="str">
        <f>IFERROR(INDEX('RENCANA MINGGUAN'!$D$17:$D$610,$S49),"")</f>
        <v/>
      </c>
      <c r="E49" s="256" t="str">
        <f>IFERROR(INDEX('RENCANA MINGGUAN'!$E$17:$E$610,$S49),"")</f>
        <v/>
      </c>
      <c r="F49" s="256" t="str">
        <f>IFERROR(INDEX('RENCANA MINGGUAN'!$F$17:$F$610,$S49),"")</f>
        <v/>
      </c>
      <c r="G49" s="256" t="str">
        <f>IFERROR(INDEX('RENCANA MINGGUAN'!$G$17:$G$610,$S49),"")</f>
        <v/>
      </c>
      <c r="H49" s="256" t="str">
        <f>IFERROR(INDEX('RENCANA MINGGUAN'!$H$17:$H$610,$S49),"")</f>
        <v/>
      </c>
      <c r="I49" s="256" t="str">
        <f>IFERROR(INDEX('RENCANA MINGGUAN'!$I$17:$I$610,$S49),"")</f>
        <v/>
      </c>
      <c r="J49" s="256" t="str">
        <f>IFERROR(INDEX('RENCANA MINGGUAN'!$J$17:$J$610,$S49),"")</f>
        <v/>
      </c>
      <c r="K49" s="255"/>
      <c r="L49" s="255"/>
      <c r="M49" s="255"/>
      <c r="N49" s="255" t="str">
        <f>IFERROR(IF(INDEX('RENCANA MINGGUAN'!$N$17:$N$610,$S49)=0,"",INDEX('RENCANA MINGGUAN'!$N$17:$N$610,$S49)),"")</f>
        <v/>
      </c>
      <c r="O49" s="255" t="str">
        <f>IFERROR(INDEX('RENCANA MINGGUAN'!$O$17:$O$610,$S49),"")</f>
        <v/>
      </c>
      <c r="P49" s="255"/>
      <c r="S49" t="str">
        <f>IFERROR(MATCH(ROW()-16,'RENCANA MINGGUAN'!$Q$17:$Q$610,0),"")</f>
        <v/>
      </c>
    </row>
    <row r="50" spans="1:19" ht="12.75" customHeight="1" x14ac:dyDescent="0.2">
      <c r="A50" t="str">
        <f>IFERROR(INDEX('RENCANA MINGGUAN'!$A$17:$A$610,$S50),"")</f>
        <v/>
      </c>
      <c r="B50" t="str">
        <f>IFERROR(INDEX('RENCANA MINGGUAN'!$B$17:$B$610,$S50),"")</f>
        <v/>
      </c>
      <c r="C50" t="str">
        <f>IFERROR(INDEX('RENCANA MINGGUAN'!$C$17:$C$610,$S50),"")</f>
        <v/>
      </c>
      <c r="D50" t="str">
        <f>IFERROR(INDEX('RENCANA MINGGUAN'!$D$17:$D$610,$S50),"")</f>
        <v/>
      </c>
      <c r="E50" s="258" t="str">
        <f>IFERROR(INDEX('RENCANA MINGGUAN'!$E$17:$E$610,$S50),"")</f>
        <v/>
      </c>
      <c r="F50" s="258" t="str">
        <f>IFERROR(INDEX('RENCANA MINGGUAN'!$F$17:$F$610,$S50),"")</f>
        <v/>
      </c>
      <c r="G50" s="258" t="str">
        <f>IFERROR(INDEX('RENCANA MINGGUAN'!$G$17:$G$610,$S50),"")</f>
        <v/>
      </c>
      <c r="H50" s="258" t="str">
        <f>IFERROR(INDEX('RENCANA MINGGUAN'!$H$17:$H$610,$S50),"")</f>
        <v/>
      </c>
      <c r="I50" s="258" t="str">
        <f>IFERROR(INDEX('RENCANA MINGGUAN'!$I$17:$I$610,$S50),"")</f>
        <v/>
      </c>
      <c r="J50" s="258" t="str">
        <f>IFERROR(INDEX('RENCANA MINGGUAN'!$J$17:$J$610,$S50),"")</f>
        <v/>
      </c>
      <c r="N50" t="str">
        <f>IFERROR(IF(INDEX('RENCANA MINGGUAN'!$N$17:$N$610,$S50)=0,"",INDEX('RENCANA MINGGUAN'!$N$17:$N$610,$S50)),"")</f>
        <v/>
      </c>
      <c r="O50" t="str">
        <f>IFERROR(INDEX('RENCANA MINGGUAN'!$O$17:$O$610,$S50),"")</f>
        <v/>
      </c>
      <c r="S50" t="str">
        <f>IFERROR(MATCH(ROW()-16,'RENCANA MINGGUAN'!$Q$17:$Q$610,0),"")</f>
        <v/>
      </c>
    </row>
    <row r="51" spans="1:19" ht="12.75" customHeight="1" x14ac:dyDescent="0.2">
      <c r="A51" t="str">
        <f>IFERROR(INDEX('RENCANA MINGGUAN'!$A$17:$A$610,$S51),"")</f>
        <v/>
      </c>
      <c r="B51" t="str">
        <f>IFERROR(INDEX('RENCANA MINGGUAN'!$B$17:$B$610,$S51),"")</f>
        <v/>
      </c>
      <c r="C51" t="str">
        <f>IFERROR(INDEX('RENCANA MINGGUAN'!$C$17:$C$610,$S51),"")</f>
        <v/>
      </c>
      <c r="D51" t="str">
        <f>IFERROR(INDEX('RENCANA MINGGUAN'!$D$17:$D$610,$S51),"")</f>
        <v/>
      </c>
      <c r="E51" s="258" t="str">
        <f>IFERROR(INDEX('RENCANA MINGGUAN'!$E$17:$E$610,$S51),"")</f>
        <v/>
      </c>
      <c r="F51" s="258" t="str">
        <f>IFERROR(INDEX('RENCANA MINGGUAN'!$F$17:$F$610,$S51),"")</f>
        <v/>
      </c>
      <c r="G51" s="258" t="str">
        <f>IFERROR(INDEX('RENCANA MINGGUAN'!$G$17:$G$610,$S51),"")</f>
        <v/>
      </c>
      <c r="H51" s="258" t="str">
        <f>IFERROR(INDEX('RENCANA MINGGUAN'!$H$17:$H$610,$S51),"")</f>
        <v/>
      </c>
      <c r="I51" s="258" t="str">
        <f>IFERROR(INDEX('RENCANA MINGGUAN'!$I$17:$I$610,$S51),"")</f>
        <v/>
      </c>
      <c r="J51" s="258" t="str">
        <f>IFERROR(INDEX('RENCANA MINGGUAN'!$J$17:$J$610,$S51),"")</f>
        <v/>
      </c>
      <c r="N51" t="str">
        <f>IFERROR(IF(INDEX('RENCANA MINGGUAN'!$N$17:$N$610,$S51)=0,"",INDEX('RENCANA MINGGUAN'!$N$17:$N$610,$S51)),"")</f>
        <v/>
      </c>
      <c r="O51" t="str">
        <f>IFERROR(INDEX('RENCANA MINGGUAN'!$O$17:$O$610,$S51),"")</f>
        <v/>
      </c>
      <c r="S51" t="str">
        <f>IFERROR(MATCH(ROW()-16,'RENCANA MINGGUAN'!$Q$17:$Q$610,0),"")</f>
        <v/>
      </c>
    </row>
    <row r="52" spans="1:19" ht="12.75" customHeight="1" x14ac:dyDescent="0.2">
      <c r="A52" t="str">
        <f>IFERROR(INDEX('RENCANA MINGGUAN'!$A$17:$A$610,$S52),"")</f>
        <v/>
      </c>
      <c r="B52" t="str">
        <f>IFERROR(INDEX('RENCANA MINGGUAN'!$B$17:$B$610,$S52),"")</f>
        <v/>
      </c>
      <c r="C52" t="str">
        <f>IFERROR(INDEX('RENCANA MINGGUAN'!$C$17:$C$610,$S52),"")</f>
        <v/>
      </c>
      <c r="D52" s="228" t="str">
        <f>IFERROR(INDEX('RENCANA MINGGUAN'!$D$17:$D$610,$S52),"")</f>
        <v/>
      </c>
      <c r="E52" s="258" t="str">
        <f>IFERROR(INDEX('RENCANA MINGGUAN'!$E$17:$E$610,$S52),"")</f>
        <v/>
      </c>
      <c r="F52" s="258" t="str">
        <f>IFERROR(INDEX('RENCANA MINGGUAN'!$F$17:$F$610,$S52),"")</f>
        <v/>
      </c>
      <c r="G52" s="258" t="str">
        <f>IFERROR(INDEX('RENCANA MINGGUAN'!$G$17:$G$610,$S52),"")</f>
        <v/>
      </c>
      <c r="H52" s="258" t="str">
        <f>IFERROR(INDEX('RENCANA MINGGUAN'!$H$17:$H$610,$S52),"")</f>
        <v/>
      </c>
      <c r="I52" s="258" t="str">
        <f>IFERROR(INDEX('RENCANA MINGGUAN'!$I$17:$I$610,$S52),"")</f>
        <v/>
      </c>
      <c r="J52" s="258" t="str">
        <f>IFERROR(INDEX('RENCANA MINGGUAN'!$J$17:$J$610,$S52),"")</f>
        <v/>
      </c>
      <c r="N52" t="str">
        <f>IFERROR(IF(INDEX('RENCANA MINGGUAN'!$N$17:$N$610,$S52)=0,"",INDEX('RENCANA MINGGUAN'!$N$17:$N$610,$S52)),"")</f>
        <v/>
      </c>
      <c r="O52" t="str">
        <f>IFERROR(INDEX('RENCANA MINGGUAN'!$O$17:$O$610,$S52),"")</f>
        <v/>
      </c>
      <c r="S52" t="str">
        <f>IFERROR(MATCH(ROW()-16,'RENCANA MINGGUAN'!$Q$17:$Q$610,0),"")</f>
        <v/>
      </c>
    </row>
    <row r="53" spans="1:19" ht="12.75" customHeight="1" x14ac:dyDescent="0.2">
      <c r="A53" t="str">
        <f>IFERROR(INDEX('RENCANA MINGGUAN'!$A$17:$A$610,$S53),"")</f>
        <v/>
      </c>
      <c r="B53" t="str">
        <f>IFERROR(INDEX('RENCANA MINGGUAN'!$B$17:$B$610,$S53),"")</f>
        <v/>
      </c>
      <c r="C53" t="str">
        <f>IFERROR(INDEX('RENCANA MINGGUAN'!$C$17:$C$610,$S53),"")</f>
        <v/>
      </c>
      <c r="D53" t="str">
        <f>IFERROR(INDEX('RENCANA MINGGUAN'!$D$17:$D$610,$S53),"")</f>
        <v/>
      </c>
      <c r="E53" s="258" t="str">
        <f>IFERROR(INDEX('RENCANA MINGGUAN'!$E$17:$E$610,$S53),"")</f>
        <v/>
      </c>
      <c r="F53" s="258" t="str">
        <f>IFERROR(INDEX('RENCANA MINGGUAN'!$F$17:$F$610,$S53),"")</f>
        <v/>
      </c>
      <c r="G53" s="258" t="str">
        <f>IFERROR(INDEX('RENCANA MINGGUAN'!$G$17:$G$610,$S53),"")</f>
        <v/>
      </c>
      <c r="H53" s="258" t="str">
        <f>IFERROR(INDEX('RENCANA MINGGUAN'!$H$17:$H$610,$S53),"")</f>
        <v/>
      </c>
      <c r="I53" s="258" t="str">
        <f>IFERROR(INDEX('RENCANA MINGGUAN'!$I$17:$I$610,$S53),"")</f>
        <v/>
      </c>
      <c r="J53" s="258" t="str">
        <f>IFERROR(INDEX('RENCANA MINGGUAN'!$J$17:$J$610,$S53),"")</f>
        <v/>
      </c>
      <c r="N53" t="str">
        <f>IFERROR(IF(INDEX('RENCANA MINGGUAN'!$N$17:$N$610,$S53)=0,"",INDEX('RENCANA MINGGUAN'!$N$17:$N$610,$S53)),"")</f>
        <v/>
      </c>
      <c r="O53" t="str">
        <f>IFERROR(INDEX('RENCANA MINGGUAN'!$O$17:$O$610,$S53),"")</f>
        <v/>
      </c>
      <c r="S53" t="str">
        <f>IFERROR(MATCH(ROW()-16,'RENCANA MINGGUAN'!$Q$17:$Q$610,0),"")</f>
        <v/>
      </c>
    </row>
    <row r="54" spans="1:19" ht="12.75" customHeight="1" x14ac:dyDescent="0.2">
      <c r="A54" t="str">
        <f>IFERROR(INDEX('RENCANA MINGGUAN'!$A$17:$A$610,$S54),"")</f>
        <v/>
      </c>
      <c r="B54" t="str">
        <f>IFERROR(INDEX('RENCANA MINGGUAN'!$B$17:$B$610,$S54),"")</f>
        <v/>
      </c>
      <c r="C54" t="str">
        <f>IFERROR(INDEX('RENCANA MINGGUAN'!$C$17:$C$610,$S54),"")</f>
        <v/>
      </c>
      <c r="D54" t="str">
        <f>IFERROR(INDEX('RENCANA MINGGUAN'!$D$17:$D$610,$S54),"")</f>
        <v/>
      </c>
      <c r="E54" s="258" t="str">
        <f>IFERROR(INDEX('RENCANA MINGGUAN'!$E$17:$E$610,$S54),"")</f>
        <v/>
      </c>
      <c r="F54" s="258" t="str">
        <f>IFERROR(INDEX('RENCANA MINGGUAN'!$F$17:$F$610,$S54),"")</f>
        <v/>
      </c>
      <c r="G54" s="258" t="str">
        <f>IFERROR(INDEX('RENCANA MINGGUAN'!$G$17:$G$610,$S54),"")</f>
        <v/>
      </c>
      <c r="H54" s="258" t="str">
        <f>IFERROR(INDEX('RENCANA MINGGUAN'!$H$17:$H$610,$S54),"")</f>
        <v/>
      </c>
      <c r="I54" s="258" t="str">
        <f>IFERROR(INDEX('RENCANA MINGGUAN'!$I$17:$I$610,$S54),"")</f>
        <v/>
      </c>
      <c r="J54" s="258" t="str">
        <f>IFERROR(INDEX('RENCANA MINGGUAN'!$J$17:$J$610,$S54),"")</f>
        <v/>
      </c>
      <c r="N54" t="str">
        <f>IFERROR(IF(INDEX('RENCANA MINGGUAN'!$N$17:$N$610,$S54)=0,"",INDEX('RENCANA MINGGUAN'!$N$17:$N$610,$S54)),"")</f>
        <v/>
      </c>
      <c r="O54" t="str">
        <f>IFERROR(INDEX('RENCANA MINGGUAN'!$O$17:$O$610,$S54),"")</f>
        <v/>
      </c>
      <c r="S54" t="str">
        <f>IFERROR(MATCH(ROW()-16,'RENCANA MINGGUAN'!$Q$17:$Q$610,0),"")</f>
        <v/>
      </c>
    </row>
    <row r="55" spans="1:19" ht="12.75" customHeight="1" x14ac:dyDescent="0.2">
      <c r="A55" t="str">
        <f>IFERROR(INDEX('RENCANA MINGGUAN'!$A$17:$A$610,$S55),"")</f>
        <v/>
      </c>
      <c r="B55" t="str">
        <f>IFERROR(INDEX('RENCANA MINGGUAN'!$B$17:$B$610,$S55),"")</f>
        <v/>
      </c>
      <c r="C55" t="str">
        <f>IFERROR(INDEX('RENCANA MINGGUAN'!$C$17:$C$610,$S55),"")</f>
        <v/>
      </c>
      <c r="D55" s="228" t="str">
        <f>IFERROR(INDEX('RENCANA MINGGUAN'!$D$17:$D$610,$S55),"")</f>
        <v/>
      </c>
      <c r="E55" s="258" t="str">
        <f>IFERROR(INDEX('RENCANA MINGGUAN'!$E$17:$E$610,$S55),"")</f>
        <v/>
      </c>
      <c r="F55" s="258" t="str">
        <f>IFERROR(INDEX('RENCANA MINGGUAN'!$F$17:$F$610,$S55),"")</f>
        <v/>
      </c>
      <c r="G55" s="258" t="str">
        <f>IFERROR(INDEX('RENCANA MINGGUAN'!$G$17:$G$610,$S55),"")</f>
        <v/>
      </c>
      <c r="H55" s="258" t="str">
        <f>IFERROR(INDEX('RENCANA MINGGUAN'!$H$17:$H$610,$S55),"")</f>
        <v/>
      </c>
      <c r="I55" s="258" t="str">
        <f>IFERROR(INDEX('RENCANA MINGGUAN'!$I$17:$I$610,$S55),"")</f>
        <v/>
      </c>
      <c r="J55" s="258" t="str">
        <f>IFERROR(INDEX('RENCANA MINGGUAN'!$J$17:$J$610,$S55),"")</f>
        <v/>
      </c>
      <c r="N55" t="str">
        <f>IFERROR(IF(INDEX('RENCANA MINGGUAN'!$N$17:$N$610,$S55)=0,"",INDEX('RENCANA MINGGUAN'!$N$17:$N$610,$S55)),"")</f>
        <v/>
      </c>
      <c r="O55" t="str">
        <f>IFERROR(INDEX('RENCANA MINGGUAN'!$O$17:$O$610,$S55),"")</f>
        <v/>
      </c>
      <c r="S55" t="str">
        <f>IFERROR(MATCH(ROW()-16,'RENCANA MINGGUAN'!$Q$17:$Q$610,0),"")</f>
        <v/>
      </c>
    </row>
    <row r="56" spans="1:19" ht="12.75" customHeight="1" x14ac:dyDescent="0.2">
      <c r="A56" t="str">
        <f>IFERROR(INDEX('RENCANA MINGGUAN'!$A$17:$A$610,$S56),"")</f>
        <v/>
      </c>
      <c r="B56" t="str">
        <f>IFERROR(INDEX('RENCANA MINGGUAN'!$B$17:$B$610,$S56),"")</f>
        <v/>
      </c>
      <c r="C56" t="str">
        <f>IFERROR(INDEX('RENCANA MINGGUAN'!$C$17:$C$610,$S56),"")</f>
        <v/>
      </c>
      <c r="D56" s="228" t="str">
        <f>IFERROR(INDEX('RENCANA MINGGUAN'!$D$17:$D$610,$S56),"")</f>
        <v/>
      </c>
      <c r="E56" s="258" t="str">
        <f>IFERROR(INDEX('RENCANA MINGGUAN'!$E$17:$E$610,$S56),"")</f>
        <v/>
      </c>
      <c r="F56" s="258" t="str">
        <f>IFERROR(INDEX('RENCANA MINGGUAN'!$F$17:$F$610,$S56),"")</f>
        <v/>
      </c>
      <c r="G56" s="258" t="str">
        <f>IFERROR(INDEX('RENCANA MINGGUAN'!$G$17:$G$610,$S56),"")</f>
        <v/>
      </c>
      <c r="H56" s="258" t="str">
        <f>IFERROR(INDEX('RENCANA MINGGUAN'!$H$17:$H$610,$S56),"")</f>
        <v/>
      </c>
      <c r="I56" s="258" t="str">
        <f>IFERROR(INDEX('RENCANA MINGGUAN'!$I$17:$I$610,$S56),"")</f>
        <v/>
      </c>
      <c r="J56" s="258" t="str">
        <f>IFERROR(INDEX('RENCANA MINGGUAN'!$J$17:$J$610,$S56),"")</f>
        <v/>
      </c>
      <c r="N56" t="str">
        <f>IFERROR(IF(INDEX('RENCANA MINGGUAN'!$N$17:$N$610,$S56)=0,"",INDEX('RENCANA MINGGUAN'!$N$17:$N$610,$S56)),"")</f>
        <v/>
      </c>
      <c r="O56" t="str">
        <f>IFERROR(INDEX('RENCANA MINGGUAN'!$O$17:$O$610,$S56),"")</f>
        <v/>
      </c>
      <c r="S56" t="str">
        <f>IFERROR(MATCH(ROW()-16,'RENCANA MINGGUAN'!$Q$17:$Q$610,0),"")</f>
        <v/>
      </c>
    </row>
    <row r="57" spans="1:19" ht="12.75" customHeight="1" x14ac:dyDescent="0.2">
      <c r="A57" t="str">
        <f>IFERROR(INDEX('RENCANA MINGGUAN'!$A$17:$A$610,$S57),"")</f>
        <v/>
      </c>
      <c r="B57" t="str">
        <f>IFERROR(INDEX('RENCANA MINGGUAN'!$B$17:$B$610,$S57),"")</f>
        <v/>
      </c>
      <c r="C57" t="str">
        <f>IFERROR(INDEX('RENCANA MINGGUAN'!$C$17:$C$610,$S57),"")</f>
        <v/>
      </c>
      <c r="D57" s="228" t="str">
        <f>IFERROR(INDEX('RENCANA MINGGUAN'!$D$17:$D$610,$S57),"")</f>
        <v/>
      </c>
      <c r="E57" s="258" t="str">
        <f>IFERROR(INDEX('RENCANA MINGGUAN'!$E$17:$E$610,$S57),"")</f>
        <v/>
      </c>
      <c r="F57" s="258" t="str">
        <f>IFERROR(INDEX('RENCANA MINGGUAN'!$F$17:$F$610,$S57),"")</f>
        <v/>
      </c>
      <c r="G57" s="258" t="str">
        <f>IFERROR(INDEX('RENCANA MINGGUAN'!$G$17:$G$610,$S57),"")</f>
        <v/>
      </c>
      <c r="H57" s="258" t="str">
        <f>IFERROR(INDEX('RENCANA MINGGUAN'!$H$17:$H$610,$S57),"")</f>
        <v/>
      </c>
      <c r="I57" s="258" t="str">
        <f>IFERROR(INDEX('RENCANA MINGGUAN'!$I$17:$I$610,$S57),"")</f>
        <v/>
      </c>
      <c r="J57" s="258" t="str">
        <f>IFERROR(INDEX('RENCANA MINGGUAN'!$J$17:$J$610,$S57),"")</f>
        <v/>
      </c>
      <c r="N57" t="str">
        <f>IFERROR(IF(INDEX('RENCANA MINGGUAN'!$N$17:$N$610,$S57)=0,"",INDEX('RENCANA MINGGUAN'!$N$17:$N$610,$S57)),"")</f>
        <v/>
      </c>
      <c r="O57" t="str">
        <f>IFERROR(INDEX('RENCANA MINGGUAN'!$O$17:$O$610,$S57),"")</f>
        <v/>
      </c>
      <c r="S57" t="str">
        <f>IFERROR(MATCH(ROW()-16,'RENCANA MINGGUAN'!$Q$17:$Q$610,0),"")</f>
        <v/>
      </c>
    </row>
    <row r="58" spans="1:19" ht="12.75" customHeight="1" x14ac:dyDescent="0.2">
      <c r="A58" t="str">
        <f>IFERROR(INDEX('RENCANA MINGGUAN'!$A$17:$A$610,$S58),"")</f>
        <v/>
      </c>
      <c r="B58" t="str">
        <f>IFERROR(INDEX('RENCANA MINGGUAN'!$B$17:$B$610,$S58),"")</f>
        <v/>
      </c>
      <c r="C58" t="str">
        <f>IFERROR(INDEX('RENCANA MINGGUAN'!$C$17:$C$610,$S58),"")</f>
        <v/>
      </c>
      <c r="D58" s="228" t="str">
        <f>IFERROR(INDEX('RENCANA MINGGUAN'!$D$17:$D$610,$S58),"")</f>
        <v/>
      </c>
      <c r="E58" s="258" t="str">
        <f>IFERROR(INDEX('RENCANA MINGGUAN'!$E$17:$E$610,$S58),"")</f>
        <v/>
      </c>
      <c r="F58" s="258" t="str">
        <f>IFERROR(INDEX('RENCANA MINGGUAN'!$F$17:$F$610,$S58),"")</f>
        <v/>
      </c>
      <c r="G58" s="258" t="str">
        <f>IFERROR(INDEX('RENCANA MINGGUAN'!$G$17:$G$610,$S58),"")</f>
        <v/>
      </c>
      <c r="H58" s="258" t="str">
        <f>IFERROR(INDEX('RENCANA MINGGUAN'!$H$17:$H$610,$S58),"")</f>
        <v/>
      </c>
      <c r="I58" s="258" t="str">
        <f>IFERROR(INDEX('RENCANA MINGGUAN'!$I$17:$I$610,$S58),"")</f>
        <v/>
      </c>
      <c r="J58" s="258" t="str">
        <f>IFERROR(INDEX('RENCANA MINGGUAN'!$J$17:$J$610,$S58),"")</f>
        <v/>
      </c>
      <c r="N58" t="str">
        <f>IFERROR(IF(INDEX('RENCANA MINGGUAN'!$N$17:$N$610,$S58)=0,"",INDEX('RENCANA MINGGUAN'!$N$17:$N$610,$S58)),"")</f>
        <v/>
      </c>
      <c r="O58" t="str">
        <f>IFERROR(INDEX('RENCANA MINGGUAN'!$O$17:$O$610,$S58),"")</f>
        <v/>
      </c>
      <c r="S58" t="str">
        <f>IFERROR(MATCH(ROW()-16,'RENCANA MINGGUAN'!$Q$17:$Q$610,0),"")</f>
        <v/>
      </c>
    </row>
    <row r="59" spans="1:19" ht="12.75" customHeight="1" x14ac:dyDescent="0.2">
      <c r="A59" t="str">
        <f>IFERROR(INDEX('RENCANA MINGGUAN'!$A$17:$A$610,$S59),"")</f>
        <v/>
      </c>
      <c r="B59" t="str">
        <f>IFERROR(INDEX('RENCANA MINGGUAN'!$B$17:$B$610,$S59),"")</f>
        <v/>
      </c>
      <c r="C59" t="str">
        <f>IFERROR(INDEX('RENCANA MINGGUAN'!$C$17:$C$610,$S59),"")</f>
        <v/>
      </c>
      <c r="D59" s="228" t="str">
        <f>IFERROR(INDEX('RENCANA MINGGUAN'!$D$17:$D$610,$S59),"")</f>
        <v/>
      </c>
      <c r="E59" s="258" t="str">
        <f>IFERROR(INDEX('RENCANA MINGGUAN'!$E$17:$E$610,$S59),"")</f>
        <v/>
      </c>
      <c r="F59" s="258" t="str">
        <f>IFERROR(INDEX('RENCANA MINGGUAN'!$F$17:$F$610,$S59),"")</f>
        <v/>
      </c>
      <c r="G59" s="258" t="str">
        <f>IFERROR(INDEX('RENCANA MINGGUAN'!$G$17:$G$610,$S59),"")</f>
        <v/>
      </c>
      <c r="H59" s="258" t="str">
        <f>IFERROR(INDEX('RENCANA MINGGUAN'!$H$17:$H$610,$S59),"")</f>
        <v/>
      </c>
      <c r="I59" s="258" t="str">
        <f>IFERROR(INDEX('RENCANA MINGGUAN'!$I$17:$I$610,$S59),"")</f>
        <v/>
      </c>
      <c r="J59" s="258" t="str">
        <f>IFERROR(INDEX('RENCANA MINGGUAN'!$J$17:$J$610,$S59),"")</f>
        <v/>
      </c>
      <c r="N59" t="str">
        <f>IFERROR(IF(INDEX('RENCANA MINGGUAN'!$N$17:$N$610,$S59)=0,"",INDEX('RENCANA MINGGUAN'!$N$17:$N$610,$S59)),"")</f>
        <v/>
      </c>
      <c r="O59" t="str">
        <f>IFERROR(INDEX('RENCANA MINGGUAN'!$O$17:$O$610,$S59),"")</f>
        <v/>
      </c>
      <c r="S59" t="str">
        <f>IFERROR(MATCH(ROW()-16,'RENCANA MINGGUAN'!$Q$17:$Q$610,0),"")</f>
        <v/>
      </c>
    </row>
    <row r="60" spans="1:19" ht="12.75" customHeight="1" x14ac:dyDescent="0.2">
      <c r="A60" t="str">
        <f>IFERROR(INDEX('RENCANA MINGGUAN'!$A$17:$A$610,$S60),"")</f>
        <v/>
      </c>
      <c r="B60" t="str">
        <f>IFERROR(INDEX('RENCANA MINGGUAN'!$B$17:$B$610,$S60),"")</f>
        <v/>
      </c>
      <c r="C60" t="str">
        <f>IFERROR(INDEX('RENCANA MINGGUAN'!$C$17:$C$610,$S60),"")</f>
        <v/>
      </c>
      <c r="D60" t="str">
        <f>IFERROR(INDEX('RENCANA MINGGUAN'!$D$17:$D$610,$S60),"")</f>
        <v/>
      </c>
      <c r="E60" s="258" t="str">
        <f>IFERROR(INDEX('RENCANA MINGGUAN'!$E$17:$E$610,$S60),"")</f>
        <v/>
      </c>
      <c r="F60" s="258" t="str">
        <f>IFERROR(INDEX('RENCANA MINGGUAN'!$F$17:$F$610,$S60),"")</f>
        <v/>
      </c>
      <c r="G60" s="258" t="str">
        <f>IFERROR(INDEX('RENCANA MINGGUAN'!$G$17:$G$610,$S60),"")</f>
        <v/>
      </c>
      <c r="H60" s="258" t="str">
        <f>IFERROR(INDEX('RENCANA MINGGUAN'!$H$17:$H$610,$S60),"")</f>
        <v/>
      </c>
      <c r="I60" s="258" t="str">
        <f>IFERROR(INDEX('RENCANA MINGGUAN'!$I$17:$I$610,$S60),"")</f>
        <v/>
      </c>
      <c r="J60" s="258" t="str">
        <f>IFERROR(INDEX('RENCANA MINGGUAN'!$J$17:$J$610,$S60),"")</f>
        <v/>
      </c>
      <c r="N60" t="str">
        <f>IFERROR(IF(INDEX('RENCANA MINGGUAN'!$N$17:$N$610,$S60)=0,"",INDEX('RENCANA MINGGUAN'!$N$17:$N$610,$S60)),"")</f>
        <v/>
      </c>
      <c r="O60" t="str">
        <f>IFERROR(INDEX('RENCANA MINGGUAN'!$O$17:$O$610,$S60),"")</f>
        <v/>
      </c>
      <c r="S60" t="str">
        <f>IFERROR(MATCH(ROW()-16,'RENCANA MINGGUAN'!$Q$17:$Q$610,0),"")</f>
        <v/>
      </c>
    </row>
    <row r="61" spans="1:19" ht="12.75" customHeight="1" x14ac:dyDescent="0.2">
      <c r="A61" t="str">
        <f>IFERROR(INDEX('RENCANA MINGGUAN'!$A$17:$A$610,$S61),"")</f>
        <v/>
      </c>
      <c r="B61" t="str">
        <f>IFERROR(INDEX('RENCANA MINGGUAN'!$B$17:$B$610,$S61),"")</f>
        <v/>
      </c>
      <c r="C61" t="str">
        <f>IFERROR(INDEX('RENCANA MINGGUAN'!$C$17:$C$610,$S61),"")</f>
        <v/>
      </c>
      <c r="D61" t="str">
        <f>IFERROR(INDEX('RENCANA MINGGUAN'!$D$17:$D$610,$S61),"")</f>
        <v/>
      </c>
      <c r="E61" s="258" t="str">
        <f>IFERROR(INDEX('RENCANA MINGGUAN'!$E$17:$E$610,$S61),"")</f>
        <v/>
      </c>
      <c r="F61" s="258" t="str">
        <f>IFERROR(INDEX('RENCANA MINGGUAN'!$F$17:$F$610,$S61),"")</f>
        <v/>
      </c>
      <c r="G61" s="258" t="str">
        <f>IFERROR(INDEX('RENCANA MINGGUAN'!$G$17:$G$610,$S61),"")</f>
        <v/>
      </c>
      <c r="H61" s="258" t="str">
        <f>IFERROR(INDEX('RENCANA MINGGUAN'!$H$17:$H$610,$S61),"")</f>
        <v/>
      </c>
      <c r="I61" s="258" t="str">
        <f>IFERROR(INDEX('RENCANA MINGGUAN'!$I$17:$I$610,$S61),"")</f>
        <v/>
      </c>
      <c r="J61" s="258" t="str">
        <f>IFERROR(INDEX('RENCANA MINGGUAN'!$J$17:$J$610,$S61),"")</f>
        <v/>
      </c>
      <c r="N61" t="str">
        <f>IFERROR(IF(INDEX('RENCANA MINGGUAN'!$N$17:$N$610,$S61)=0,"",INDEX('RENCANA MINGGUAN'!$N$17:$N$610,$S61)),"")</f>
        <v/>
      </c>
      <c r="O61" t="str">
        <f>IFERROR(INDEX('RENCANA MINGGUAN'!$O$17:$O$610,$S61),"")</f>
        <v/>
      </c>
      <c r="S61" t="str">
        <f>IFERROR(MATCH(ROW()-16,'RENCANA MINGGUAN'!$Q$17:$Q$610,0),"")</f>
        <v/>
      </c>
    </row>
    <row r="62" spans="1:19" ht="12.75" customHeight="1" x14ac:dyDescent="0.2">
      <c r="A62" t="str">
        <f>IFERROR(INDEX('RENCANA MINGGUAN'!$A$17:$A$610,$S62),"")</f>
        <v/>
      </c>
      <c r="B62" t="str">
        <f>IFERROR(INDEX('RENCANA MINGGUAN'!$B$17:$B$610,$S62),"")</f>
        <v/>
      </c>
      <c r="C62" t="str">
        <f>IFERROR(INDEX('RENCANA MINGGUAN'!$C$17:$C$610,$S62),"")</f>
        <v/>
      </c>
      <c r="D62" t="str">
        <f>IFERROR(INDEX('RENCANA MINGGUAN'!$D$17:$D$610,$S62),"")</f>
        <v/>
      </c>
      <c r="E62" s="258" t="str">
        <f>IFERROR(INDEX('RENCANA MINGGUAN'!$E$17:$E$610,$S62),"")</f>
        <v/>
      </c>
      <c r="F62" s="258" t="str">
        <f>IFERROR(INDEX('RENCANA MINGGUAN'!$F$17:$F$610,$S62),"")</f>
        <v/>
      </c>
      <c r="G62" s="258" t="str">
        <f>IFERROR(INDEX('RENCANA MINGGUAN'!$G$17:$G$610,$S62),"")</f>
        <v/>
      </c>
      <c r="H62" s="258" t="str">
        <f>IFERROR(INDEX('RENCANA MINGGUAN'!$H$17:$H$610,$S62),"")</f>
        <v/>
      </c>
      <c r="I62" s="258" t="str">
        <f>IFERROR(INDEX('RENCANA MINGGUAN'!$I$17:$I$610,$S62),"")</f>
        <v/>
      </c>
      <c r="J62" s="258" t="str">
        <f>IFERROR(INDEX('RENCANA MINGGUAN'!$J$17:$J$610,$S62),"")</f>
        <v/>
      </c>
      <c r="N62" t="str">
        <f>IFERROR(IF(INDEX('RENCANA MINGGUAN'!$N$17:$N$610,$S62)=0,"",INDEX('RENCANA MINGGUAN'!$N$17:$N$610,$S62)),"")</f>
        <v/>
      </c>
      <c r="O62" t="str">
        <f>IFERROR(INDEX('RENCANA MINGGUAN'!$O$17:$O$610,$S62),"")</f>
        <v/>
      </c>
      <c r="S62" t="str">
        <f>IFERROR(MATCH(ROW()-16,'RENCANA MINGGUAN'!$Q$17:$Q$610,0),"")</f>
        <v/>
      </c>
    </row>
    <row r="63" spans="1:19" ht="12.75" customHeight="1" x14ac:dyDescent="0.2">
      <c r="A63" t="str">
        <f>IFERROR(INDEX('RENCANA MINGGUAN'!$A$17:$A$610,$S63),"")</f>
        <v/>
      </c>
      <c r="B63" t="str">
        <f>IFERROR(INDEX('RENCANA MINGGUAN'!$B$17:$B$610,$S63),"")</f>
        <v/>
      </c>
      <c r="C63" t="str">
        <f>IFERROR(INDEX('RENCANA MINGGUAN'!$C$17:$C$610,$S63),"")</f>
        <v/>
      </c>
      <c r="D63" t="str">
        <f>IFERROR(INDEX('RENCANA MINGGUAN'!$D$17:$D$610,$S63),"")</f>
        <v/>
      </c>
      <c r="E63" s="258" t="str">
        <f>IFERROR(INDEX('RENCANA MINGGUAN'!$E$17:$E$610,$S63),"")</f>
        <v/>
      </c>
      <c r="F63" s="258" t="str">
        <f>IFERROR(INDEX('RENCANA MINGGUAN'!$F$17:$F$610,$S63),"")</f>
        <v/>
      </c>
      <c r="G63" s="258" t="str">
        <f>IFERROR(INDEX('RENCANA MINGGUAN'!$G$17:$G$610,$S63),"")</f>
        <v/>
      </c>
      <c r="H63" s="258" t="str">
        <f>IFERROR(INDEX('RENCANA MINGGUAN'!$H$17:$H$610,$S63),"")</f>
        <v/>
      </c>
      <c r="I63" s="258" t="str">
        <f>IFERROR(INDEX('RENCANA MINGGUAN'!$I$17:$I$610,$S63),"")</f>
        <v/>
      </c>
      <c r="J63" s="258" t="str">
        <f>IFERROR(INDEX('RENCANA MINGGUAN'!$J$17:$J$610,$S63),"")</f>
        <v/>
      </c>
      <c r="N63" t="str">
        <f>IFERROR(IF(INDEX('RENCANA MINGGUAN'!$N$17:$N$610,$S63)=0,"",INDEX('RENCANA MINGGUAN'!$N$17:$N$610,$S63)),"")</f>
        <v/>
      </c>
      <c r="O63" t="str">
        <f>IFERROR(INDEX('RENCANA MINGGUAN'!$O$17:$O$610,$S63),"")</f>
        <v/>
      </c>
      <c r="S63" t="str">
        <f>IFERROR(MATCH(ROW()-16,'RENCANA MINGGUAN'!$Q$17:$Q$610,0),"")</f>
        <v/>
      </c>
    </row>
    <row r="64" spans="1:19" ht="12.75" customHeight="1" x14ac:dyDescent="0.2">
      <c r="A64" t="str">
        <f>IFERROR(INDEX('RENCANA MINGGUAN'!$A$17:$A$610,$S64),"")</f>
        <v/>
      </c>
      <c r="B64" t="str">
        <f>IFERROR(INDEX('RENCANA MINGGUAN'!$B$17:$B$610,$S64),"")</f>
        <v/>
      </c>
      <c r="C64" t="str">
        <f>IFERROR(INDEX('RENCANA MINGGUAN'!$C$17:$C$610,$S64),"")</f>
        <v/>
      </c>
      <c r="D64" t="str">
        <f>IFERROR(INDEX('RENCANA MINGGUAN'!$D$17:$D$610,$S64),"")</f>
        <v/>
      </c>
      <c r="E64" s="258" t="str">
        <f>IFERROR(INDEX('RENCANA MINGGUAN'!$E$17:$E$610,$S64),"")</f>
        <v/>
      </c>
      <c r="F64" s="258" t="str">
        <f>IFERROR(INDEX('RENCANA MINGGUAN'!$F$17:$F$610,$S64),"")</f>
        <v/>
      </c>
      <c r="G64" s="258" t="str">
        <f>IFERROR(INDEX('RENCANA MINGGUAN'!$G$17:$G$610,$S64),"")</f>
        <v/>
      </c>
      <c r="H64" s="258" t="str">
        <f>IFERROR(INDEX('RENCANA MINGGUAN'!$H$17:$H$610,$S64),"")</f>
        <v/>
      </c>
      <c r="I64" s="258" t="str">
        <f>IFERROR(INDEX('RENCANA MINGGUAN'!$I$17:$I$610,$S64),"")</f>
        <v/>
      </c>
      <c r="J64" s="258" t="str">
        <f>IFERROR(INDEX('RENCANA MINGGUAN'!$J$17:$J$610,$S64),"")</f>
        <v/>
      </c>
      <c r="N64" t="str">
        <f>IFERROR(IF(INDEX('RENCANA MINGGUAN'!$N$17:$N$610,$S64)=0,"",INDEX('RENCANA MINGGUAN'!$N$17:$N$610,$S64)),"")</f>
        <v/>
      </c>
      <c r="O64" t="str">
        <f>IFERROR(INDEX('RENCANA MINGGUAN'!$O$17:$O$610,$S64),"")</f>
        <v/>
      </c>
      <c r="S64" t="str">
        <f>IFERROR(MATCH(ROW()-16,'RENCANA MINGGUAN'!$Q$17:$Q$610,0),"")</f>
        <v/>
      </c>
    </row>
    <row r="65" spans="1:19" ht="12.75" customHeight="1" x14ac:dyDescent="0.2">
      <c r="A65" t="str">
        <f>IFERROR(INDEX('RENCANA MINGGUAN'!$A$17:$A$610,$S65),"")</f>
        <v/>
      </c>
      <c r="B65" t="str">
        <f>IFERROR(INDEX('RENCANA MINGGUAN'!$B$17:$B$610,$S65),"")</f>
        <v/>
      </c>
      <c r="C65" t="str">
        <f>IFERROR(INDEX('RENCANA MINGGUAN'!$C$17:$C$610,$S65),"")</f>
        <v/>
      </c>
      <c r="D65" t="str">
        <f>IFERROR(INDEX('RENCANA MINGGUAN'!$D$17:$D$610,$S65),"")</f>
        <v/>
      </c>
      <c r="E65" s="258" t="str">
        <f>IFERROR(INDEX('RENCANA MINGGUAN'!$E$17:$E$610,$S65),"")</f>
        <v/>
      </c>
      <c r="F65" s="258" t="str">
        <f>IFERROR(INDEX('RENCANA MINGGUAN'!$F$17:$F$610,$S65),"")</f>
        <v/>
      </c>
      <c r="G65" s="258" t="str">
        <f>IFERROR(INDEX('RENCANA MINGGUAN'!$G$17:$G$610,$S65),"")</f>
        <v/>
      </c>
      <c r="H65" s="258" t="str">
        <f>IFERROR(INDEX('RENCANA MINGGUAN'!$H$17:$H$610,$S65),"")</f>
        <v/>
      </c>
      <c r="I65" s="258" t="str">
        <f>IFERROR(INDEX('RENCANA MINGGUAN'!$I$17:$I$610,$S65),"")</f>
        <v/>
      </c>
      <c r="J65" s="258" t="str">
        <f>IFERROR(INDEX('RENCANA MINGGUAN'!$J$17:$J$610,$S65),"")</f>
        <v/>
      </c>
      <c r="N65" t="str">
        <f>IFERROR(IF(INDEX('RENCANA MINGGUAN'!$N$17:$N$610,$S65)=0,"",INDEX('RENCANA MINGGUAN'!$N$17:$N$610,$S65)),"")</f>
        <v/>
      </c>
      <c r="O65" t="str">
        <f>IFERROR(INDEX('RENCANA MINGGUAN'!$O$17:$O$610,$S65),"")</f>
        <v/>
      </c>
      <c r="S65" t="str">
        <f>IFERROR(MATCH(ROW()-16,'RENCANA MINGGUAN'!$Q$17:$Q$610,0),"")</f>
        <v/>
      </c>
    </row>
    <row r="66" spans="1:19" ht="12.75" customHeight="1" x14ac:dyDescent="0.2">
      <c r="A66" t="str">
        <f>IFERROR(INDEX('RENCANA MINGGUAN'!$A$17:$A$610,$S66),"")</f>
        <v/>
      </c>
      <c r="B66" t="str">
        <f>IFERROR(INDEX('RENCANA MINGGUAN'!$B$17:$B$610,$S66),"")</f>
        <v/>
      </c>
      <c r="C66" t="str">
        <f>IFERROR(INDEX('RENCANA MINGGUAN'!$C$17:$C$610,$S66),"")</f>
        <v/>
      </c>
      <c r="D66" t="str">
        <f>IFERROR(INDEX('RENCANA MINGGUAN'!$D$17:$D$610,$S66),"")</f>
        <v/>
      </c>
      <c r="E66" s="258" t="str">
        <f>IFERROR(INDEX('RENCANA MINGGUAN'!$E$17:$E$610,$S66),"")</f>
        <v/>
      </c>
      <c r="F66" s="258" t="str">
        <f>IFERROR(INDEX('RENCANA MINGGUAN'!$F$17:$F$610,$S66),"")</f>
        <v/>
      </c>
      <c r="G66" s="258" t="str">
        <f>IFERROR(INDEX('RENCANA MINGGUAN'!$G$17:$G$610,$S66),"")</f>
        <v/>
      </c>
      <c r="H66" s="258" t="str">
        <f>IFERROR(INDEX('RENCANA MINGGUAN'!$H$17:$H$610,$S66),"")</f>
        <v/>
      </c>
      <c r="I66" s="258" t="str">
        <f>IFERROR(INDEX('RENCANA MINGGUAN'!$I$17:$I$610,$S66),"")</f>
        <v/>
      </c>
      <c r="J66" s="258" t="str">
        <f>IFERROR(INDEX('RENCANA MINGGUAN'!$J$17:$J$610,$S66),"")</f>
        <v/>
      </c>
      <c r="N66" t="str">
        <f>IFERROR(IF(INDEX('RENCANA MINGGUAN'!$N$17:$N$610,$S66)=0,"",INDEX('RENCANA MINGGUAN'!$N$17:$N$610,$S66)),"")</f>
        <v/>
      </c>
      <c r="O66" t="str">
        <f>IFERROR(INDEX('RENCANA MINGGUAN'!$O$17:$O$610,$S66),"")</f>
        <v/>
      </c>
      <c r="S66" t="str">
        <f>IFERROR(MATCH(ROW()-16,'RENCANA MINGGUAN'!$Q$17:$Q$610,0),"")</f>
        <v/>
      </c>
    </row>
    <row r="67" spans="1:19" ht="12.75" customHeight="1" x14ac:dyDescent="0.2">
      <c r="A67" t="str">
        <f>IFERROR(INDEX('RENCANA MINGGUAN'!$A$17:$A$610,$S67),"")</f>
        <v/>
      </c>
      <c r="B67" t="str">
        <f>IFERROR(INDEX('RENCANA MINGGUAN'!$B$17:$B$610,$S67),"")</f>
        <v/>
      </c>
      <c r="C67" t="str">
        <f>IFERROR(INDEX('RENCANA MINGGUAN'!$C$17:$C$610,$S67),"")</f>
        <v/>
      </c>
      <c r="D67" t="str">
        <f>IFERROR(INDEX('RENCANA MINGGUAN'!$D$17:$D$610,$S67),"")</f>
        <v/>
      </c>
      <c r="E67" s="258" t="str">
        <f>IFERROR(INDEX('RENCANA MINGGUAN'!$E$17:$E$610,$S67),"")</f>
        <v/>
      </c>
      <c r="F67" s="258" t="str">
        <f>IFERROR(INDEX('RENCANA MINGGUAN'!$F$17:$F$610,$S67),"")</f>
        <v/>
      </c>
      <c r="G67" s="258" t="str">
        <f>IFERROR(INDEX('RENCANA MINGGUAN'!$G$17:$G$610,$S67),"")</f>
        <v/>
      </c>
      <c r="H67" s="258" t="str">
        <f>IFERROR(INDEX('RENCANA MINGGUAN'!$H$17:$H$610,$S67),"")</f>
        <v/>
      </c>
      <c r="I67" s="258" t="str">
        <f>IFERROR(INDEX('RENCANA MINGGUAN'!$I$17:$I$610,$S67),"")</f>
        <v/>
      </c>
      <c r="J67" s="258" t="str">
        <f>IFERROR(INDEX('RENCANA MINGGUAN'!$J$17:$J$610,$S67),"")</f>
        <v/>
      </c>
      <c r="N67" t="str">
        <f>IFERROR(IF(INDEX('RENCANA MINGGUAN'!$N$17:$N$610,$S67)=0,"",INDEX('RENCANA MINGGUAN'!$N$17:$N$610,$S67)),"")</f>
        <v/>
      </c>
      <c r="O67" t="str">
        <f>IFERROR(INDEX('RENCANA MINGGUAN'!$O$17:$O$610,$S67),"")</f>
        <v/>
      </c>
      <c r="S67" t="str">
        <f>IFERROR(MATCH(ROW()-16,'RENCANA MINGGUAN'!$Q$17:$Q$610,0),"")</f>
        <v/>
      </c>
    </row>
    <row r="68" spans="1:19" ht="12.75" customHeight="1" x14ac:dyDescent="0.2">
      <c r="A68" t="str">
        <f>IFERROR(INDEX('RENCANA MINGGUAN'!$A$17:$A$610,$S68),"")</f>
        <v/>
      </c>
      <c r="B68" t="str">
        <f>IFERROR(INDEX('RENCANA MINGGUAN'!$B$17:$B$610,$S68),"")</f>
        <v/>
      </c>
      <c r="C68" t="str">
        <f>IFERROR(INDEX('RENCANA MINGGUAN'!$C$17:$C$610,$S68),"")</f>
        <v/>
      </c>
      <c r="D68" t="str">
        <f>IFERROR(INDEX('RENCANA MINGGUAN'!$D$17:$D$610,$S68),"")</f>
        <v/>
      </c>
      <c r="E68" s="258" t="str">
        <f>IFERROR(INDEX('RENCANA MINGGUAN'!$E$17:$E$610,$S68),"")</f>
        <v/>
      </c>
      <c r="F68" s="258" t="str">
        <f>IFERROR(INDEX('RENCANA MINGGUAN'!$F$17:$F$610,$S68),"")</f>
        <v/>
      </c>
      <c r="G68" s="258" t="str">
        <f>IFERROR(INDEX('RENCANA MINGGUAN'!$G$17:$G$610,$S68),"")</f>
        <v/>
      </c>
      <c r="H68" s="258" t="str">
        <f>IFERROR(INDEX('RENCANA MINGGUAN'!$H$17:$H$610,$S68),"")</f>
        <v/>
      </c>
      <c r="I68" s="258" t="str">
        <f>IFERROR(INDEX('RENCANA MINGGUAN'!$I$17:$I$610,$S68),"")</f>
        <v/>
      </c>
      <c r="J68" s="258" t="str">
        <f>IFERROR(INDEX('RENCANA MINGGUAN'!$J$17:$J$610,$S68),"")</f>
        <v/>
      </c>
      <c r="N68" t="str">
        <f>IFERROR(IF(INDEX('RENCANA MINGGUAN'!$N$17:$N$610,$S68)=0,"",INDEX('RENCANA MINGGUAN'!$N$17:$N$610,$S68)),"")</f>
        <v/>
      </c>
      <c r="O68" t="str">
        <f>IFERROR(INDEX('RENCANA MINGGUAN'!$O$17:$O$610,$S68),"")</f>
        <v/>
      </c>
      <c r="S68" t="str">
        <f>IFERROR(MATCH(ROW()-16,'RENCANA MINGGUAN'!$Q$17:$Q$610,0),"")</f>
        <v/>
      </c>
    </row>
    <row r="69" spans="1:19" ht="12.75" customHeight="1" x14ac:dyDescent="0.2">
      <c r="A69" t="str">
        <f>IFERROR(INDEX('RENCANA MINGGUAN'!$A$17:$A$610,$S69),"")</f>
        <v/>
      </c>
      <c r="B69" t="str">
        <f>IFERROR(INDEX('RENCANA MINGGUAN'!$B$17:$B$610,$S69),"")</f>
        <v/>
      </c>
      <c r="C69" t="str">
        <f>IFERROR(INDEX('RENCANA MINGGUAN'!$C$17:$C$610,$S69),"")</f>
        <v/>
      </c>
      <c r="D69" t="str">
        <f>IFERROR(INDEX('RENCANA MINGGUAN'!$D$17:$D$610,$S69),"")</f>
        <v/>
      </c>
      <c r="E69" s="258" t="str">
        <f>IFERROR(INDEX('RENCANA MINGGUAN'!$E$17:$E$610,$S69),"")</f>
        <v/>
      </c>
      <c r="F69" s="258" t="str">
        <f>IFERROR(INDEX('RENCANA MINGGUAN'!$F$17:$F$610,$S69),"")</f>
        <v/>
      </c>
      <c r="G69" s="258" t="str">
        <f>IFERROR(INDEX('RENCANA MINGGUAN'!$G$17:$G$610,$S69),"")</f>
        <v/>
      </c>
      <c r="H69" s="258" t="str">
        <f>IFERROR(INDEX('RENCANA MINGGUAN'!$H$17:$H$610,$S69),"")</f>
        <v/>
      </c>
      <c r="I69" s="258" t="str">
        <f>IFERROR(INDEX('RENCANA MINGGUAN'!$I$17:$I$610,$S69),"")</f>
        <v/>
      </c>
      <c r="J69" s="258" t="str">
        <f>IFERROR(INDEX('RENCANA MINGGUAN'!$J$17:$J$610,$S69),"")</f>
        <v/>
      </c>
      <c r="N69" t="str">
        <f>IFERROR(IF(INDEX('RENCANA MINGGUAN'!$N$17:$N$610,$S69)=0,"",INDEX('RENCANA MINGGUAN'!$N$17:$N$610,$S69)),"")</f>
        <v/>
      </c>
      <c r="O69" t="str">
        <f>IFERROR(INDEX('RENCANA MINGGUAN'!$O$17:$O$610,$S69),"")</f>
        <v/>
      </c>
      <c r="S69" t="str">
        <f>IFERROR(MATCH(ROW()-16,'RENCANA MINGGUAN'!$Q$17:$Q$610,0),"")</f>
        <v/>
      </c>
    </row>
    <row r="70" spans="1:19" ht="12.75" customHeight="1" x14ac:dyDescent="0.2">
      <c r="A70" t="str">
        <f>IFERROR(INDEX('RENCANA MINGGUAN'!$A$17:$A$610,$S70),"")</f>
        <v/>
      </c>
      <c r="B70" t="str">
        <f>IFERROR(INDEX('RENCANA MINGGUAN'!$B$17:$B$610,$S70),"")</f>
        <v/>
      </c>
      <c r="C70" t="str">
        <f>IFERROR(INDEX('RENCANA MINGGUAN'!$C$17:$C$610,$S70),"")</f>
        <v/>
      </c>
      <c r="D70" t="str">
        <f>IFERROR(INDEX('RENCANA MINGGUAN'!$D$17:$D$610,$S70),"")</f>
        <v/>
      </c>
      <c r="E70" t="str">
        <f>IFERROR(INDEX('RENCANA MINGGUAN'!$E$17:$E$610,$S70),"")</f>
        <v/>
      </c>
      <c r="F70" t="str">
        <f>IFERROR(INDEX('RENCANA MINGGUAN'!$F$17:$F$610,$S70),"")</f>
        <v/>
      </c>
      <c r="G70" t="str">
        <f>IFERROR(INDEX('RENCANA MINGGUAN'!$G$17:$G$610,$S70),"")</f>
        <v/>
      </c>
      <c r="H70" t="str">
        <f>IFERROR(INDEX('RENCANA MINGGUAN'!$H$17:$H$610,$S70),"")</f>
        <v/>
      </c>
      <c r="I70" t="str">
        <f>IFERROR(INDEX('RENCANA MINGGUAN'!$I$17:$I$610,$S70),"")</f>
        <v/>
      </c>
      <c r="J70" t="str">
        <f>IFERROR(INDEX('RENCANA MINGGUAN'!$J$17:$J$610,$S70),"")</f>
        <v/>
      </c>
      <c r="N70" t="str">
        <f>IFERROR(IF(INDEX('RENCANA MINGGUAN'!$N$17:$N$610,$S70)=0,"",INDEX('RENCANA MINGGUAN'!$N$17:$N$610,$S70)),"")</f>
        <v/>
      </c>
      <c r="O70" t="str">
        <f>IFERROR(INDEX('RENCANA MINGGUAN'!$O$17:$O$610,$S70),"")</f>
        <v/>
      </c>
      <c r="S70" t="str">
        <f>IFERROR(MATCH(ROW()-16,'RENCANA MINGGUAN'!$Q$17:$Q$610,0),"")</f>
        <v/>
      </c>
    </row>
    <row r="71" spans="1:19" ht="12.75" customHeight="1" x14ac:dyDescent="0.2">
      <c r="A71" t="str">
        <f>IFERROR(INDEX('RENCANA MINGGUAN'!$A$17:$A$610,$S71),"")</f>
        <v/>
      </c>
      <c r="B71" t="str">
        <f>IFERROR(INDEX('RENCANA MINGGUAN'!$B$17:$B$610,$S71),"")</f>
        <v/>
      </c>
      <c r="C71" t="str">
        <f>IFERROR(INDEX('RENCANA MINGGUAN'!$C$17:$C$610,$S71),"")</f>
        <v/>
      </c>
      <c r="D71" t="str">
        <f>IFERROR(INDEX('RENCANA MINGGUAN'!$D$17:$D$610,$S71),"")</f>
        <v/>
      </c>
      <c r="E71" t="str">
        <f>IFERROR(INDEX('RENCANA MINGGUAN'!$E$17:$E$610,$S71),"")</f>
        <v/>
      </c>
      <c r="F71" t="str">
        <f>IFERROR(INDEX('RENCANA MINGGUAN'!$F$17:$F$610,$S71),"")</f>
        <v/>
      </c>
      <c r="G71" t="str">
        <f>IFERROR(INDEX('RENCANA MINGGUAN'!$G$17:$G$610,$S71),"")</f>
        <v/>
      </c>
      <c r="H71" t="str">
        <f>IFERROR(INDEX('RENCANA MINGGUAN'!$H$17:$H$610,$S71),"")</f>
        <v/>
      </c>
      <c r="I71" t="str">
        <f>IFERROR(INDEX('RENCANA MINGGUAN'!$I$17:$I$610,$S71),"")</f>
        <v/>
      </c>
      <c r="J71" t="str">
        <f>IFERROR(INDEX('RENCANA MINGGUAN'!$J$17:$J$610,$S71),"")</f>
        <v/>
      </c>
      <c r="N71" t="str">
        <f>IFERROR(IF(INDEX('RENCANA MINGGUAN'!$N$17:$N$610,$S71)=0,"",INDEX('RENCANA MINGGUAN'!$N$17:$N$610,$S71)),"")</f>
        <v/>
      </c>
      <c r="O71" t="str">
        <f>IFERROR(INDEX('RENCANA MINGGUAN'!$O$17:$O$610,$S71),"")</f>
        <v/>
      </c>
      <c r="S71" t="str">
        <f>IFERROR(MATCH(ROW()-16,'RENCANA MINGGUAN'!$Q$17:$Q$610,0),"")</f>
        <v/>
      </c>
    </row>
    <row r="72" spans="1:19" ht="12.75" customHeight="1" x14ac:dyDescent="0.2">
      <c r="A72" t="str">
        <f>IFERROR(INDEX('RENCANA MINGGUAN'!$A$17:$A$610,$S72),"")</f>
        <v/>
      </c>
      <c r="B72" t="str">
        <f>IFERROR(INDEX('RENCANA MINGGUAN'!$B$17:$B$610,$S72),"")</f>
        <v/>
      </c>
      <c r="C72" t="str">
        <f>IFERROR(INDEX('RENCANA MINGGUAN'!$C$17:$C$610,$S72),"")</f>
        <v/>
      </c>
      <c r="D72" t="str">
        <f>IFERROR(INDEX('RENCANA MINGGUAN'!$D$17:$D$610,$S72),"")</f>
        <v/>
      </c>
      <c r="E72" t="str">
        <f>IFERROR(INDEX('RENCANA MINGGUAN'!$E$17:$E$610,$S72),"")</f>
        <v/>
      </c>
      <c r="F72" t="str">
        <f>IFERROR(INDEX('RENCANA MINGGUAN'!$F$17:$F$610,$S72),"")</f>
        <v/>
      </c>
      <c r="G72" t="str">
        <f>IFERROR(INDEX('RENCANA MINGGUAN'!$G$17:$G$610,$S72),"")</f>
        <v/>
      </c>
      <c r="H72" t="str">
        <f>IFERROR(INDEX('RENCANA MINGGUAN'!$H$17:$H$610,$S72),"")</f>
        <v/>
      </c>
      <c r="I72" t="str">
        <f>IFERROR(INDEX('RENCANA MINGGUAN'!$I$17:$I$610,$S72),"")</f>
        <v/>
      </c>
      <c r="J72" t="str">
        <f>IFERROR(INDEX('RENCANA MINGGUAN'!$J$17:$J$610,$S72),"")</f>
        <v/>
      </c>
      <c r="N72" t="str">
        <f>IFERROR(IF(INDEX('RENCANA MINGGUAN'!$N$17:$N$610,$S72)=0,"",INDEX('RENCANA MINGGUAN'!$N$17:$N$610,$S72)),"")</f>
        <v/>
      </c>
      <c r="O72" t="str">
        <f>IFERROR(INDEX('RENCANA MINGGUAN'!$O$17:$O$610,$S72),"")</f>
        <v/>
      </c>
      <c r="S72" t="str">
        <f>IFERROR(MATCH(ROW()-16,'RENCANA MINGGUAN'!$Q$17:$Q$610,0),"")</f>
        <v/>
      </c>
    </row>
    <row r="73" spans="1:19" ht="12.75" customHeight="1" x14ac:dyDescent="0.2">
      <c r="A73" t="str">
        <f>IFERROR(INDEX('RENCANA MINGGUAN'!$A$17:$A$610,$S73),"")</f>
        <v/>
      </c>
      <c r="B73" t="str">
        <f>IFERROR(INDEX('RENCANA MINGGUAN'!$B$17:$B$610,$S73),"")</f>
        <v/>
      </c>
      <c r="C73" t="str">
        <f>IFERROR(INDEX('RENCANA MINGGUAN'!$C$17:$C$610,$S73),"")</f>
        <v/>
      </c>
      <c r="D73" t="str">
        <f>IFERROR(INDEX('RENCANA MINGGUAN'!$D$17:$D$610,$S73),"")</f>
        <v/>
      </c>
      <c r="E73" t="str">
        <f>IFERROR(INDEX('RENCANA MINGGUAN'!$E$17:$E$610,$S73),"")</f>
        <v/>
      </c>
      <c r="F73" t="str">
        <f>IFERROR(INDEX('RENCANA MINGGUAN'!$F$17:$F$610,$S73),"")</f>
        <v/>
      </c>
      <c r="G73" t="str">
        <f>IFERROR(INDEX('RENCANA MINGGUAN'!$G$17:$G$610,$S73),"")</f>
        <v/>
      </c>
      <c r="H73" t="str">
        <f>IFERROR(INDEX('RENCANA MINGGUAN'!$H$17:$H$610,$S73),"")</f>
        <v/>
      </c>
      <c r="I73" t="str">
        <f>IFERROR(INDEX('RENCANA MINGGUAN'!$I$17:$I$610,$S73),"")</f>
        <v/>
      </c>
      <c r="J73" t="str">
        <f>IFERROR(INDEX('RENCANA MINGGUAN'!$J$17:$J$610,$S73),"")</f>
        <v/>
      </c>
      <c r="N73" t="str">
        <f>IFERROR(IF(INDEX('RENCANA MINGGUAN'!$N$17:$N$610,$S73)=0,"",INDEX('RENCANA MINGGUAN'!$N$17:$N$610,$S73)),"")</f>
        <v/>
      </c>
      <c r="O73" t="str">
        <f>IFERROR(INDEX('RENCANA MINGGUAN'!$O$17:$O$610,$S73),"")</f>
        <v/>
      </c>
      <c r="S73" t="str">
        <f>IFERROR(MATCH(ROW()-16,'RENCANA MINGGUAN'!$Q$17:$Q$610,0),"")</f>
        <v/>
      </c>
    </row>
    <row r="74" spans="1:19" ht="12.75" customHeight="1" x14ac:dyDescent="0.2">
      <c r="A74" t="str">
        <f>IFERROR(INDEX('RENCANA MINGGUAN'!$A$17:$A$610,$S74),"")</f>
        <v/>
      </c>
      <c r="B74" t="str">
        <f>IFERROR(INDEX('RENCANA MINGGUAN'!$B$17:$B$610,$S74),"")</f>
        <v/>
      </c>
      <c r="C74" t="str">
        <f>IFERROR(INDEX('RENCANA MINGGUAN'!$C$17:$C$610,$S74),"")</f>
        <v/>
      </c>
      <c r="D74" t="str">
        <f>IFERROR(INDEX('RENCANA MINGGUAN'!$D$17:$D$610,$S74),"")</f>
        <v/>
      </c>
      <c r="E74" t="str">
        <f>IFERROR(INDEX('RENCANA MINGGUAN'!$E$17:$E$610,$S74),"")</f>
        <v/>
      </c>
      <c r="F74" t="str">
        <f>IFERROR(INDEX('RENCANA MINGGUAN'!$F$17:$F$610,$S74),"")</f>
        <v/>
      </c>
      <c r="G74" t="str">
        <f>IFERROR(INDEX('RENCANA MINGGUAN'!$G$17:$G$610,$S74),"")</f>
        <v/>
      </c>
      <c r="H74" t="str">
        <f>IFERROR(INDEX('RENCANA MINGGUAN'!$H$17:$H$610,$S74),"")</f>
        <v/>
      </c>
      <c r="I74" t="str">
        <f>IFERROR(INDEX('RENCANA MINGGUAN'!$I$17:$I$610,$S74),"")</f>
        <v/>
      </c>
      <c r="J74" t="str">
        <f>IFERROR(INDEX('RENCANA MINGGUAN'!$J$17:$J$610,$S74),"")</f>
        <v/>
      </c>
      <c r="N74" t="str">
        <f>IFERROR(IF(INDEX('RENCANA MINGGUAN'!$N$17:$N$610,$S74)=0,"",INDEX('RENCANA MINGGUAN'!$N$17:$N$610,$S74)),"")</f>
        <v/>
      </c>
      <c r="O74" t="str">
        <f>IFERROR(INDEX('RENCANA MINGGUAN'!$O$17:$O$610,$S74),"")</f>
        <v/>
      </c>
      <c r="S74" t="str">
        <f>IFERROR(MATCH(ROW()-16,'RENCANA MINGGUAN'!$Q$17:$Q$610,0),"")</f>
        <v/>
      </c>
    </row>
    <row r="75" spans="1:19" ht="12.75" customHeight="1" x14ac:dyDescent="0.2">
      <c r="A75" t="str">
        <f>IFERROR(INDEX('RENCANA MINGGUAN'!$A$17:$A$610,$S75),"")</f>
        <v/>
      </c>
      <c r="B75" t="str">
        <f>IFERROR(INDEX('RENCANA MINGGUAN'!$B$17:$B$610,$S75),"")</f>
        <v/>
      </c>
      <c r="C75" t="str">
        <f>IFERROR(INDEX('RENCANA MINGGUAN'!$C$17:$C$610,$S75),"")</f>
        <v/>
      </c>
      <c r="D75" t="str">
        <f>IFERROR(INDEX('RENCANA MINGGUAN'!$D$17:$D$610,$S75),"")</f>
        <v/>
      </c>
      <c r="E75" t="str">
        <f>IFERROR(INDEX('RENCANA MINGGUAN'!$E$17:$E$610,$S75),"")</f>
        <v/>
      </c>
      <c r="F75" t="str">
        <f>IFERROR(INDEX('RENCANA MINGGUAN'!$F$17:$F$610,$S75),"")</f>
        <v/>
      </c>
      <c r="G75" t="str">
        <f>IFERROR(INDEX('RENCANA MINGGUAN'!$G$17:$G$610,$S75),"")</f>
        <v/>
      </c>
      <c r="H75" t="str">
        <f>IFERROR(INDEX('RENCANA MINGGUAN'!$H$17:$H$610,$S75),"")</f>
        <v/>
      </c>
      <c r="I75" t="str">
        <f>IFERROR(INDEX('RENCANA MINGGUAN'!$I$17:$I$610,$S75),"")</f>
        <v/>
      </c>
      <c r="J75" t="str">
        <f>IFERROR(INDEX('RENCANA MINGGUAN'!$J$17:$J$610,$S75),"")</f>
        <v/>
      </c>
      <c r="N75" t="str">
        <f>IFERROR(IF(INDEX('RENCANA MINGGUAN'!$N$17:$N$610,$S75)=0,"",INDEX('RENCANA MINGGUAN'!$N$17:$N$610,$S75)),"")</f>
        <v/>
      </c>
      <c r="O75" t="str">
        <f>IFERROR(INDEX('RENCANA MINGGUAN'!$O$17:$O$610,$S75),"")</f>
        <v/>
      </c>
      <c r="S75" t="str">
        <f>IFERROR(MATCH(ROW()-16,'RENCANA MINGGUAN'!$Q$17:$Q$610,0),"")</f>
        <v/>
      </c>
    </row>
    <row r="76" spans="1:19" ht="12.75" customHeight="1" x14ac:dyDescent="0.2">
      <c r="A76" t="str">
        <f>IFERROR(INDEX('RENCANA MINGGUAN'!$A$17:$A$610,$S76),"")</f>
        <v/>
      </c>
      <c r="B76" t="str">
        <f>IFERROR(INDEX('RENCANA MINGGUAN'!$B$17:$B$610,$S76),"")</f>
        <v/>
      </c>
      <c r="C76" t="str">
        <f>IFERROR(INDEX('RENCANA MINGGUAN'!$C$17:$C$610,$S76),"")</f>
        <v/>
      </c>
      <c r="D76" t="str">
        <f>IFERROR(INDEX('RENCANA MINGGUAN'!$D$17:$D$610,$S76),"")</f>
        <v/>
      </c>
      <c r="E76" t="str">
        <f>IFERROR(INDEX('RENCANA MINGGUAN'!$E$17:$E$610,$S76),"")</f>
        <v/>
      </c>
      <c r="F76" t="str">
        <f>IFERROR(INDEX('RENCANA MINGGUAN'!$F$17:$F$610,$S76),"")</f>
        <v/>
      </c>
      <c r="G76" t="str">
        <f>IFERROR(INDEX('RENCANA MINGGUAN'!$G$17:$G$610,$S76),"")</f>
        <v/>
      </c>
      <c r="H76" t="str">
        <f>IFERROR(INDEX('RENCANA MINGGUAN'!$H$17:$H$610,$S76),"")</f>
        <v/>
      </c>
      <c r="I76" t="str">
        <f>IFERROR(INDEX('RENCANA MINGGUAN'!$I$17:$I$610,$S76),"")</f>
        <v/>
      </c>
      <c r="J76" t="str">
        <f>IFERROR(INDEX('RENCANA MINGGUAN'!$J$17:$J$610,$S76),"")</f>
        <v/>
      </c>
      <c r="N76" t="str">
        <f>IFERROR(IF(INDEX('RENCANA MINGGUAN'!$N$17:$N$610,$S76)=0,"",INDEX('RENCANA MINGGUAN'!$N$17:$N$610,$S76)),"")</f>
        <v/>
      </c>
      <c r="O76" t="str">
        <f>IFERROR(INDEX('RENCANA MINGGUAN'!$O$17:$O$610,$S76),"")</f>
        <v/>
      </c>
      <c r="S76" t="str">
        <f>IFERROR(MATCH(ROW()-16,'RENCANA MINGGUAN'!$Q$17:$Q$610,0),"")</f>
        <v/>
      </c>
    </row>
    <row r="77" spans="1:19" ht="12.75" customHeight="1" x14ac:dyDescent="0.2">
      <c r="A77" t="str">
        <f>IFERROR(INDEX('RENCANA MINGGUAN'!$A$17:$A$610,$S77),"")</f>
        <v/>
      </c>
      <c r="B77" t="str">
        <f>IFERROR(INDEX('RENCANA MINGGUAN'!$B$17:$B$610,$S77),"")</f>
        <v/>
      </c>
      <c r="C77" t="str">
        <f>IFERROR(INDEX('RENCANA MINGGUAN'!$C$17:$C$610,$S77),"")</f>
        <v/>
      </c>
      <c r="D77" t="str">
        <f>IFERROR(INDEX('RENCANA MINGGUAN'!$D$17:$D$610,$S77),"")</f>
        <v/>
      </c>
      <c r="E77" t="str">
        <f>IFERROR(INDEX('RENCANA MINGGUAN'!$E$17:$E$610,$S77),"")</f>
        <v/>
      </c>
      <c r="F77" t="str">
        <f>IFERROR(INDEX('RENCANA MINGGUAN'!$F$17:$F$610,$S77),"")</f>
        <v/>
      </c>
      <c r="G77" t="str">
        <f>IFERROR(INDEX('RENCANA MINGGUAN'!$G$17:$G$610,$S77),"")</f>
        <v/>
      </c>
      <c r="H77" t="str">
        <f>IFERROR(INDEX('RENCANA MINGGUAN'!$H$17:$H$610,$S77),"")</f>
        <v/>
      </c>
      <c r="I77" t="str">
        <f>IFERROR(INDEX('RENCANA MINGGUAN'!$I$17:$I$610,$S77),"")</f>
        <v/>
      </c>
      <c r="J77" t="str">
        <f>IFERROR(INDEX('RENCANA MINGGUAN'!$J$17:$J$610,$S77),"")</f>
        <v/>
      </c>
      <c r="N77" t="str">
        <f>IFERROR(IF(INDEX('RENCANA MINGGUAN'!$N$17:$N$610,$S77)=0,"",INDEX('RENCANA MINGGUAN'!$N$17:$N$610,$S77)),"")</f>
        <v/>
      </c>
      <c r="O77" t="str">
        <f>IFERROR(INDEX('RENCANA MINGGUAN'!$O$17:$O$610,$S77),"")</f>
        <v/>
      </c>
      <c r="S77" t="str">
        <f>IFERROR(MATCH(ROW()-16,'RENCANA MINGGUAN'!$Q$17:$Q$610,0),"")</f>
        <v/>
      </c>
    </row>
    <row r="78" spans="1:19" ht="12.75" customHeight="1" x14ac:dyDescent="0.2">
      <c r="A78" t="str">
        <f>IFERROR(INDEX('RENCANA MINGGUAN'!$A$17:$A$610,$S78),"")</f>
        <v/>
      </c>
      <c r="B78" t="str">
        <f>IFERROR(INDEX('RENCANA MINGGUAN'!$B$17:$B$610,$S78),"")</f>
        <v/>
      </c>
      <c r="C78" t="str">
        <f>IFERROR(INDEX('RENCANA MINGGUAN'!$C$17:$C$610,$S78),"")</f>
        <v/>
      </c>
      <c r="D78" t="str">
        <f>IFERROR(INDEX('RENCANA MINGGUAN'!$D$17:$D$610,$S78),"")</f>
        <v/>
      </c>
      <c r="E78" t="str">
        <f>IFERROR(INDEX('RENCANA MINGGUAN'!$E$17:$E$610,$S78),"")</f>
        <v/>
      </c>
      <c r="F78" t="str">
        <f>IFERROR(INDEX('RENCANA MINGGUAN'!$F$17:$F$610,$S78),"")</f>
        <v/>
      </c>
      <c r="G78" t="str">
        <f>IFERROR(INDEX('RENCANA MINGGUAN'!$G$17:$G$610,$S78),"")</f>
        <v/>
      </c>
      <c r="H78" t="str">
        <f>IFERROR(INDEX('RENCANA MINGGUAN'!$H$17:$H$610,$S78),"")</f>
        <v/>
      </c>
      <c r="I78" t="str">
        <f>IFERROR(INDEX('RENCANA MINGGUAN'!$I$17:$I$610,$S78),"")</f>
        <v/>
      </c>
      <c r="J78" t="str">
        <f>IFERROR(INDEX('RENCANA MINGGUAN'!$J$17:$J$610,$S78),"")</f>
        <v/>
      </c>
      <c r="N78" t="str">
        <f>IFERROR(IF(INDEX('RENCANA MINGGUAN'!$N$17:$N$610,$S78)=0,"",INDEX('RENCANA MINGGUAN'!$N$17:$N$610,$S78)),"")</f>
        <v/>
      </c>
      <c r="O78" t="str">
        <f>IFERROR(INDEX('RENCANA MINGGUAN'!$O$17:$O$610,$S78),"")</f>
        <v/>
      </c>
      <c r="S78" t="str">
        <f>IFERROR(MATCH(ROW()-16,'RENCANA MINGGUAN'!$Q$17:$Q$610,0),"")</f>
        <v/>
      </c>
    </row>
    <row r="79" spans="1:19" ht="12.75" customHeight="1" x14ac:dyDescent="0.2">
      <c r="A79" t="str">
        <f>IFERROR(INDEX('RENCANA MINGGUAN'!$A$17:$A$610,$S79),"")</f>
        <v/>
      </c>
      <c r="B79" t="str">
        <f>IFERROR(INDEX('RENCANA MINGGUAN'!$B$17:$B$610,$S79),"")</f>
        <v/>
      </c>
      <c r="C79" t="str">
        <f>IFERROR(INDEX('RENCANA MINGGUAN'!$C$17:$C$610,$S79),"")</f>
        <v/>
      </c>
      <c r="D79" t="str">
        <f>IFERROR(INDEX('RENCANA MINGGUAN'!$D$17:$D$610,$S79),"")</f>
        <v/>
      </c>
      <c r="E79" t="str">
        <f>IFERROR(INDEX('RENCANA MINGGUAN'!$E$17:$E$610,$S79),"")</f>
        <v/>
      </c>
      <c r="F79" t="str">
        <f>IFERROR(INDEX('RENCANA MINGGUAN'!$F$17:$F$610,$S79),"")</f>
        <v/>
      </c>
      <c r="G79" t="str">
        <f>IFERROR(INDEX('RENCANA MINGGUAN'!$G$17:$G$610,$S79),"")</f>
        <v/>
      </c>
      <c r="H79" t="str">
        <f>IFERROR(INDEX('RENCANA MINGGUAN'!$H$17:$H$610,$S79),"")</f>
        <v/>
      </c>
      <c r="I79" t="str">
        <f>IFERROR(INDEX('RENCANA MINGGUAN'!$I$17:$I$610,$S79),"")</f>
        <v/>
      </c>
      <c r="J79" t="str">
        <f>IFERROR(INDEX('RENCANA MINGGUAN'!$J$17:$J$610,$S79),"")</f>
        <v/>
      </c>
      <c r="N79" t="str">
        <f>IFERROR(IF(INDEX('RENCANA MINGGUAN'!$N$17:$N$610,$S79)=0,"",INDEX('RENCANA MINGGUAN'!$N$17:$N$610,$S79)),"")</f>
        <v/>
      </c>
      <c r="O79" t="str">
        <f>IFERROR(INDEX('RENCANA MINGGUAN'!$O$17:$O$610,$S79),"")</f>
        <v/>
      </c>
      <c r="S79" t="str">
        <f>IFERROR(MATCH(ROW()-16,'RENCANA MINGGUAN'!$Q$17:$Q$610,0),"")</f>
        <v/>
      </c>
    </row>
    <row r="80" spans="1:19" ht="12.75" customHeight="1" x14ac:dyDescent="0.2">
      <c r="A80" t="str">
        <f>IFERROR(INDEX('RENCANA MINGGUAN'!$A$17:$A$610,$S80),"")</f>
        <v/>
      </c>
      <c r="B80" t="str">
        <f>IFERROR(INDEX('RENCANA MINGGUAN'!$B$17:$B$610,$S80),"")</f>
        <v/>
      </c>
      <c r="C80" t="str">
        <f>IFERROR(INDEX('RENCANA MINGGUAN'!$C$17:$C$610,$S80),"")</f>
        <v/>
      </c>
      <c r="D80" t="str">
        <f>IFERROR(INDEX('RENCANA MINGGUAN'!$D$17:$D$610,$S80),"")</f>
        <v/>
      </c>
      <c r="E80" t="str">
        <f>IFERROR(INDEX('RENCANA MINGGUAN'!$E$17:$E$610,$S80),"")</f>
        <v/>
      </c>
      <c r="F80" t="str">
        <f>IFERROR(INDEX('RENCANA MINGGUAN'!$F$17:$F$610,$S80),"")</f>
        <v/>
      </c>
      <c r="G80" t="str">
        <f>IFERROR(INDEX('RENCANA MINGGUAN'!$G$17:$G$610,$S80),"")</f>
        <v/>
      </c>
      <c r="H80" t="str">
        <f>IFERROR(INDEX('RENCANA MINGGUAN'!$H$17:$H$610,$S80),"")</f>
        <v/>
      </c>
      <c r="I80" t="str">
        <f>IFERROR(INDEX('RENCANA MINGGUAN'!$I$17:$I$610,$S80),"")</f>
        <v/>
      </c>
      <c r="J80" t="str">
        <f>IFERROR(INDEX('RENCANA MINGGUAN'!$J$17:$J$610,$S80),"")</f>
        <v/>
      </c>
      <c r="N80" t="str">
        <f>IFERROR(IF(INDEX('RENCANA MINGGUAN'!$N$17:$N$610,$S80)=0,"",INDEX('RENCANA MINGGUAN'!$N$17:$N$610,$S80)),"")</f>
        <v/>
      </c>
      <c r="O80" t="str">
        <f>IFERROR(INDEX('RENCANA MINGGUAN'!$O$17:$O$610,$S80),"")</f>
        <v/>
      </c>
      <c r="S80" t="str">
        <f>IFERROR(MATCH(ROW()-16,'RENCANA MINGGUAN'!$Q$17:$Q$610,0),"")</f>
        <v/>
      </c>
    </row>
    <row r="81" spans="1:19" ht="12.75" customHeight="1" x14ac:dyDescent="0.2">
      <c r="A81" t="str">
        <f>IFERROR(INDEX('RENCANA MINGGUAN'!$A$17:$A$610,$S81),"")</f>
        <v/>
      </c>
      <c r="B81" t="str">
        <f>IFERROR(INDEX('RENCANA MINGGUAN'!$B$17:$B$610,$S81),"")</f>
        <v/>
      </c>
      <c r="C81" t="str">
        <f>IFERROR(INDEX('RENCANA MINGGUAN'!$C$17:$C$610,$S81),"")</f>
        <v/>
      </c>
      <c r="D81" t="str">
        <f>IFERROR(INDEX('RENCANA MINGGUAN'!$D$17:$D$610,$S81),"")</f>
        <v/>
      </c>
      <c r="E81" t="str">
        <f>IFERROR(INDEX('RENCANA MINGGUAN'!$E$17:$E$610,$S81),"")</f>
        <v/>
      </c>
      <c r="F81" t="str">
        <f>IFERROR(INDEX('RENCANA MINGGUAN'!$F$17:$F$610,$S81),"")</f>
        <v/>
      </c>
      <c r="G81" t="str">
        <f>IFERROR(INDEX('RENCANA MINGGUAN'!$G$17:$G$610,$S81),"")</f>
        <v/>
      </c>
      <c r="H81" t="str">
        <f>IFERROR(INDEX('RENCANA MINGGUAN'!$H$17:$H$610,$S81),"")</f>
        <v/>
      </c>
      <c r="I81" t="str">
        <f>IFERROR(INDEX('RENCANA MINGGUAN'!$I$17:$I$610,$S81),"")</f>
        <v/>
      </c>
      <c r="J81" t="str">
        <f>IFERROR(INDEX('RENCANA MINGGUAN'!$J$17:$J$610,$S81),"")</f>
        <v/>
      </c>
      <c r="N81" t="str">
        <f>IFERROR(IF(INDEX('RENCANA MINGGUAN'!$N$17:$N$610,$S81)=0,"",INDEX('RENCANA MINGGUAN'!$N$17:$N$610,$S81)),"")</f>
        <v/>
      </c>
      <c r="O81" t="str">
        <f>IFERROR(INDEX('RENCANA MINGGUAN'!$O$17:$O$610,$S81),"")</f>
        <v/>
      </c>
      <c r="S81" t="str">
        <f>IFERROR(MATCH(ROW()-16,'RENCANA MINGGUAN'!$Q$17:$Q$610,0),"")</f>
        <v/>
      </c>
    </row>
    <row r="82" spans="1:19" ht="12.75" customHeight="1" x14ac:dyDescent="0.2">
      <c r="A82" t="str">
        <f>IFERROR(INDEX('RENCANA MINGGUAN'!$A$17:$A$610,$S82),"")</f>
        <v/>
      </c>
      <c r="B82" t="str">
        <f>IFERROR(INDEX('RENCANA MINGGUAN'!$B$17:$B$610,$S82),"")</f>
        <v/>
      </c>
      <c r="C82" t="str">
        <f>IFERROR(INDEX('RENCANA MINGGUAN'!$C$17:$C$610,$S82),"")</f>
        <v/>
      </c>
      <c r="D82" t="str">
        <f>IFERROR(INDEX('RENCANA MINGGUAN'!$D$17:$D$610,$S82),"")</f>
        <v/>
      </c>
      <c r="E82" t="str">
        <f>IFERROR(INDEX('RENCANA MINGGUAN'!$E$17:$E$610,$S82),"")</f>
        <v/>
      </c>
      <c r="F82" t="str">
        <f>IFERROR(INDEX('RENCANA MINGGUAN'!$F$17:$F$610,$S82),"")</f>
        <v/>
      </c>
      <c r="G82" t="str">
        <f>IFERROR(INDEX('RENCANA MINGGUAN'!$G$17:$G$610,$S82),"")</f>
        <v/>
      </c>
      <c r="H82" t="str">
        <f>IFERROR(INDEX('RENCANA MINGGUAN'!$H$17:$H$610,$S82),"")</f>
        <v/>
      </c>
      <c r="I82" t="str">
        <f>IFERROR(INDEX('RENCANA MINGGUAN'!$I$17:$I$610,$S82),"")</f>
        <v/>
      </c>
      <c r="J82" t="str">
        <f>IFERROR(INDEX('RENCANA MINGGUAN'!$J$17:$J$610,$S82),"")</f>
        <v/>
      </c>
      <c r="N82" t="str">
        <f>IFERROR(IF(INDEX('RENCANA MINGGUAN'!$N$17:$N$610,$S82)=0,"",INDEX('RENCANA MINGGUAN'!$N$17:$N$610,$S82)),"")</f>
        <v/>
      </c>
      <c r="O82" t="str">
        <f>IFERROR(INDEX('RENCANA MINGGUAN'!$O$17:$O$610,$S82),"")</f>
        <v/>
      </c>
      <c r="S82" t="str">
        <f>IFERROR(MATCH(ROW()-16,'RENCANA MINGGUAN'!$Q$17:$Q$610,0),"")</f>
        <v/>
      </c>
    </row>
    <row r="83" spans="1:19" ht="12.75" customHeight="1" x14ac:dyDescent="0.2">
      <c r="A83" t="str">
        <f>IFERROR(INDEX('RENCANA MINGGUAN'!$A$17:$A$610,$S83),"")</f>
        <v/>
      </c>
      <c r="B83" t="str">
        <f>IFERROR(INDEX('RENCANA MINGGUAN'!$B$17:$B$610,$S83),"")</f>
        <v/>
      </c>
      <c r="C83" t="str">
        <f>IFERROR(INDEX('RENCANA MINGGUAN'!$C$17:$C$610,$S83),"")</f>
        <v/>
      </c>
      <c r="D83" t="str">
        <f>IFERROR(INDEX('RENCANA MINGGUAN'!$D$17:$D$610,$S83),"")</f>
        <v/>
      </c>
      <c r="E83" t="str">
        <f>IFERROR(INDEX('RENCANA MINGGUAN'!$E$17:$E$610,$S83),"")</f>
        <v/>
      </c>
      <c r="F83" t="str">
        <f>IFERROR(INDEX('RENCANA MINGGUAN'!$F$17:$F$610,$S83),"")</f>
        <v/>
      </c>
      <c r="G83" t="str">
        <f>IFERROR(INDEX('RENCANA MINGGUAN'!$G$17:$G$610,$S83),"")</f>
        <v/>
      </c>
      <c r="H83" t="str">
        <f>IFERROR(INDEX('RENCANA MINGGUAN'!$H$17:$H$610,$S83),"")</f>
        <v/>
      </c>
      <c r="I83" t="str">
        <f>IFERROR(INDEX('RENCANA MINGGUAN'!$I$17:$I$610,$S83),"")</f>
        <v/>
      </c>
      <c r="J83" t="str">
        <f>IFERROR(INDEX('RENCANA MINGGUAN'!$J$17:$J$610,$S83),"")</f>
        <v/>
      </c>
      <c r="N83" t="str">
        <f>IFERROR(IF(INDEX('RENCANA MINGGUAN'!$N$17:$N$610,$S83)=0,"",INDEX('RENCANA MINGGUAN'!$N$17:$N$610,$S83)),"")</f>
        <v/>
      </c>
      <c r="O83" t="str">
        <f>IFERROR(INDEX('RENCANA MINGGUAN'!$O$17:$O$610,$S83),"")</f>
        <v/>
      </c>
      <c r="S83" t="str">
        <f>IFERROR(MATCH(ROW()-16,'RENCANA MINGGUAN'!$Q$17:$Q$610,0),"")</f>
        <v/>
      </c>
    </row>
    <row r="84" spans="1:19" ht="12.75" customHeight="1" x14ac:dyDescent="0.2">
      <c r="A84" t="str">
        <f>IFERROR(INDEX('RENCANA MINGGUAN'!$A$17:$A$610,$S84),"")</f>
        <v/>
      </c>
      <c r="B84" t="str">
        <f>IFERROR(INDEX('RENCANA MINGGUAN'!$B$17:$B$610,$S84),"")</f>
        <v/>
      </c>
      <c r="C84" t="str">
        <f>IFERROR(INDEX('RENCANA MINGGUAN'!$C$17:$C$610,$S84),"")</f>
        <v/>
      </c>
      <c r="D84" t="str">
        <f>IFERROR(INDEX('RENCANA MINGGUAN'!$D$17:$D$610,$S84),"")</f>
        <v/>
      </c>
      <c r="E84" t="str">
        <f>IFERROR(INDEX('RENCANA MINGGUAN'!$E$17:$E$610,$S84),"")</f>
        <v/>
      </c>
      <c r="F84" t="str">
        <f>IFERROR(INDEX('RENCANA MINGGUAN'!$F$17:$F$610,$S84),"")</f>
        <v/>
      </c>
      <c r="G84" t="str">
        <f>IFERROR(INDEX('RENCANA MINGGUAN'!$G$17:$G$610,$S84),"")</f>
        <v/>
      </c>
      <c r="H84" t="str">
        <f>IFERROR(INDEX('RENCANA MINGGUAN'!$H$17:$H$610,$S84),"")</f>
        <v/>
      </c>
      <c r="I84" t="str">
        <f>IFERROR(INDEX('RENCANA MINGGUAN'!$I$17:$I$610,$S84),"")</f>
        <v/>
      </c>
      <c r="J84" t="str">
        <f>IFERROR(INDEX('RENCANA MINGGUAN'!$J$17:$J$610,$S84),"")</f>
        <v/>
      </c>
      <c r="N84" t="str">
        <f>IFERROR(IF(INDEX('RENCANA MINGGUAN'!$N$17:$N$610,$S84)=0,"",INDEX('RENCANA MINGGUAN'!$N$17:$N$610,$S84)),"")</f>
        <v/>
      </c>
      <c r="O84" t="str">
        <f>IFERROR(INDEX('RENCANA MINGGUAN'!$O$17:$O$610,$S84),"")</f>
        <v/>
      </c>
      <c r="S84" t="str">
        <f>IFERROR(MATCH(ROW()-16,'RENCANA MINGGUAN'!$Q$17:$Q$610,0),"")</f>
        <v/>
      </c>
    </row>
    <row r="85" spans="1:19" ht="12.75" customHeight="1" x14ac:dyDescent="0.2">
      <c r="A85" t="str">
        <f>IFERROR(INDEX('RENCANA MINGGUAN'!$A$17:$A$610,$S85),"")</f>
        <v/>
      </c>
      <c r="B85" t="str">
        <f>IFERROR(INDEX('RENCANA MINGGUAN'!$B$17:$B$610,$S85),"")</f>
        <v/>
      </c>
      <c r="C85" t="str">
        <f>IFERROR(INDEX('RENCANA MINGGUAN'!$C$17:$C$610,$S85),"")</f>
        <v/>
      </c>
      <c r="D85" t="str">
        <f>IFERROR(INDEX('RENCANA MINGGUAN'!$D$17:$D$610,$S85),"")</f>
        <v/>
      </c>
      <c r="E85" t="str">
        <f>IFERROR(INDEX('RENCANA MINGGUAN'!$E$17:$E$610,$S85),"")</f>
        <v/>
      </c>
      <c r="F85" t="str">
        <f>IFERROR(INDEX('RENCANA MINGGUAN'!$F$17:$F$610,$S85),"")</f>
        <v/>
      </c>
      <c r="G85" t="str">
        <f>IFERROR(INDEX('RENCANA MINGGUAN'!$G$17:$G$610,$S85),"")</f>
        <v/>
      </c>
      <c r="H85" t="str">
        <f>IFERROR(INDEX('RENCANA MINGGUAN'!$H$17:$H$610,$S85),"")</f>
        <v/>
      </c>
      <c r="I85" t="str">
        <f>IFERROR(INDEX('RENCANA MINGGUAN'!$I$17:$I$610,$S85),"")</f>
        <v/>
      </c>
      <c r="J85" t="str">
        <f>IFERROR(INDEX('RENCANA MINGGUAN'!$J$17:$J$610,$S85),"")</f>
        <v/>
      </c>
      <c r="N85" t="str">
        <f>IFERROR(IF(INDEX('RENCANA MINGGUAN'!$N$17:$N$610,$S85)=0,"",INDEX('RENCANA MINGGUAN'!$N$17:$N$610,$S85)),"")</f>
        <v/>
      </c>
      <c r="O85" t="str">
        <f>IFERROR(INDEX('RENCANA MINGGUAN'!$O$17:$O$610,$S85),"")</f>
        <v/>
      </c>
      <c r="S85" t="str">
        <f>IFERROR(MATCH(ROW()-16,'RENCANA MINGGUAN'!$Q$17:$Q$610,0),"")</f>
        <v/>
      </c>
    </row>
    <row r="86" spans="1:19" ht="12.75" customHeight="1" x14ac:dyDescent="0.2">
      <c r="A86" t="str">
        <f>IFERROR(INDEX('RENCANA MINGGUAN'!$A$17:$A$610,$S86),"")</f>
        <v/>
      </c>
      <c r="B86" t="str">
        <f>IFERROR(INDEX('RENCANA MINGGUAN'!$B$17:$B$610,$S86),"")</f>
        <v/>
      </c>
      <c r="C86" t="str">
        <f>IFERROR(INDEX('RENCANA MINGGUAN'!$C$17:$C$610,$S86),"")</f>
        <v/>
      </c>
      <c r="D86" t="str">
        <f>IFERROR(INDEX('RENCANA MINGGUAN'!$D$17:$D$610,$S86),"")</f>
        <v/>
      </c>
      <c r="E86" t="str">
        <f>IFERROR(INDEX('RENCANA MINGGUAN'!$E$17:$E$610,$S86),"")</f>
        <v/>
      </c>
      <c r="F86" t="str">
        <f>IFERROR(INDEX('RENCANA MINGGUAN'!$F$17:$F$610,$S86),"")</f>
        <v/>
      </c>
      <c r="G86" t="str">
        <f>IFERROR(INDEX('RENCANA MINGGUAN'!$G$17:$G$610,$S86),"")</f>
        <v/>
      </c>
      <c r="H86" t="str">
        <f>IFERROR(INDEX('RENCANA MINGGUAN'!$H$17:$H$610,$S86),"")</f>
        <v/>
      </c>
      <c r="I86" t="str">
        <f>IFERROR(INDEX('RENCANA MINGGUAN'!$I$17:$I$610,$S86),"")</f>
        <v/>
      </c>
      <c r="J86" t="str">
        <f>IFERROR(INDEX('RENCANA MINGGUAN'!$J$17:$J$610,$S86),"")</f>
        <v/>
      </c>
      <c r="N86" t="str">
        <f>IFERROR(IF(INDEX('RENCANA MINGGUAN'!$N$17:$N$610,$S86)=0,"",INDEX('RENCANA MINGGUAN'!$N$17:$N$610,$S86)),"")</f>
        <v/>
      </c>
      <c r="O86" t="str">
        <f>IFERROR(INDEX('RENCANA MINGGUAN'!$O$17:$O$610,$S86),"")</f>
        <v/>
      </c>
      <c r="S86" t="str">
        <f>IFERROR(MATCH(ROW()-16,'RENCANA MINGGUAN'!$Q$17:$Q$610,0),"")</f>
        <v/>
      </c>
    </row>
    <row r="87" spans="1:19" ht="12.75" customHeight="1" x14ac:dyDescent="0.2">
      <c r="A87" t="str">
        <f>IFERROR(INDEX('RENCANA MINGGUAN'!$A$17:$A$610,$S87),"")</f>
        <v/>
      </c>
      <c r="B87" t="str">
        <f>IFERROR(INDEX('RENCANA MINGGUAN'!$B$17:$B$610,$S87),"")</f>
        <v/>
      </c>
      <c r="C87" t="str">
        <f>IFERROR(INDEX('RENCANA MINGGUAN'!$C$17:$C$610,$S87),"")</f>
        <v/>
      </c>
      <c r="D87" t="str">
        <f>IFERROR(INDEX('RENCANA MINGGUAN'!$D$17:$D$610,$S87),"")</f>
        <v/>
      </c>
      <c r="E87" t="str">
        <f>IFERROR(INDEX('RENCANA MINGGUAN'!$E$17:$E$610,$S87),"")</f>
        <v/>
      </c>
      <c r="F87" t="str">
        <f>IFERROR(INDEX('RENCANA MINGGUAN'!$F$17:$F$610,$S87),"")</f>
        <v/>
      </c>
      <c r="G87" t="str">
        <f>IFERROR(INDEX('RENCANA MINGGUAN'!$G$17:$G$610,$S87),"")</f>
        <v/>
      </c>
      <c r="H87" t="str">
        <f>IFERROR(INDEX('RENCANA MINGGUAN'!$H$17:$H$610,$S87),"")</f>
        <v/>
      </c>
      <c r="I87" t="str">
        <f>IFERROR(INDEX('RENCANA MINGGUAN'!$I$17:$I$610,$S87),"")</f>
        <v/>
      </c>
      <c r="J87" t="str">
        <f>IFERROR(INDEX('RENCANA MINGGUAN'!$J$17:$J$610,$S87),"")</f>
        <v/>
      </c>
      <c r="N87" t="str">
        <f>IFERROR(IF(INDEX('RENCANA MINGGUAN'!$N$17:$N$610,$S87)=0,"",INDEX('RENCANA MINGGUAN'!$N$17:$N$610,$S87)),"")</f>
        <v/>
      </c>
      <c r="O87" t="str">
        <f>IFERROR(INDEX('RENCANA MINGGUAN'!$O$17:$O$610,$S87),"")</f>
        <v/>
      </c>
      <c r="S87" t="str">
        <f>IFERROR(MATCH(ROW()-16,'RENCANA MINGGUAN'!$Q$17:$Q$610,0),"")</f>
        <v/>
      </c>
    </row>
    <row r="88" spans="1:19" ht="12.75" customHeight="1" x14ac:dyDescent="0.2">
      <c r="A88" t="str">
        <f>IFERROR(INDEX('RENCANA MINGGUAN'!$A$17:$A$610,$S88),"")</f>
        <v/>
      </c>
      <c r="B88" t="str">
        <f>IFERROR(INDEX('RENCANA MINGGUAN'!$B$17:$B$610,$S88),"")</f>
        <v/>
      </c>
      <c r="C88" t="str">
        <f>IFERROR(INDEX('RENCANA MINGGUAN'!$C$17:$C$610,$S88),"")</f>
        <v/>
      </c>
      <c r="D88" t="str">
        <f>IFERROR(INDEX('RENCANA MINGGUAN'!$D$17:$D$610,$S88),"")</f>
        <v/>
      </c>
      <c r="E88" t="str">
        <f>IFERROR(INDEX('RENCANA MINGGUAN'!$E$17:$E$610,$S88),"")</f>
        <v/>
      </c>
      <c r="F88" t="str">
        <f>IFERROR(INDEX('RENCANA MINGGUAN'!$F$17:$F$610,$S88),"")</f>
        <v/>
      </c>
      <c r="G88" t="str">
        <f>IFERROR(INDEX('RENCANA MINGGUAN'!$G$17:$G$610,$S88),"")</f>
        <v/>
      </c>
      <c r="H88" t="str">
        <f>IFERROR(INDEX('RENCANA MINGGUAN'!$H$17:$H$610,$S88),"")</f>
        <v/>
      </c>
      <c r="I88" t="str">
        <f>IFERROR(INDEX('RENCANA MINGGUAN'!$I$17:$I$610,$S88),"")</f>
        <v/>
      </c>
      <c r="J88" t="str">
        <f>IFERROR(INDEX('RENCANA MINGGUAN'!$J$17:$J$610,$S88),"")</f>
        <v/>
      </c>
      <c r="N88" t="str">
        <f>IFERROR(IF(INDEX('RENCANA MINGGUAN'!$N$17:$N$610,$S88)=0,"",INDEX('RENCANA MINGGUAN'!$N$17:$N$610,$S88)),"")</f>
        <v/>
      </c>
      <c r="O88" t="str">
        <f>IFERROR(INDEX('RENCANA MINGGUAN'!$O$17:$O$610,$S88),"")</f>
        <v/>
      </c>
      <c r="S88" t="str">
        <f>IFERROR(MATCH(ROW()-16,'RENCANA MINGGUAN'!$Q$17:$Q$610,0),"")</f>
        <v/>
      </c>
    </row>
    <row r="89" spans="1:19" ht="12.75" customHeight="1" x14ac:dyDescent="0.2">
      <c r="A89" t="str">
        <f>IFERROR(INDEX('RENCANA MINGGUAN'!$A$17:$A$610,$S89),"")</f>
        <v/>
      </c>
      <c r="B89" t="str">
        <f>IFERROR(INDEX('RENCANA MINGGUAN'!$B$17:$B$610,$S89),"")</f>
        <v/>
      </c>
      <c r="C89" t="str">
        <f>IFERROR(INDEX('RENCANA MINGGUAN'!$C$17:$C$610,$S89),"")</f>
        <v/>
      </c>
      <c r="D89" t="str">
        <f>IFERROR(INDEX('RENCANA MINGGUAN'!$D$17:$D$610,$S89),"")</f>
        <v/>
      </c>
      <c r="E89" t="str">
        <f>IFERROR(INDEX('RENCANA MINGGUAN'!$E$17:$E$610,$S89),"")</f>
        <v/>
      </c>
      <c r="F89" t="str">
        <f>IFERROR(INDEX('RENCANA MINGGUAN'!$F$17:$F$610,$S89),"")</f>
        <v/>
      </c>
      <c r="G89" t="str">
        <f>IFERROR(INDEX('RENCANA MINGGUAN'!$G$17:$G$610,$S89),"")</f>
        <v/>
      </c>
      <c r="H89" t="str">
        <f>IFERROR(INDEX('RENCANA MINGGUAN'!$H$17:$H$610,$S89),"")</f>
        <v/>
      </c>
      <c r="I89" t="str">
        <f>IFERROR(INDEX('RENCANA MINGGUAN'!$I$17:$I$610,$S89),"")</f>
        <v/>
      </c>
      <c r="J89" t="str">
        <f>IFERROR(INDEX('RENCANA MINGGUAN'!$J$17:$J$610,$S89),"")</f>
        <v/>
      </c>
      <c r="N89" t="str">
        <f>IFERROR(IF(INDEX('RENCANA MINGGUAN'!$N$17:$N$610,$S89)=0,"",INDEX('RENCANA MINGGUAN'!$N$17:$N$610,$S89)),"")</f>
        <v/>
      </c>
      <c r="O89" t="str">
        <f>IFERROR(INDEX('RENCANA MINGGUAN'!$O$17:$O$610,$S89),"")</f>
        <v/>
      </c>
      <c r="S89" t="str">
        <f>IFERROR(MATCH(ROW()-16,'RENCANA MINGGUAN'!$Q$17:$Q$610,0),"")</f>
        <v/>
      </c>
    </row>
    <row r="90" spans="1:19" ht="12.75" customHeight="1" x14ac:dyDescent="0.2">
      <c r="A90" t="str">
        <f>IFERROR(INDEX('RENCANA MINGGUAN'!$A$17:$A$610,$S90),"")</f>
        <v/>
      </c>
      <c r="B90" t="str">
        <f>IFERROR(INDEX('RENCANA MINGGUAN'!$B$17:$B$610,$S90),"")</f>
        <v/>
      </c>
      <c r="C90" t="str">
        <f>IFERROR(INDEX('RENCANA MINGGUAN'!$C$17:$C$610,$S90),"")</f>
        <v/>
      </c>
      <c r="D90" t="str">
        <f>IFERROR(INDEX('RENCANA MINGGUAN'!$D$17:$D$610,$S90),"")</f>
        <v/>
      </c>
      <c r="E90" t="str">
        <f>IFERROR(INDEX('RENCANA MINGGUAN'!$E$17:$E$610,$S90),"")</f>
        <v/>
      </c>
      <c r="F90" t="str">
        <f>IFERROR(INDEX('RENCANA MINGGUAN'!$F$17:$F$610,$S90),"")</f>
        <v/>
      </c>
      <c r="G90" t="str">
        <f>IFERROR(INDEX('RENCANA MINGGUAN'!$G$17:$G$610,$S90),"")</f>
        <v/>
      </c>
      <c r="H90" t="str">
        <f>IFERROR(INDEX('RENCANA MINGGUAN'!$H$17:$H$610,$S90),"")</f>
        <v/>
      </c>
      <c r="I90" t="str">
        <f>IFERROR(INDEX('RENCANA MINGGUAN'!$I$17:$I$610,$S90),"")</f>
        <v/>
      </c>
      <c r="J90" t="str">
        <f>IFERROR(INDEX('RENCANA MINGGUAN'!$J$17:$J$610,$S90),"")</f>
        <v/>
      </c>
      <c r="N90" t="str">
        <f>IFERROR(IF(INDEX('RENCANA MINGGUAN'!$N$17:$N$610,$S90)=0,"",INDEX('RENCANA MINGGUAN'!$N$17:$N$610,$S90)),"")</f>
        <v/>
      </c>
      <c r="O90" t="str">
        <f>IFERROR(INDEX('RENCANA MINGGUAN'!$O$17:$O$610,$S90),"")</f>
        <v/>
      </c>
      <c r="S90" t="str">
        <f>IFERROR(MATCH(ROW()-16,'RENCANA MINGGUAN'!$Q$17:$Q$610,0),"")</f>
        <v/>
      </c>
    </row>
    <row r="91" spans="1:19" ht="12.75" customHeight="1" x14ac:dyDescent="0.2">
      <c r="A91" t="str">
        <f>IFERROR(INDEX('RENCANA MINGGUAN'!$A$17:$A$610,$S91),"")</f>
        <v/>
      </c>
      <c r="B91" t="str">
        <f>IFERROR(INDEX('RENCANA MINGGUAN'!$B$17:$B$610,$S91),"")</f>
        <v/>
      </c>
      <c r="C91" t="str">
        <f>IFERROR(INDEX('RENCANA MINGGUAN'!$C$17:$C$610,$S91),"")</f>
        <v/>
      </c>
      <c r="D91" t="str">
        <f>IFERROR(INDEX('RENCANA MINGGUAN'!$D$17:$D$610,$S91),"")</f>
        <v/>
      </c>
      <c r="E91" t="str">
        <f>IFERROR(INDEX('RENCANA MINGGUAN'!$E$17:$E$610,$S91),"")</f>
        <v/>
      </c>
      <c r="F91" t="str">
        <f>IFERROR(INDEX('RENCANA MINGGUAN'!$F$17:$F$610,$S91),"")</f>
        <v/>
      </c>
      <c r="G91" t="str">
        <f>IFERROR(INDEX('RENCANA MINGGUAN'!$G$17:$G$610,$S91),"")</f>
        <v/>
      </c>
      <c r="H91" t="str">
        <f>IFERROR(INDEX('RENCANA MINGGUAN'!$H$17:$H$610,$S91),"")</f>
        <v/>
      </c>
      <c r="I91" t="str">
        <f>IFERROR(INDEX('RENCANA MINGGUAN'!$I$17:$I$610,$S91),"")</f>
        <v/>
      </c>
      <c r="J91" t="str">
        <f>IFERROR(INDEX('RENCANA MINGGUAN'!$J$17:$J$610,$S91),"")</f>
        <v/>
      </c>
      <c r="N91" t="str">
        <f>IFERROR(IF(INDEX('RENCANA MINGGUAN'!$N$17:$N$610,$S91)=0,"",INDEX('RENCANA MINGGUAN'!$N$17:$N$610,$S91)),"")</f>
        <v/>
      </c>
      <c r="O91" t="str">
        <f>IFERROR(INDEX('RENCANA MINGGUAN'!$O$17:$O$610,$S91),"")</f>
        <v/>
      </c>
      <c r="S91" t="str">
        <f>IFERROR(MATCH(ROW()-16,'RENCANA MINGGUAN'!$Q$17:$Q$610,0),"")</f>
        <v/>
      </c>
    </row>
    <row r="92" spans="1:19" ht="12.75" customHeight="1" x14ac:dyDescent="0.2">
      <c r="A92" t="str">
        <f>IFERROR(INDEX('RENCANA MINGGUAN'!$A$17:$A$610,$S92),"")</f>
        <v/>
      </c>
      <c r="B92" t="str">
        <f>IFERROR(INDEX('RENCANA MINGGUAN'!$B$17:$B$610,$S92),"")</f>
        <v/>
      </c>
      <c r="C92" t="str">
        <f>IFERROR(INDEX('RENCANA MINGGUAN'!$C$17:$C$610,$S92),"")</f>
        <v/>
      </c>
      <c r="D92" t="str">
        <f>IFERROR(INDEX('RENCANA MINGGUAN'!$D$17:$D$610,$S92),"")</f>
        <v/>
      </c>
      <c r="E92" t="str">
        <f>IFERROR(INDEX('RENCANA MINGGUAN'!$E$17:$E$610,$S92),"")</f>
        <v/>
      </c>
      <c r="F92" t="str">
        <f>IFERROR(INDEX('RENCANA MINGGUAN'!$F$17:$F$610,$S92),"")</f>
        <v/>
      </c>
      <c r="G92" t="str">
        <f>IFERROR(INDEX('RENCANA MINGGUAN'!$G$17:$G$610,$S92),"")</f>
        <v/>
      </c>
      <c r="H92" t="str">
        <f>IFERROR(INDEX('RENCANA MINGGUAN'!$H$17:$H$610,$S92),"")</f>
        <v/>
      </c>
      <c r="I92" t="str">
        <f>IFERROR(INDEX('RENCANA MINGGUAN'!$I$17:$I$610,$S92),"")</f>
        <v/>
      </c>
      <c r="J92" t="str">
        <f>IFERROR(INDEX('RENCANA MINGGUAN'!$J$17:$J$610,$S92),"")</f>
        <v/>
      </c>
      <c r="N92" t="str">
        <f>IFERROR(IF(INDEX('RENCANA MINGGUAN'!$N$17:$N$610,$S92)=0,"",INDEX('RENCANA MINGGUAN'!$N$17:$N$610,$S92)),"")</f>
        <v/>
      </c>
      <c r="O92" t="str">
        <f>IFERROR(INDEX('RENCANA MINGGUAN'!$O$17:$O$610,$S92),"")</f>
        <v/>
      </c>
      <c r="S92" t="str">
        <f>IFERROR(MATCH(ROW()-16,'RENCANA MINGGUAN'!$Q$17:$Q$610,0),"")</f>
        <v/>
      </c>
    </row>
    <row r="93" spans="1:19" ht="12.75" customHeight="1" x14ac:dyDescent="0.2">
      <c r="A93" t="str">
        <f>IFERROR(INDEX('RENCANA MINGGUAN'!$A$17:$A$610,$S93),"")</f>
        <v/>
      </c>
      <c r="B93" t="str">
        <f>IFERROR(INDEX('RENCANA MINGGUAN'!$B$17:$B$610,$S93),"")</f>
        <v/>
      </c>
      <c r="C93" t="str">
        <f>IFERROR(INDEX('RENCANA MINGGUAN'!$C$17:$C$610,$S93),"")</f>
        <v/>
      </c>
      <c r="D93" t="str">
        <f>IFERROR(INDEX('RENCANA MINGGUAN'!$D$17:$D$610,$S93),"")</f>
        <v/>
      </c>
      <c r="E93" t="str">
        <f>IFERROR(INDEX('RENCANA MINGGUAN'!$E$17:$E$610,$S93),"")</f>
        <v/>
      </c>
      <c r="F93" t="str">
        <f>IFERROR(INDEX('RENCANA MINGGUAN'!$F$17:$F$610,$S93),"")</f>
        <v/>
      </c>
      <c r="G93" t="str">
        <f>IFERROR(INDEX('RENCANA MINGGUAN'!$G$17:$G$610,$S93),"")</f>
        <v/>
      </c>
      <c r="H93" t="str">
        <f>IFERROR(INDEX('RENCANA MINGGUAN'!$H$17:$H$610,$S93),"")</f>
        <v/>
      </c>
      <c r="I93" t="str">
        <f>IFERROR(INDEX('RENCANA MINGGUAN'!$I$17:$I$610,$S93),"")</f>
        <v/>
      </c>
      <c r="J93" t="str">
        <f>IFERROR(INDEX('RENCANA MINGGUAN'!$J$17:$J$610,$S93),"")</f>
        <v/>
      </c>
      <c r="N93" t="str">
        <f>IFERROR(IF(INDEX('RENCANA MINGGUAN'!$N$17:$N$610,$S93)=0,"",INDEX('RENCANA MINGGUAN'!$N$17:$N$610,$S93)),"")</f>
        <v/>
      </c>
      <c r="O93" t="str">
        <f>IFERROR(INDEX('RENCANA MINGGUAN'!$O$17:$O$610,$S93),"")</f>
        <v/>
      </c>
      <c r="S93" t="str">
        <f>IFERROR(MATCH(ROW()-16,'RENCANA MINGGUAN'!$Q$17:$Q$610,0),"")</f>
        <v/>
      </c>
    </row>
    <row r="94" spans="1:19" ht="12.75" customHeight="1" x14ac:dyDescent="0.2">
      <c r="A94" t="str">
        <f>IFERROR(INDEX('RENCANA MINGGUAN'!$A$17:$A$610,$S94),"")</f>
        <v/>
      </c>
      <c r="B94" t="str">
        <f>IFERROR(INDEX('RENCANA MINGGUAN'!$B$17:$B$610,$S94),"")</f>
        <v/>
      </c>
      <c r="C94" t="str">
        <f>IFERROR(INDEX('RENCANA MINGGUAN'!$C$17:$C$610,$S94),"")</f>
        <v/>
      </c>
      <c r="D94" t="str">
        <f>IFERROR(INDEX('RENCANA MINGGUAN'!$D$17:$D$610,$S94),"")</f>
        <v/>
      </c>
      <c r="E94" t="str">
        <f>IFERROR(INDEX('RENCANA MINGGUAN'!$E$17:$E$610,$S94),"")</f>
        <v/>
      </c>
      <c r="F94" t="str">
        <f>IFERROR(INDEX('RENCANA MINGGUAN'!$F$17:$F$610,$S94),"")</f>
        <v/>
      </c>
      <c r="G94" t="str">
        <f>IFERROR(INDEX('RENCANA MINGGUAN'!$G$17:$G$610,$S94),"")</f>
        <v/>
      </c>
      <c r="H94" t="str">
        <f>IFERROR(INDEX('RENCANA MINGGUAN'!$H$17:$H$610,$S94),"")</f>
        <v/>
      </c>
      <c r="I94" t="str">
        <f>IFERROR(INDEX('RENCANA MINGGUAN'!$I$17:$I$610,$S94),"")</f>
        <v/>
      </c>
      <c r="J94" t="str">
        <f>IFERROR(INDEX('RENCANA MINGGUAN'!$J$17:$J$610,$S94),"")</f>
        <v/>
      </c>
      <c r="N94" t="str">
        <f>IFERROR(IF(INDEX('RENCANA MINGGUAN'!$N$17:$N$610,$S94)=0,"",INDEX('RENCANA MINGGUAN'!$N$17:$N$610,$S94)),"")</f>
        <v/>
      </c>
      <c r="O94" t="str">
        <f>IFERROR(INDEX('RENCANA MINGGUAN'!$O$17:$O$610,$S94),"")</f>
        <v/>
      </c>
      <c r="S94" t="str">
        <f>IFERROR(MATCH(ROW()-16,'RENCANA MINGGUAN'!$Q$17:$Q$610,0),"")</f>
        <v/>
      </c>
    </row>
    <row r="95" spans="1:19" ht="12.75" customHeight="1" x14ac:dyDescent="0.2">
      <c r="A95" t="str">
        <f>IFERROR(INDEX('RENCANA MINGGUAN'!$A$17:$A$610,$S95),"")</f>
        <v/>
      </c>
      <c r="B95" t="str">
        <f>IFERROR(INDEX('RENCANA MINGGUAN'!$B$17:$B$610,$S95),"")</f>
        <v/>
      </c>
      <c r="C95" t="str">
        <f>IFERROR(INDEX('RENCANA MINGGUAN'!$C$17:$C$610,$S95),"")</f>
        <v/>
      </c>
      <c r="D95" t="str">
        <f>IFERROR(INDEX('RENCANA MINGGUAN'!$D$17:$D$610,$S95),"")</f>
        <v/>
      </c>
      <c r="E95" t="str">
        <f>IFERROR(INDEX('RENCANA MINGGUAN'!$E$17:$E$610,$S95),"")</f>
        <v/>
      </c>
      <c r="F95" t="str">
        <f>IFERROR(INDEX('RENCANA MINGGUAN'!$F$17:$F$610,$S95),"")</f>
        <v/>
      </c>
      <c r="G95" t="str">
        <f>IFERROR(INDEX('RENCANA MINGGUAN'!$G$17:$G$610,$S95),"")</f>
        <v/>
      </c>
      <c r="H95" t="str">
        <f>IFERROR(INDEX('RENCANA MINGGUAN'!$H$17:$H$610,$S95),"")</f>
        <v/>
      </c>
      <c r="I95" t="str">
        <f>IFERROR(INDEX('RENCANA MINGGUAN'!$I$17:$I$610,$S95),"")</f>
        <v/>
      </c>
      <c r="J95" t="str">
        <f>IFERROR(INDEX('RENCANA MINGGUAN'!$J$17:$J$610,$S95),"")</f>
        <v/>
      </c>
      <c r="N95" t="str">
        <f>IFERROR(IF(INDEX('RENCANA MINGGUAN'!$N$17:$N$610,$S95)=0,"",INDEX('RENCANA MINGGUAN'!$N$17:$N$610,$S95)),"")</f>
        <v/>
      </c>
      <c r="O95" t="str">
        <f>IFERROR(INDEX('RENCANA MINGGUAN'!$O$17:$O$610,$S95),"")</f>
        <v/>
      </c>
      <c r="S95" t="str">
        <f>IFERROR(MATCH(ROW()-16,'RENCANA MINGGUAN'!$Q$17:$Q$610,0),"")</f>
        <v/>
      </c>
    </row>
    <row r="96" spans="1:19" ht="12.75" customHeight="1" x14ac:dyDescent="0.2">
      <c r="A96" t="str">
        <f>IFERROR(INDEX('RENCANA MINGGUAN'!$A$17:$A$610,$S96),"")</f>
        <v/>
      </c>
      <c r="B96" t="str">
        <f>IFERROR(INDEX('RENCANA MINGGUAN'!$B$17:$B$610,$S96),"")</f>
        <v/>
      </c>
      <c r="C96" t="str">
        <f>IFERROR(INDEX('RENCANA MINGGUAN'!$C$17:$C$610,$S96),"")</f>
        <v/>
      </c>
      <c r="D96" t="str">
        <f>IFERROR(INDEX('RENCANA MINGGUAN'!$D$17:$D$610,$S96),"")</f>
        <v/>
      </c>
      <c r="E96" t="str">
        <f>IFERROR(INDEX('RENCANA MINGGUAN'!$E$17:$E$610,$S96),"")</f>
        <v/>
      </c>
      <c r="F96" t="str">
        <f>IFERROR(INDEX('RENCANA MINGGUAN'!$F$17:$F$610,$S96),"")</f>
        <v/>
      </c>
      <c r="G96" t="str">
        <f>IFERROR(INDEX('RENCANA MINGGUAN'!$G$17:$G$610,$S96),"")</f>
        <v/>
      </c>
      <c r="H96" t="str">
        <f>IFERROR(INDEX('RENCANA MINGGUAN'!$H$17:$H$610,$S96),"")</f>
        <v/>
      </c>
      <c r="I96" t="str">
        <f>IFERROR(INDEX('RENCANA MINGGUAN'!$I$17:$I$610,$S96),"")</f>
        <v/>
      </c>
      <c r="J96" t="str">
        <f>IFERROR(INDEX('RENCANA MINGGUAN'!$J$17:$J$610,$S96),"")</f>
        <v/>
      </c>
      <c r="N96" t="str">
        <f>IFERROR(IF(INDEX('RENCANA MINGGUAN'!$N$17:$N$610,$S96)=0,"",INDEX('RENCANA MINGGUAN'!$N$17:$N$610,$S96)),"")</f>
        <v/>
      </c>
      <c r="O96" t="str">
        <f>IFERROR(INDEX('RENCANA MINGGUAN'!$O$17:$O$610,$S96),"")</f>
        <v/>
      </c>
      <c r="S96" t="str">
        <f>IFERROR(MATCH(ROW()-16,'RENCANA MINGGUAN'!$Q$17:$Q$610,0),"")</f>
        <v/>
      </c>
    </row>
    <row r="97" spans="1:19" ht="12.75" customHeight="1" x14ac:dyDescent="0.2">
      <c r="A97" t="str">
        <f>IFERROR(INDEX('RENCANA MINGGUAN'!$A$17:$A$610,$S97),"")</f>
        <v/>
      </c>
      <c r="B97" t="str">
        <f>IFERROR(INDEX('RENCANA MINGGUAN'!$B$17:$B$610,$S97),"")</f>
        <v/>
      </c>
      <c r="C97" t="str">
        <f>IFERROR(INDEX('RENCANA MINGGUAN'!$C$17:$C$610,$S97),"")</f>
        <v/>
      </c>
      <c r="D97" t="str">
        <f>IFERROR(INDEX('RENCANA MINGGUAN'!$D$17:$D$610,$S97),"")</f>
        <v/>
      </c>
      <c r="E97" t="str">
        <f>IFERROR(INDEX('RENCANA MINGGUAN'!$E$17:$E$610,$S97),"")</f>
        <v/>
      </c>
      <c r="F97" t="str">
        <f>IFERROR(INDEX('RENCANA MINGGUAN'!$F$17:$F$610,$S97),"")</f>
        <v/>
      </c>
      <c r="G97" t="str">
        <f>IFERROR(INDEX('RENCANA MINGGUAN'!$G$17:$G$610,$S97),"")</f>
        <v/>
      </c>
      <c r="H97" t="str">
        <f>IFERROR(INDEX('RENCANA MINGGUAN'!$H$17:$H$610,$S97),"")</f>
        <v/>
      </c>
      <c r="I97" t="str">
        <f>IFERROR(INDEX('RENCANA MINGGUAN'!$I$17:$I$610,$S97),"")</f>
        <v/>
      </c>
      <c r="J97" t="str">
        <f>IFERROR(INDEX('RENCANA MINGGUAN'!$J$17:$J$610,$S97),"")</f>
        <v/>
      </c>
      <c r="N97" t="str">
        <f>IFERROR(IF(INDEX('RENCANA MINGGUAN'!$N$17:$N$610,$S97)=0,"",INDEX('RENCANA MINGGUAN'!$N$17:$N$610,$S97)),"")</f>
        <v/>
      </c>
      <c r="O97" t="str">
        <f>IFERROR(INDEX('RENCANA MINGGUAN'!$O$17:$O$610,$S97),"")</f>
        <v/>
      </c>
      <c r="S97" t="str">
        <f>IFERROR(MATCH(ROW()-16,'RENCANA MINGGUAN'!$Q$17:$Q$610,0),"")</f>
        <v/>
      </c>
    </row>
    <row r="98" spans="1:19" ht="12.75" customHeight="1" x14ac:dyDescent="0.2">
      <c r="A98" t="str">
        <f>IFERROR(INDEX('RENCANA MINGGUAN'!$A$17:$A$610,$S98),"")</f>
        <v/>
      </c>
      <c r="B98" t="str">
        <f>IFERROR(INDEX('RENCANA MINGGUAN'!$B$17:$B$610,$S98),"")</f>
        <v/>
      </c>
      <c r="C98" t="str">
        <f>IFERROR(INDEX('RENCANA MINGGUAN'!$C$17:$C$610,$S98),"")</f>
        <v/>
      </c>
      <c r="D98" t="str">
        <f>IFERROR(INDEX('RENCANA MINGGUAN'!$D$17:$D$610,$S98),"")</f>
        <v/>
      </c>
      <c r="E98" t="str">
        <f>IFERROR(INDEX('RENCANA MINGGUAN'!$E$17:$E$610,$S98),"")</f>
        <v/>
      </c>
      <c r="F98" t="str">
        <f>IFERROR(INDEX('RENCANA MINGGUAN'!$F$17:$F$610,$S98),"")</f>
        <v/>
      </c>
      <c r="G98" t="str">
        <f>IFERROR(INDEX('RENCANA MINGGUAN'!$G$17:$G$610,$S98),"")</f>
        <v/>
      </c>
      <c r="H98" t="str">
        <f>IFERROR(INDEX('RENCANA MINGGUAN'!$H$17:$H$610,$S98),"")</f>
        <v/>
      </c>
      <c r="I98" t="str">
        <f>IFERROR(INDEX('RENCANA MINGGUAN'!$I$17:$I$610,$S98),"")</f>
        <v/>
      </c>
      <c r="J98" t="str">
        <f>IFERROR(INDEX('RENCANA MINGGUAN'!$J$17:$J$610,$S98),"")</f>
        <v/>
      </c>
      <c r="N98" t="str">
        <f>IFERROR(IF(INDEX('RENCANA MINGGUAN'!$N$17:$N$610,$S98)=0,"",INDEX('RENCANA MINGGUAN'!$N$17:$N$610,$S98)),"")</f>
        <v/>
      </c>
      <c r="O98" t="str">
        <f>IFERROR(INDEX('RENCANA MINGGUAN'!$O$17:$O$610,$S98),"")</f>
        <v/>
      </c>
      <c r="S98" t="str">
        <f>IFERROR(MATCH(ROW()-16,'RENCANA MINGGUAN'!$Q$17:$Q$610,0),"")</f>
        <v/>
      </c>
    </row>
    <row r="99" spans="1:19" ht="12.75" customHeight="1" x14ac:dyDescent="0.2">
      <c r="A99" t="str">
        <f>IFERROR(INDEX('RENCANA MINGGUAN'!$A$17:$A$610,$S99),"")</f>
        <v/>
      </c>
      <c r="B99" t="str">
        <f>IFERROR(INDEX('RENCANA MINGGUAN'!$B$17:$B$610,$S99),"")</f>
        <v/>
      </c>
      <c r="C99" t="str">
        <f>IFERROR(INDEX('RENCANA MINGGUAN'!$C$17:$C$610,$S99),"")</f>
        <v/>
      </c>
      <c r="D99" t="str">
        <f>IFERROR(INDEX('RENCANA MINGGUAN'!$D$17:$D$610,$S99),"")</f>
        <v/>
      </c>
      <c r="E99" t="str">
        <f>IFERROR(INDEX('RENCANA MINGGUAN'!$E$17:$E$610,$S99),"")</f>
        <v/>
      </c>
      <c r="F99" t="str">
        <f>IFERROR(INDEX('RENCANA MINGGUAN'!$F$17:$F$610,$S99),"")</f>
        <v/>
      </c>
      <c r="G99" t="str">
        <f>IFERROR(INDEX('RENCANA MINGGUAN'!$G$17:$G$610,$S99),"")</f>
        <v/>
      </c>
      <c r="H99" t="str">
        <f>IFERROR(INDEX('RENCANA MINGGUAN'!$H$17:$H$610,$S99),"")</f>
        <v/>
      </c>
      <c r="I99" t="str">
        <f>IFERROR(INDEX('RENCANA MINGGUAN'!$I$17:$I$610,$S99),"")</f>
        <v/>
      </c>
      <c r="J99" t="str">
        <f>IFERROR(INDEX('RENCANA MINGGUAN'!$J$17:$J$610,$S99),"")</f>
        <v/>
      </c>
      <c r="N99" t="str">
        <f>IFERROR(IF(INDEX('RENCANA MINGGUAN'!$N$17:$N$610,$S99)=0,"",INDEX('RENCANA MINGGUAN'!$N$17:$N$610,$S99)),"")</f>
        <v/>
      </c>
      <c r="O99" t="str">
        <f>IFERROR(INDEX('RENCANA MINGGUAN'!$O$17:$O$610,$S99),"")</f>
        <v/>
      </c>
      <c r="S99" t="str">
        <f>IFERROR(MATCH(ROW()-16,'RENCANA MINGGUAN'!$Q$17:$Q$610,0),"")</f>
        <v/>
      </c>
    </row>
    <row r="100" spans="1:19" ht="12.75" customHeight="1" x14ac:dyDescent="0.2">
      <c r="A100" t="str">
        <f>IFERROR(INDEX('RENCANA MINGGUAN'!$A$17:$A$610,$S100),"")</f>
        <v/>
      </c>
      <c r="B100" t="str">
        <f>IFERROR(INDEX('RENCANA MINGGUAN'!$B$17:$B$610,$S100),"")</f>
        <v/>
      </c>
      <c r="C100" t="str">
        <f>IFERROR(INDEX('RENCANA MINGGUAN'!$C$17:$C$610,$S100),"")</f>
        <v/>
      </c>
      <c r="D100" t="str">
        <f>IFERROR(INDEX('RENCANA MINGGUAN'!$D$17:$D$610,$S100),"")</f>
        <v/>
      </c>
      <c r="E100" t="str">
        <f>IFERROR(INDEX('RENCANA MINGGUAN'!$E$17:$E$610,$S100),"")</f>
        <v/>
      </c>
      <c r="F100" t="str">
        <f>IFERROR(INDEX('RENCANA MINGGUAN'!$F$17:$F$610,$S100),"")</f>
        <v/>
      </c>
      <c r="G100" t="str">
        <f>IFERROR(INDEX('RENCANA MINGGUAN'!$G$17:$G$610,$S100),"")</f>
        <v/>
      </c>
      <c r="H100" t="str">
        <f>IFERROR(INDEX('RENCANA MINGGUAN'!$H$17:$H$610,$S100),"")</f>
        <v/>
      </c>
      <c r="I100" t="str">
        <f>IFERROR(INDEX('RENCANA MINGGUAN'!$I$17:$I$610,$S100),"")</f>
        <v/>
      </c>
      <c r="J100" t="str">
        <f>IFERROR(INDEX('RENCANA MINGGUAN'!$J$17:$J$610,$S100),"")</f>
        <v/>
      </c>
      <c r="N100" t="str">
        <f>IFERROR(IF(INDEX('RENCANA MINGGUAN'!$N$17:$N$610,$S100)=0,"",INDEX('RENCANA MINGGUAN'!$N$17:$N$610,$S100)),"")</f>
        <v/>
      </c>
      <c r="O100" t="str">
        <f>IFERROR(INDEX('RENCANA MINGGUAN'!$O$17:$O$610,$S100),"")</f>
        <v/>
      </c>
      <c r="S100" t="str">
        <f>IFERROR(MATCH(ROW()-16,'RENCANA MINGGUAN'!$Q$17:$Q$610,0),"")</f>
        <v/>
      </c>
    </row>
    <row r="101" spans="1:19" ht="15" customHeight="1" x14ac:dyDescent="0.2">
      <c r="A101" t="str">
        <f>IFERROR(INDEX('RENCANA MINGGUAN'!$A$17:$A$610,$S101),"")</f>
        <v/>
      </c>
      <c r="B101" t="str">
        <f>IFERROR(INDEX('RENCANA MINGGUAN'!$B$17:$B$610,$S101),"")</f>
        <v/>
      </c>
      <c r="C101" t="str">
        <f>IFERROR(INDEX('RENCANA MINGGUAN'!$C$17:$C$610,$S101),"")</f>
        <v/>
      </c>
      <c r="D101" t="str">
        <f>IFERROR(INDEX('RENCANA MINGGUAN'!$D$17:$D$610,$S101),"")</f>
        <v/>
      </c>
      <c r="E101" t="str">
        <f>IFERROR(INDEX('RENCANA MINGGUAN'!$E$17:$E$610,$S101),"")</f>
        <v/>
      </c>
      <c r="F101" t="str">
        <f>IFERROR(INDEX('RENCANA MINGGUAN'!$F$17:$F$610,$S101),"")</f>
        <v/>
      </c>
      <c r="G101" t="str">
        <f>IFERROR(INDEX('RENCANA MINGGUAN'!$G$17:$G$610,$S101),"")</f>
        <v/>
      </c>
      <c r="H101" t="str">
        <f>IFERROR(INDEX('RENCANA MINGGUAN'!$H$17:$H$610,$S101),"")</f>
        <v/>
      </c>
      <c r="I101" t="str">
        <f>IFERROR(INDEX('RENCANA MINGGUAN'!$I$17:$I$610,$S101),"")</f>
        <v/>
      </c>
      <c r="J101" t="str">
        <f>IFERROR(INDEX('RENCANA MINGGUAN'!$J$17:$J$610,$S101),"")</f>
        <v/>
      </c>
      <c r="N101" t="str">
        <f>IFERROR(IF(INDEX('RENCANA MINGGUAN'!$N$17:$N$610,$S101)=0,"",INDEX('RENCANA MINGGUAN'!$N$17:$N$610,$S101)),"")</f>
        <v/>
      </c>
      <c r="O101" t="str">
        <f>IFERROR(INDEX('RENCANA MINGGUAN'!$O$17:$O$610,$S101),"")</f>
        <v/>
      </c>
      <c r="S101" t="str">
        <f>IFERROR(MATCH(ROW()-16,'RENCANA MINGGUAN'!$Q$17:$Q$610,0),"")</f>
        <v/>
      </c>
    </row>
    <row r="102" spans="1:19" ht="15" customHeight="1" x14ac:dyDescent="0.2">
      <c r="A102" t="str">
        <f>IFERROR(INDEX('RENCANA MINGGUAN'!$A$17:$A$610,$S102),"")</f>
        <v/>
      </c>
      <c r="B102" t="str">
        <f>IFERROR(INDEX('RENCANA MINGGUAN'!$B$17:$B$610,$S102),"")</f>
        <v/>
      </c>
      <c r="C102" t="str">
        <f>IFERROR(INDEX('RENCANA MINGGUAN'!$C$17:$C$610,$S102),"")</f>
        <v/>
      </c>
      <c r="D102" t="str">
        <f>IFERROR(INDEX('RENCANA MINGGUAN'!$D$17:$D$610,$S102),"")</f>
        <v/>
      </c>
      <c r="E102" t="str">
        <f>IFERROR(INDEX('RENCANA MINGGUAN'!$E$17:$E$610,$S102),"")</f>
        <v/>
      </c>
      <c r="F102" t="str">
        <f>IFERROR(INDEX('RENCANA MINGGUAN'!$F$17:$F$610,$S102),"")</f>
        <v/>
      </c>
      <c r="G102" t="str">
        <f>IFERROR(INDEX('RENCANA MINGGUAN'!$G$17:$G$610,$S102),"")</f>
        <v/>
      </c>
      <c r="H102" t="str">
        <f>IFERROR(INDEX('RENCANA MINGGUAN'!$H$17:$H$610,$S102),"")</f>
        <v/>
      </c>
      <c r="I102" t="str">
        <f>IFERROR(INDEX('RENCANA MINGGUAN'!$I$17:$I$610,$S102),"")</f>
        <v/>
      </c>
      <c r="J102" t="str">
        <f>IFERROR(INDEX('RENCANA MINGGUAN'!$J$17:$J$610,$S102),"")</f>
        <v/>
      </c>
      <c r="N102" t="str">
        <f>IFERROR(IF(INDEX('RENCANA MINGGUAN'!$N$17:$N$610,$S102)=0,"",INDEX('RENCANA MINGGUAN'!$N$17:$N$610,$S102)),"")</f>
        <v/>
      </c>
      <c r="O102" t="str">
        <f>IFERROR(INDEX('RENCANA MINGGUAN'!$O$17:$O$610,$S102),"")</f>
        <v/>
      </c>
      <c r="S102" t="str">
        <f>IFERROR(MATCH(ROW()-16,'RENCANA MINGGUAN'!$Q$17:$Q$610,0),"")</f>
        <v/>
      </c>
    </row>
    <row r="103" spans="1:19" ht="15" customHeight="1" x14ac:dyDescent="0.2">
      <c r="A103" t="str">
        <f>IFERROR(INDEX('RENCANA MINGGUAN'!$A$17:$A$610,$S103),"")</f>
        <v/>
      </c>
      <c r="B103" t="str">
        <f>IFERROR(INDEX('RENCANA MINGGUAN'!$B$17:$B$610,$S103),"")</f>
        <v/>
      </c>
      <c r="C103" t="str">
        <f>IFERROR(INDEX('RENCANA MINGGUAN'!$C$17:$C$610,$S103),"")</f>
        <v/>
      </c>
      <c r="D103" t="str">
        <f>IFERROR(INDEX('RENCANA MINGGUAN'!$D$17:$D$610,$S103),"")</f>
        <v/>
      </c>
      <c r="E103" t="str">
        <f>IFERROR(INDEX('RENCANA MINGGUAN'!$E$17:$E$610,$S103),"")</f>
        <v/>
      </c>
      <c r="F103" t="str">
        <f>IFERROR(INDEX('RENCANA MINGGUAN'!$F$17:$F$610,$S103),"")</f>
        <v/>
      </c>
      <c r="G103" t="str">
        <f>IFERROR(INDEX('RENCANA MINGGUAN'!$G$17:$G$610,$S103),"")</f>
        <v/>
      </c>
      <c r="H103" t="str">
        <f>IFERROR(INDEX('RENCANA MINGGUAN'!$H$17:$H$610,$S103),"")</f>
        <v/>
      </c>
      <c r="I103" t="str">
        <f>IFERROR(INDEX('RENCANA MINGGUAN'!$I$17:$I$610,$S103),"")</f>
        <v/>
      </c>
      <c r="J103" t="str">
        <f>IFERROR(INDEX('RENCANA MINGGUAN'!$J$17:$J$610,$S103),"")</f>
        <v/>
      </c>
      <c r="N103" t="str">
        <f>IFERROR(IF(INDEX('RENCANA MINGGUAN'!$N$17:$N$610,$S103)=0,"",INDEX('RENCANA MINGGUAN'!$N$17:$N$610,$S103)),"")</f>
        <v/>
      </c>
      <c r="O103" t="str">
        <f>IFERROR(INDEX('RENCANA MINGGUAN'!$O$17:$O$610,$S103),"")</f>
        <v/>
      </c>
      <c r="S103" t="str">
        <f>IFERROR(MATCH(ROW()-16,'RENCANA MINGGUAN'!$Q$17:$Q$610,0),"")</f>
        <v/>
      </c>
    </row>
    <row r="104" spans="1:19" ht="15" customHeight="1" x14ac:dyDescent="0.2">
      <c r="A104" t="str">
        <f>IFERROR(INDEX('RENCANA MINGGUAN'!$A$17:$A$610,$S104),"")</f>
        <v/>
      </c>
      <c r="B104" t="str">
        <f>IFERROR(INDEX('RENCANA MINGGUAN'!$B$17:$B$610,$S104),"")</f>
        <v/>
      </c>
      <c r="C104" t="str">
        <f>IFERROR(INDEX('RENCANA MINGGUAN'!$C$17:$C$610,$S104),"")</f>
        <v/>
      </c>
      <c r="D104" t="str">
        <f>IFERROR(INDEX('RENCANA MINGGUAN'!$D$17:$D$610,$S104),"")</f>
        <v/>
      </c>
      <c r="E104" t="str">
        <f>IFERROR(INDEX('RENCANA MINGGUAN'!$E$17:$E$610,$S104),"")</f>
        <v/>
      </c>
      <c r="F104" t="str">
        <f>IFERROR(INDEX('RENCANA MINGGUAN'!$F$17:$F$610,$S104),"")</f>
        <v/>
      </c>
      <c r="G104" t="str">
        <f>IFERROR(INDEX('RENCANA MINGGUAN'!$G$17:$G$610,$S104),"")</f>
        <v/>
      </c>
      <c r="H104" t="str">
        <f>IFERROR(INDEX('RENCANA MINGGUAN'!$H$17:$H$610,$S104),"")</f>
        <v/>
      </c>
      <c r="I104" t="str">
        <f>IFERROR(INDEX('RENCANA MINGGUAN'!$I$17:$I$610,$S104),"")</f>
        <v/>
      </c>
      <c r="J104" t="str">
        <f>IFERROR(INDEX('RENCANA MINGGUAN'!$J$17:$J$610,$S104),"")</f>
        <v/>
      </c>
      <c r="N104" t="str">
        <f>IFERROR(IF(INDEX('RENCANA MINGGUAN'!$N$17:$N$610,$S104)=0,"",INDEX('RENCANA MINGGUAN'!$N$17:$N$610,$S104)),"")</f>
        <v/>
      </c>
      <c r="O104" t="str">
        <f>IFERROR(INDEX('RENCANA MINGGUAN'!$O$17:$O$610,$S104),"")</f>
        <v/>
      </c>
      <c r="S104" t="str">
        <f>IFERROR(MATCH(ROW()-16,'RENCANA MINGGUAN'!$Q$17:$Q$610,0),"")</f>
        <v/>
      </c>
    </row>
    <row r="105" spans="1:19" ht="15" customHeight="1" x14ac:dyDescent="0.2">
      <c r="A105" t="str">
        <f>IFERROR(INDEX('RENCANA MINGGUAN'!$A$17:$A$610,$S105),"")</f>
        <v/>
      </c>
      <c r="B105" t="str">
        <f>IFERROR(INDEX('RENCANA MINGGUAN'!$B$17:$B$610,$S105),"")</f>
        <v/>
      </c>
      <c r="C105" t="str">
        <f>IFERROR(INDEX('RENCANA MINGGUAN'!$C$17:$C$610,$S105),"")</f>
        <v/>
      </c>
      <c r="D105" t="str">
        <f>IFERROR(INDEX('RENCANA MINGGUAN'!$D$17:$D$610,$S105),"")</f>
        <v/>
      </c>
      <c r="E105" t="str">
        <f>IFERROR(INDEX('RENCANA MINGGUAN'!$E$17:$E$610,$S105),"")</f>
        <v/>
      </c>
      <c r="F105" t="str">
        <f>IFERROR(INDEX('RENCANA MINGGUAN'!$F$17:$F$610,$S105),"")</f>
        <v/>
      </c>
      <c r="G105" t="str">
        <f>IFERROR(INDEX('RENCANA MINGGUAN'!$G$17:$G$610,$S105),"")</f>
        <v/>
      </c>
      <c r="H105" t="str">
        <f>IFERROR(INDEX('RENCANA MINGGUAN'!$H$17:$H$610,$S105),"")</f>
        <v/>
      </c>
      <c r="I105" t="str">
        <f>IFERROR(INDEX('RENCANA MINGGUAN'!$I$17:$I$610,$S105),"")</f>
        <v/>
      </c>
      <c r="J105" t="str">
        <f>IFERROR(INDEX('RENCANA MINGGUAN'!$J$17:$J$610,$S105),"")</f>
        <v/>
      </c>
      <c r="N105" t="str">
        <f>IFERROR(IF(INDEX('RENCANA MINGGUAN'!$N$17:$N$610,$S105)=0,"",INDEX('RENCANA MINGGUAN'!$N$17:$N$610,$S105)),"")</f>
        <v/>
      </c>
      <c r="O105" t="str">
        <f>IFERROR(INDEX('RENCANA MINGGUAN'!$O$17:$O$610,$S105),"")</f>
        <v/>
      </c>
      <c r="S105" t="str">
        <f>IFERROR(MATCH(ROW()-16,'RENCANA MINGGUAN'!$Q$17:$Q$610,0),"")</f>
        <v/>
      </c>
    </row>
    <row r="106" spans="1:19" ht="15" customHeight="1" x14ac:dyDescent="0.2">
      <c r="A106" t="str">
        <f>IFERROR(INDEX('RENCANA MINGGUAN'!$A$17:$A$610,$S106),"")</f>
        <v/>
      </c>
      <c r="B106" t="str">
        <f>IFERROR(INDEX('RENCANA MINGGUAN'!$B$17:$B$610,$S106),"")</f>
        <v/>
      </c>
      <c r="C106" t="str">
        <f>IFERROR(INDEX('RENCANA MINGGUAN'!$C$17:$C$610,$S106),"")</f>
        <v/>
      </c>
      <c r="D106" t="str">
        <f>IFERROR(INDEX('RENCANA MINGGUAN'!$D$17:$D$610,$S106),"")</f>
        <v/>
      </c>
      <c r="E106" t="str">
        <f>IFERROR(INDEX('RENCANA MINGGUAN'!$E$17:$E$610,$S106),"")</f>
        <v/>
      </c>
      <c r="F106" t="str">
        <f>IFERROR(INDEX('RENCANA MINGGUAN'!$F$17:$F$610,$S106),"")</f>
        <v/>
      </c>
      <c r="G106" t="str">
        <f>IFERROR(INDEX('RENCANA MINGGUAN'!$G$17:$G$610,$S106),"")</f>
        <v/>
      </c>
      <c r="H106" t="str">
        <f>IFERROR(INDEX('RENCANA MINGGUAN'!$H$17:$H$610,$S106),"")</f>
        <v/>
      </c>
      <c r="I106" t="str">
        <f>IFERROR(INDEX('RENCANA MINGGUAN'!$I$17:$I$610,$S106),"")</f>
        <v/>
      </c>
      <c r="J106" t="str">
        <f>IFERROR(INDEX('RENCANA MINGGUAN'!$J$17:$J$610,$S106),"")</f>
        <v/>
      </c>
      <c r="N106" t="str">
        <f>IFERROR(IF(INDEX('RENCANA MINGGUAN'!$N$17:$N$610,$S106)=0,"",INDEX('RENCANA MINGGUAN'!$N$17:$N$610,$S106)),"")</f>
        <v/>
      </c>
      <c r="O106" t="str">
        <f>IFERROR(INDEX('RENCANA MINGGUAN'!$O$17:$O$610,$S106),"")</f>
        <v/>
      </c>
      <c r="S106" t="str">
        <f>IFERROR(MATCH(ROW()-16,'RENCANA MINGGUAN'!$Q$17:$Q$610,0),"")</f>
        <v/>
      </c>
    </row>
    <row r="107" spans="1:19" ht="15" customHeight="1" x14ac:dyDescent="0.2">
      <c r="A107" t="str">
        <f>IFERROR(INDEX('RENCANA MINGGUAN'!$A$17:$A$610,$S107),"")</f>
        <v/>
      </c>
      <c r="B107" t="str">
        <f>IFERROR(INDEX('RENCANA MINGGUAN'!$B$17:$B$610,$S107),"")</f>
        <v/>
      </c>
      <c r="C107" t="str">
        <f>IFERROR(INDEX('RENCANA MINGGUAN'!$C$17:$C$610,$S107),"")</f>
        <v/>
      </c>
      <c r="D107" t="str">
        <f>IFERROR(INDEX('RENCANA MINGGUAN'!$D$17:$D$610,$S107),"")</f>
        <v/>
      </c>
      <c r="E107" t="str">
        <f>IFERROR(INDEX('RENCANA MINGGUAN'!$E$17:$E$610,$S107),"")</f>
        <v/>
      </c>
      <c r="F107" t="str">
        <f>IFERROR(INDEX('RENCANA MINGGUAN'!$F$17:$F$610,$S107),"")</f>
        <v/>
      </c>
      <c r="G107" t="str">
        <f>IFERROR(INDEX('RENCANA MINGGUAN'!$G$17:$G$610,$S107),"")</f>
        <v/>
      </c>
      <c r="H107" t="str">
        <f>IFERROR(INDEX('RENCANA MINGGUAN'!$H$17:$H$610,$S107),"")</f>
        <v/>
      </c>
      <c r="I107" t="str">
        <f>IFERROR(INDEX('RENCANA MINGGUAN'!$I$17:$I$610,$S107),"")</f>
        <v/>
      </c>
      <c r="J107" t="str">
        <f>IFERROR(INDEX('RENCANA MINGGUAN'!$J$17:$J$610,$S107),"")</f>
        <v/>
      </c>
      <c r="N107" t="str">
        <f>IFERROR(IF(INDEX('RENCANA MINGGUAN'!$N$17:$N$610,$S107)=0,"",INDEX('RENCANA MINGGUAN'!$N$17:$N$610,$S107)),"")</f>
        <v/>
      </c>
      <c r="O107" t="str">
        <f>IFERROR(INDEX('RENCANA MINGGUAN'!$O$17:$O$610,$S107),"")</f>
        <v/>
      </c>
      <c r="S107" t="str">
        <f>IFERROR(MATCH(ROW()-16,'RENCANA MINGGUAN'!$Q$17:$Q$610,0),"")</f>
        <v/>
      </c>
    </row>
    <row r="108" spans="1:19" ht="15" customHeight="1" x14ac:dyDescent="0.2">
      <c r="A108" t="str">
        <f>IFERROR(INDEX('RENCANA MINGGUAN'!$A$17:$A$610,$S108),"")</f>
        <v/>
      </c>
      <c r="B108" t="str">
        <f>IFERROR(INDEX('RENCANA MINGGUAN'!$B$17:$B$610,$S108),"")</f>
        <v/>
      </c>
      <c r="C108" t="str">
        <f>IFERROR(INDEX('RENCANA MINGGUAN'!$C$17:$C$610,$S108),"")</f>
        <v/>
      </c>
      <c r="D108" t="str">
        <f>IFERROR(INDEX('RENCANA MINGGUAN'!$D$17:$D$610,$S108),"")</f>
        <v/>
      </c>
      <c r="E108" t="str">
        <f>IFERROR(INDEX('RENCANA MINGGUAN'!$E$17:$E$610,$S108),"")</f>
        <v/>
      </c>
      <c r="F108" t="str">
        <f>IFERROR(INDEX('RENCANA MINGGUAN'!$F$17:$F$610,$S108),"")</f>
        <v/>
      </c>
      <c r="G108" t="str">
        <f>IFERROR(INDEX('RENCANA MINGGUAN'!$G$17:$G$610,$S108),"")</f>
        <v/>
      </c>
      <c r="H108" t="str">
        <f>IFERROR(INDEX('RENCANA MINGGUAN'!$H$17:$H$610,$S108),"")</f>
        <v/>
      </c>
      <c r="I108" t="str">
        <f>IFERROR(INDEX('RENCANA MINGGUAN'!$I$17:$I$610,$S108),"")</f>
        <v/>
      </c>
      <c r="J108" t="str">
        <f>IFERROR(INDEX('RENCANA MINGGUAN'!$J$17:$J$610,$S108),"")</f>
        <v/>
      </c>
      <c r="N108" t="str">
        <f>IFERROR(IF(INDEX('RENCANA MINGGUAN'!$N$17:$N$610,$S108)=0,"",INDEX('RENCANA MINGGUAN'!$N$17:$N$610,$S108)),"")</f>
        <v/>
      </c>
      <c r="O108" t="str">
        <f>IFERROR(INDEX('RENCANA MINGGUAN'!$O$17:$O$610,$S108),"")</f>
        <v/>
      </c>
      <c r="S108" t="str">
        <f>IFERROR(MATCH(ROW()-16,'RENCANA MINGGUAN'!$Q$17:$Q$610,0),"")</f>
        <v/>
      </c>
    </row>
    <row r="109" spans="1:19" ht="15" customHeight="1" x14ac:dyDescent="0.2">
      <c r="A109" t="str">
        <f>IFERROR(INDEX('RENCANA MINGGUAN'!$A$17:$A$610,$S109),"")</f>
        <v/>
      </c>
      <c r="B109" t="str">
        <f>IFERROR(INDEX('RENCANA MINGGUAN'!$B$17:$B$610,$S109),"")</f>
        <v/>
      </c>
      <c r="C109" t="str">
        <f>IFERROR(INDEX('RENCANA MINGGUAN'!$C$17:$C$610,$S109),"")</f>
        <v/>
      </c>
      <c r="D109" t="str">
        <f>IFERROR(INDEX('RENCANA MINGGUAN'!$D$17:$D$610,$S109),"")</f>
        <v/>
      </c>
      <c r="E109" t="str">
        <f>IFERROR(INDEX('RENCANA MINGGUAN'!$E$17:$E$610,$S109),"")</f>
        <v/>
      </c>
      <c r="F109" t="str">
        <f>IFERROR(INDEX('RENCANA MINGGUAN'!$F$17:$F$610,$S109),"")</f>
        <v/>
      </c>
      <c r="G109" t="str">
        <f>IFERROR(INDEX('RENCANA MINGGUAN'!$G$17:$G$610,$S109),"")</f>
        <v/>
      </c>
      <c r="H109" t="str">
        <f>IFERROR(INDEX('RENCANA MINGGUAN'!$H$17:$H$610,$S109),"")</f>
        <v/>
      </c>
      <c r="I109" t="str">
        <f>IFERROR(INDEX('RENCANA MINGGUAN'!$I$17:$I$610,$S109),"")</f>
        <v/>
      </c>
      <c r="J109" t="str">
        <f>IFERROR(INDEX('RENCANA MINGGUAN'!$J$17:$J$610,$S109),"")</f>
        <v/>
      </c>
      <c r="N109" t="str">
        <f>IFERROR(IF(INDEX('RENCANA MINGGUAN'!$N$17:$N$610,$S109)=0,"",INDEX('RENCANA MINGGUAN'!$N$17:$N$610,$S109)),"")</f>
        <v/>
      </c>
      <c r="O109" t="str">
        <f>IFERROR(INDEX('RENCANA MINGGUAN'!$O$17:$O$610,$S109),"")</f>
        <v/>
      </c>
      <c r="S109" t="str">
        <f>IFERROR(MATCH(ROW()-16,'RENCANA MINGGUAN'!$Q$17:$Q$610,0),"")</f>
        <v/>
      </c>
    </row>
    <row r="110" spans="1:19" ht="15" customHeight="1" x14ac:dyDescent="0.2">
      <c r="A110" t="str">
        <f>IFERROR(INDEX('RENCANA MINGGUAN'!$A$17:$A$610,$S110),"")</f>
        <v/>
      </c>
      <c r="B110" t="str">
        <f>IFERROR(INDEX('RENCANA MINGGUAN'!$B$17:$B$610,$S110),"")</f>
        <v/>
      </c>
      <c r="C110" t="str">
        <f>IFERROR(INDEX('RENCANA MINGGUAN'!$C$17:$C$610,$S110),"")</f>
        <v/>
      </c>
      <c r="D110" t="str">
        <f>IFERROR(INDEX('RENCANA MINGGUAN'!$D$17:$D$610,$S110),"")</f>
        <v/>
      </c>
      <c r="E110" t="str">
        <f>IFERROR(INDEX('RENCANA MINGGUAN'!$E$17:$E$610,$S110),"")</f>
        <v/>
      </c>
      <c r="F110" t="str">
        <f>IFERROR(INDEX('RENCANA MINGGUAN'!$F$17:$F$610,$S110),"")</f>
        <v/>
      </c>
      <c r="G110" t="str">
        <f>IFERROR(INDEX('RENCANA MINGGUAN'!$G$17:$G$610,$S110),"")</f>
        <v/>
      </c>
      <c r="H110" t="str">
        <f>IFERROR(INDEX('RENCANA MINGGUAN'!$H$17:$H$610,$S110),"")</f>
        <v/>
      </c>
      <c r="I110" t="str">
        <f>IFERROR(INDEX('RENCANA MINGGUAN'!$I$17:$I$610,$S110),"")</f>
        <v/>
      </c>
      <c r="J110" t="str">
        <f>IFERROR(INDEX('RENCANA MINGGUAN'!$J$17:$J$610,$S110),"")</f>
        <v/>
      </c>
      <c r="N110" t="str">
        <f>IFERROR(IF(INDEX('RENCANA MINGGUAN'!$N$17:$N$610,$S110)=0,"",INDEX('RENCANA MINGGUAN'!$N$17:$N$610,$S110)),"")</f>
        <v/>
      </c>
      <c r="O110" t="str">
        <f>IFERROR(INDEX('RENCANA MINGGUAN'!$O$17:$O$610,$S110),"")</f>
        <v/>
      </c>
      <c r="S110" t="str">
        <f>IFERROR(MATCH(ROW()-16,'RENCANA MINGGUAN'!$Q$17:$Q$610,0),"")</f>
        <v/>
      </c>
    </row>
    <row r="111" spans="1:19" ht="15" customHeight="1" x14ac:dyDescent="0.2">
      <c r="A111" t="str">
        <f>IFERROR(INDEX('RENCANA MINGGUAN'!$A$17:$A$610,$S111),"")</f>
        <v/>
      </c>
      <c r="B111" t="str">
        <f>IFERROR(INDEX('RENCANA MINGGUAN'!$B$17:$B$610,$S111),"")</f>
        <v/>
      </c>
      <c r="C111" t="str">
        <f>IFERROR(INDEX('RENCANA MINGGUAN'!$C$17:$C$610,$S111),"")</f>
        <v/>
      </c>
      <c r="D111" t="str">
        <f>IFERROR(INDEX('RENCANA MINGGUAN'!$D$17:$D$610,$S111),"")</f>
        <v/>
      </c>
      <c r="E111" t="str">
        <f>IFERROR(INDEX('RENCANA MINGGUAN'!$E$17:$E$610,$S111),"")</f>
        <v/>
      </c>
      <c r="F111" t="str">
        <f>IFERROR(INDEX('RENCANA MINGGUAN'!$F$17:$F$610,$S111),"")</f>
        <v/>
      </c>
      <c r="G111" t="str">
        <f>IFERROR(INDEX('RENCANA MINGGUAN'!$G$17:$G$610,$S111),"")</f>
        <v/>
      </c>
      <c r="H111" t="str">
        <f>IFERROR(INDEX('RENCANA MINGGUAN'!$H$17:$H$610,$S111),"")</f>
        <v/>
      </c>
      <c r="I111" t="str">
        <f>IFERROR(INDEX('RENCANA MINGGUAN'!$I$17:$I$610,$S111),"")</f>
        <v/>
      </c>
      <c r="J111" t="str">
        <f>IFERROR(INDEX('RENCANA MINGGUAN'!$J$17:$J$610,$S111),"")</f>
        <v/>
      </c>
      <c r="N111" t="str">
        <f>IFERROR(IF(INDEX('RENCANA MINGGUAN'!$N$17:$N$610,$S111)=0,"",INDEX('RENCANA MINGGUAN'!$N$17:$N$610,$S111)),"")</f>
        <v/>
      </c>
      <c r="O111" t="str">
        <f>IFERROR(INDEX('RENCANA MINGGUAN'!$O$17:$O$610,$S111),"")</f>
        <v/>
      </c>
      <c r="S111" t="str">
        <f>IFERROR(MATCH(ROW()-16,'RENCANA MINGGUAN'!$Q$17:$Q$610,0),"")</f>
        <v/>
      </c>
    </row>
    <row r="112" spans="1:19" ht="15" customHeight="1" x14ac:dyDescent="0.2">
      <c r="A112" t="str">
        <f>IFERROR(INDEX('RENCANA MINGGUAN'!$A$17:$A$610,$S112),"")</f>
        <v/>
      </c>
      <c r="B112" t="str">
        <f>IFERROR(INDEX('RENCANA MINGGUAN'!$B$17:$B$610,$S112),"")</f>
        <v/>
      </c>
      <c r="C112" t="str">
        <f>IFERROR(INDEX('RENCANA MINGGUAN'!$C$17:$C$610,$S112),"")</f>
        <v/>
      </c>
      <c r="D112" t="str">
        <f>IFERROR(INDEX('RENCANA MINGGUAN'!$D$17:$D$610,$S112),"")</f>
        <v/>
      </c>
      <c r="E112" t="str">
        <f>IFERROR(INDEX('RENCANA MINGGUAN'!$E$17:$E$610,$S112),"")</f>
        <v/>
      </c>
      <c r="F112" t="str">
        <f>IFERROR(INDEX('RENCANA MINGGUAN'!$F$17:$F$610,$S112),"")</f>
        <v/>
      </c>
      <c r="G112" t="str">
        <f>IFERROR(INDEX('RENCANA MINGGUAN'!$G$17:$G$610,$S112),"")</f>
        <v/>
      </c>
      <c r="H112" t="str">
        <f>IFERROR(INDEX('RENCANA MINGGUAN'!$H$17:$H$610,$S112),"")</f>
        <v/>
      </c>
      <c r="I112" t="str">
        <f>IFERROR(INDEX('RENCANA MINGGUAN'!$I$17:$I$610,$S112),"")</f>
        <v/>
      </c>
      <c r="J112" t="str">
        <f>IFERROR(INDEX('RENCANA MINGGUAN'!$J$17:$J$610,$S112),"")</f>
        <v/>
      </c>
      <c r="N112" t="str">
        <f>IFERROR(IF(INDEX('RENCANA MINGGUAN'!$N$17:$N$610,$S112)=0,"",INDEX('RENCANA MINGGUAN'!$N$17:$N$610,$S112)),"")</f>
        <v/>
      </c>
      <c r="O112" t="str">
        <f>IFERROR(INDEX('RENCANA MINGGUAN'!$O$17:$O$610,$S112),"")</f>
        <v/>
      </c>
      <c r="S112" t="str">
        <f>IFERROR(MATCH(ROW()-16,'RENCANA MINGGUAN'!$Q$17:$Q$610,0),"")</f>
        <v/>
      </c>
    </row>
    <row r="113" spans="1:19" ht="15" customHeight="1" x14ac:dyDescent="0.2">
      <c r="A113" t="str">
        <f>IFERROR(INDEX('RENCANA MINGGUAN'!$A$17:$A$610,$S113),"")</f>
        <v/>
      </c>
      <c r="B113" t="str">
        <f>IFERROR(INDEX('RENCANA MINGGUAN'!$B$17:$B$610,$S113),"")</f>
        <v/>
      </c>
      <c r="C113" t="str">
        <f>IFERROR(INDEX('RENCANA MINGGUAN'!$C$17:$C$610,$S113),"")</f>
        <v/>
      </c>
      <c r="D113" t="str">
        <f>IFERROR(INDEX('RENCANA MINGGUAN'!$D$17:$D$610,$S113),"")</f>
        <v/>
      </c>
      <c r="E113" t="str">
        <f>IFERROR(INDEX('RENCANA MINGGUAN'!$E$17:$E$610,$S113),"")</f>
        <v/>
      </c>
      <c r="F113" t="str">
        <f>IFERROR(INDEX('RENCANA MINGGUAN'!$F$17:$F$610,$S113),"")</f>
        <v/>
      </c>
      <c r="G113" t="str">
        <f>IFERROR(INDEX('RENCANA MINGGUAN'!$G$17:$G$610,$S113),"")</f>
        <v/>
      </c>
      <c r="H113" t="str">
        <f>IFERROR(INDEX('RENCANA MINGGUAN'!$H$17:$H$610,$S113),"")</f>
        <v/>
      </c>
      <c r="I113" t="str">
        <f>IFERROR(INDEX('RENCANA MINGGUAN'!$I$17:$I$610,$S113),"")</f>
        <v/>
      </c>
      <c r="J113" t="str">
        <f>IFERROR(INDEX('RENCANA MINGGUAN'!$J$17:$J$610,$S113),"")</f>
        <v/>
      </c>
      <c r="N113" t="str">
        <f>IFERROR(IF(INDEX('RENCANA MINGGUAN'!$N$17:$N$610,$S113)=0,"",INDEX('RENCANA MINGGUAN'!$N$17:$N$610,$S113)),"")</f>
        <v/>
      </c>
      <c r="O113" t="str">
        <f>IFERROR(INDEX('RENCANA MINGGUAN'!$O$17:$O$610,$S113),"")</f>
        <v/>
      </c>
      <c r="S113" t="str">
        <f>IFERROR(MATCH(ROW()-16,'RENCANA MINGGUAN'!$Q$17:$Q$610,0),"")</f>
        <v/>
      </c>
    </row>
    <row r="114" spans="1:19" ht="15" customHeight="1" x14ac:dyDescent="0.2">
      <c r="A114" t="str">
        <f>IFERROR(INDEX('RENCANA MINGGUAN'!$A$17:$A$610,$S114),"")</f>
        <v/>
      </c>
      <c r="B114" t="str">
        <f>IFERROR(INDEX('RENCANA MINGGUAN'!$B$17:$B$610,$S114),"")</f>
        <v/>
      </c>
      <c r="C114" t="str">
        <f>IFERROR(INDEX('RENCANA MINGGUAN'!$C$17:$C$610,$S114),"")</f>
        <v/>
      </c>
      <c r="D114" t="str">
        <f>IFERROR(INDEX('RENCANA MINGGUAN'!$D$17:$D$610,$S114),"")</f>
        <v/>
      </c>
      <c r="E114" t="str">
        <f>IFERROR(INDEX('RENCANA MINGGUAN'!$E$17:$E$610,$S114),"")</f>
        <v/>
      </c>
      <c r="F114" t="str">
        <f>IFERROR(INDEX('RENCANA MINGGUAN'!$F$17:$F$610,$S114),"")</f>
        <v/>
      </c>
      <c r="G114" t="str">
        <f>IFERROR(INDEX('RENCANA MINGGUAN'!$G$17:$G$610,$S114),"")</f>
        <v/>
      </c>
      <c r="H114" t="str">
        <f>IFERROR(INDEX('RENCANA MINGGUAN'!$H$17:$H$610,$S114),"")</f>
        <v/>
      </c>
      <c r="I114" t="str">
        <f>IFERROR(INDEX('RENCANA MINGGUAN'!$I$17:$I$610,$S114),"")</f>
        <v/>
      </c>
      <c r="J114" t="str">
        <f>IFERROR(INDEX('RENCANA MINGGUAN'!$J$17:$J$610,$S114),"")</f>
        <v/>
      </c>
      <c r="N114" t="str">
        <f>IFERROR(IF(INDEX('RENCANA MINGGUAN'!$N$17:$N$610,$S114)=0,"",INDEX('RENCANA MINGGUAN'!$N$17:$N$610,$S114)),"")</f>
        <v/>
      </c>
      <c r="O114" t="str">
        <f>IFERROR(INDEX('RENCANA MINGGUAN'!$O$17:$O$610,$S114),"")</f>
        <v/>
      </c>
      <c r="S114" t="str">
        <f>IFERROR(MATCH(ROW()-16,'RENCANA MINGGUAN'!$Q$17:$Q$610,0),"")</f>
        <v/>
      </c>
    </row>
    <row r="115" spans="1:19" ht="15" customHeight="1" x14ac:dyDescent="0.2">
      <c r="A115" t="str">
        <f>IFERROR(INDEX('RENCANA MINGGUAN'!$A$17:$A$610,$S115),"")</f>
        <v/>
      </c>
      <c r="B115" t="str">
        <f>IFERROR(INDEX('RENCANA MINGGUAN'!$B$17:$B$610,$S115),"")</f>
        <v/>
      </c>
      <c r="C115" t="str">
        <f>IFERROR(INDEX('RENCANA MINGGUAN'!$C$17:$C$610,$S115),"")</f>
        <v/>
      </c>
      <c r="D115" t="str">
        <f>IFERROR(INDEX('RENCANA MINGGUAN'!$D$17:$D$610,$S115),"")</f>
        <v/>
      </c>
      <c r="E115" t="str">
        <f>IFERROR(INDEX('RENCANA MINGGUAN'!$E$17:$E$610,$S115),"")</f>
        <v/>
      </c>
      <c r="F115" t="str">
        <f>IFERROR(INDEX('RENCANA MINGGUAN'!$F$17:$F$610,$S115),"")</f>
        <v/>
      </c>
      <c r="G115" t="str">
        <f>IFERROR(INDEX('RENCANA MINGGUAN'!$G$17:$G$610,$S115),"")</f>
        <v/>
      </c>
      <c r="H115" t="str">
        <f>IFERROR(INDEX('RENCANA MINGGUAN'!$H$17:$H$610,$S115),"")</f>
        <v/>
      </c>
      <c r="I115" t="str">
        <f>IFERROR(INDEX('RENCANA MINGGUAN'!$I$17:$I$610,$S115),"")</f>
        <v/>
      </c>
      <c r="J115" t="str">
        <f>IFERROR(INDEX('RENCANA MINGGUAN'!$J$17:$J$610,$S115),"")</f>
        <v/>
      </c>
      <c r="N115" t="str">
        <f>IFERROR(IF(INDEX('RENCANA MINGGUAN'!$N$17:$N$610,$S115)=0,"",INDEX('RENCANA MINGGUAN'!$N$17:$N$610,$S115)),"")</f>
        <v/>
      </c>
      <c r="O115" t="str">
        <f>IFERROR(INDEX('RENCANA MINGGUAN'!$O$17:$O$610,$S115),"")</f>
        <v/>
      </c>
      <c r="S115" t="str">
        <f>IFERROR(MATCH(ROW()-16,'RENCANA MINGGUAN'!$Q$17:$Q$610,0),"")</f>
        <v/>
      </c>
    </row>
    <row r="116" spans="1:19" ht="15" customHeight="1" x14ac:dyDescent="0.2">
      <c r="A116" t="str">
        <f>IFERROR(INDEX('RENCANA MINGGUAN'!$A$17:$A$610,$S116),"")</f>
        <v/>
      </c>
      <c r="B116" t="str">
        <f>IFERROR(INDEX('RENCANA MINGGUAN'!$B$17:$B$610,$S116),"")</f>
        <v/>
      </c>
      <c r="C116" t="str">
        <f>IFERROR(INDEX('RENCANA MINGGUAN'!$C$17:$C$610,$S116),"")</f>
        <v/>
      </c>
      <c r="D116" t="str">
        <f>IFERROR(INDEX('RENCANA MINGGUAN'!$D$17:$D$610,$S116),"")</f>
        <v/>
      </c>
      <c r="E116" t="str">
        <f>IFERROR(INDEX('RENCANA MINGGUAN'!$E$17:$E$610,$S116),"")</f>
        <v/>
      </c>
      <c r="F116" t="str">
        <f>IFERROR(INDEX('RENCANA MINGGUAN'!$F$17:$F$610,$S116),"")</f>
        <v/>
      </c>
      <c r="G116" t="str">
        <f>IFERROR(INDEX('RENCANA MINGGUAN'!$G$17:$G$610,$S116),"")</f>
        <v/>
      </c>
      <c r="H116" t="str">
        <f>IFERROR(INDEX('RENCANA MINGGUAN'!$H$17:$H$610,$S116),"")</f>
        <v/>
      </c>
      <c r="I116" t="str">
        <f>IFERROR(INDEX('RENCANA MINGGUAN'!$I$17:$I$610,$S116),"")</f>
        <v/>
      </c>
      <c r="J116" t="str">
        <f>IFERROR(INDEX('RENCANA MINGGUAN'!$J$17:$J$610,$S116),"")</f>
        <v/>
      </c>
      <c r="N116" t="str">
        <f>IFERROR(IF(INDEX('RENCANA MINGGUAN'!$N$17:$N$610,$S116)=0,"",INDEX('RENCANA MINGGUAN'!$N$17:$N$610,$S116)),"")</f>
        <v/>
      </c>
      <c r="O116" t="str">
        <f>IFERROR(INDEX('RENCANA MINGGUAN'!$O$17:$O$610,$S116),"")</f>
        <v/>
      </c>
      <c r="S116" t="str">
        <f>IFERROR(MATCH(ROW()-16,'RENCANA MINGGUAN'!$Q$17:$Q$610,0),"")</f>
        <v/>
      </c>
    </row>
    <row r="117" spans="1:19" ht="15" customHeight="1" x14ac:dyDescent="0.2"/>
    <row r="118" spans="1:19" ht="15" customHeight="1" x14ac:dyDescent="0.2"/>
    <row r="119" spans="1:19" ht="15" customHeight="1" x14ac:dyDescent="0.2"/>
    <row r="120" spans="1:19" ht="15" customHeight="1" x14ac:dyDescent="0.2"/>
    <row r="121" spans="1:19" ht="15" customHeight="1" x14ac:dyDescent="0.2"/>
    <row r="122" spans="1:19" ht="15" customHeight="1" x14ac:dyDescent="0.2"/>
    <row r="123" spans="1:19" ht="15" customHeight="1" x14ac:dyDescent="0.2"/>
    <row r="124" spans="1:19" ht="15" customHeight="1" x14ac:dyDescent="0.2"/>
    <row r="125" spans="1:19" ht="15" customHeight="1" x14ac:dyDescent="0.2"/>
    <row r="126" spans="1:19" ht="15" customHeight="1" x14ac:dyDescent="0.2"/>
    <row r="127" spans="1:19" ht="15" customHeight="1" x14ac:dyDescent="0.2"/>
    <row r="128" spans="1:19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</sheetData>
  <mergeCells count="21">
    <mergeCell ref="A6:P6"/>
    <mergeCell ref="A9:P9"/>
    <mergeCell ref="C11:P11"/>
    <mergeCell ref="B12:C12"/>
    <mergeCell ref="D12:E12"/>
    <mergeCell ref="F12:G12"/>
    <mergeCell ref="H12:I12"/>
    <mergeCell ref="J12:K12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B15:C15"/>
    <mergeCell ref="D15:E15"/>
    <mergeCell ref="F15:G15"/>
    <mergeCell ref="H15:I15"/>
  </mergeCells>
  <conditionalFormatting sqref="J13">
    <cfRule type="cellIs" dxfId="5" priority="2" operator="lessThan">
      <formula>0</formula>
    </cfRule>
  </conditionalFormatting>
  <conditionalFormatting sqref="O17:O32">
    <cfRule type="cellIs" dxfId="4" priority="3" operator="equal">
      <formula>"COMPLETED"</formula>
    </cfRule>
    <cfRule type="cellIs" dxfId="3" priority="4" operator="equal">
      <formula>"ON SCHEDULE"</formula>
    </cfRule>
    <cfRule type="cellIs" dxfId="2" priority="5" operator="equal">
      <formula>"DELAYED"</formula>
    </cfRule>
    <cfRule type="cellIs" dxfId="1" priority="6" operator="equal">
      <formula>"CRITICAL"</formula>
    </cfRule>
    <cfRule type="cellIs" dxfId="0" priority="7" operator="equal">
      <formula>"NOT STARTED"</formula>
    </cfRule>
  </conditionalFormatting>
  <dataValidations disablePrompts="1" count="1">
    <dataValidation type="list" allowBlank="1" sqref="B10" xr:uid="{00000000-0002-0000-0800-000000000000}">
      <formula1>"Minggu Ke-1,Minggu Ke-2,Minggu Ke-3,Minggu Ke-4,Minggu Ke-5,Minggu Ke-6,Minggu Ke-7,Minggu Ke-8,Minggu Ke-9,Minggu Ke-10,Minggu Ke-11,Minggu Ke-12,Minggu Ke-13,Minggu Ke-14,Minggu Ke-15,Minggu Ke-16"</formula1>
      <formula2>0</formula2>
    </dataValidation>
  </dataValidations>
  <printOptions horizontalCentered="1"/>
  <pageMargins left="0.25" right="0.25" top="0.75" bottom="0.75" header="0.511811023622047" footer="0.511811023622047"/>
  <pageSetup paperSize="8" scale="95" fitToHeight="0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zoomScaleNormal="100" workbookViewId="0">
      <selection activeCell="F5" sqref="F5"/>
    </sheetView>
  </sheetViews>
  <sheetFormatPr defaultColWidth="8.7109375" defaultRowHeight="12.75" x14ac:dyDescent="0.2"/>
  <cols>
    <col min="1" max="1" width="22" customWidth="1"/>
    <col min="2" max="2" width="14" customWidth="1"/>
    <col min="3" max="4" width="10" customWidth="1"/>
    <col min="5" max="5" width="14" customWidth="1"/>
    <col min="6" max="6" width="16" customWidth="1"/>
    <col min="7" max="7" width="14" customWidth="1"/>
    <col min="8" max="8" width="10" customWidth="1"/>
  </cols>
  <sheetData>
    <row r="1" spans="1:8" ht="15" customHeight="1" x14ac:dyDescent="0.2">
      <c r="A1" t="s">
        <v>759</v>
      </c>
    </row>
    <row r="2" spans="1:8" ht="15" customHeight="1" x14ac:dyDescent="0.2">
      <c r="A2" t="s">
        <v>760</v>
      </c>
    </row>
    <row r="4" spans="1:8" ht="15" customHeight="1" x14ac:dyDescent="0.2">
      <c r="A4" t="s">
        <v>761</v>
      </c>
      <c r="B4" t="s">
        <v>26</v>
      </c>
      <c r="C4" t="s">
        <v>762</v>
      </c>
      <c r="D4" t="s">
        <v>763</v>
      </c>
      <c r="E4" t="s">
        <v>764</v>
      </c>
      <c r="F4" t="s">
        <v>765</v>
      </c>
      <c r="G4" t="s">
        <v>766</v>
      </c>
      <c r="H4" t="s">
        <v>705</v>
      </c>
    </row>
    <row r="5" spans="1:8" ht="15" customHeight="1" x14ac:dyDescent="0.2">
      <c r="A5" t="s">
        <v>767</v>
      </c>
      <c r="B5" t="s">
        <v>768</v>
      </c>
      <c r="C5">
        <v>2</v>
      </c>
      <c r="D5" s="257">
        <v>0.1</v>
      </c>
      <c r="E5" s="257">
        <f ca="1">SUMPRODUCT(('BOBOT PEK'!$AA$9:$AA$256="")*ISNUMBER('BOBOT PEK'!$U$9:$U$256)*ISNUMBER('BOBOT PEK'!$V$9:$V$256)*(('BOBOT PEK'!$U$9:$U$256&lt;=$C5)*('BOBOT PEK'!$V$9:$V$256&gt;=$C5)*(($C5-'BOBOT PEK'!$U$9:$U$256+1)/('BOBOT PEK'!$V$9:$V$256-'BOBOT PEK'!$U$9:$U$256+1))+('BOBOT PEK'!$V$9:$V$256&lt;$C5)*1)*N('BOBOT PEK'!$J$9:$J$256))/100</f>
        <v>2.089339280872797E-2</v>
      </c>
      <c r="F5" s="257">
        <f ca="1">IF($C5&lt;='RENCANA MINGGUAN'!$J$7,'RENCANA MINGGUAN'!$H$10/100,"belum terjadi")</f>
        <v>0</v>
      </c>
      <c r="G5" s="257">
        <f ca="1">IF($C5&lt;='RENCANA MINGGUAN'!$J$7,F5-D5,E5-D5)</f>
        <v>-0.1</v>
      </c>
      <c r="H5" t="str">
        <f ca="1">IF($C5&lt;='RENCANA MINGGUAN'!$J$7,IF(F5&gt;=D5,"PASS (aktual)","FAIL (aktual)"),IF(E5&gt;=D5,"PASS (rencana)","FAIL (rencana)"))</f>
        <v>FAIL (aktual)</v>
      </c>
    </row>
    <row r="6" spans="1:8" ht="15" customHeight="1" x14ac:dyDescent="0.2">
      <c r="A6" t="s">
        <v>769</v>
      </c>
      <c r="B6" t="s">
        <v>770</v>
      </c>
      <c r="C6">
        <v>3</v>
      </c>
      <c r="D6" s="257">
        <v>0.15</v>
      </c>
      <c r="E6" s="257">
        <f ca="1">SUMPRODUCT(('BOBOT PEK'!$AA$9:$AA$256="")*ISNUMBER('BOBOT PEK'!$U$9:$U$256)*ISNUMBER('BOBOT PEK'!$V$9:$V$256)*(('BOBOT PEK'!$U$9:$U$256&lt;=$C6)*('BOBOT PEK'!$V$9:$V$256&gt;=$C6)*(($C6-'BOBOT PEK'!$U$9:$U$256+1)/('BOBOT PEK'!$V$9:$V$256-'BOBOT PEK'!$U$9:$U$256+1))+('BOBOT PEK'!$V$9:$V$256&lt;$C6)*1)*N('BOBOT PEK'!$J$9:$J$256))/100</f>
        <v>3.1340089213091941E-2</v>
      </c>
      <c r="F6" s="257">
        <f ca="1">IF($C6&lt;='RENCANA MINGGUAN'!$J$7,'RENCANA MINGGUAN'!$H$10/100,"belum terjadi")</f>
        <v>0</v>
      </c>
      <c r="G6" s="257">
        <f ca="1">IF($C6&lt;='RENCANA MINGGUAN'!$J$7,F6-D6,E6-D6)</f>
        <v>-0.15</v>
      </c>
      <c r="H6" t="str">
        <f ca="1">IF($C6&lt;='RENCANA MINGGUAN'!$J$7,IF(F6&gt;=D6,"PASS (aktual)","FAIL (aktual)"),IF(E6&gt;=D6,"PASS (rencana)","FAIL (rencana)"))</f>
        <v>FAIL (aktual)</v>
      </c>
    </row>
    <row r="7" spans="1:8" ht="15" customHeight="1" x14ac:dyDescent="0.2">
      <c r="A7" t="s">
        <v>771</v>
      </c>
      <c r="B7" t="s">
        <v>772</v>
      </c>
      <c r="C7">
        <v>4</v>
      </c>
      <c r="D7" s="257">
        <v>0.2</v>
      </c>
      <c r="E7" s="257">
        <f ca="1">SUMPRODUCT(('BOBOT PEK'!$AA$9:$AA$256="")*ISNUMBER('BOBOT PEK'!$U$9:$U$256)*ISNUMBER('BOBOT PEK'!$V$9:$V$256)*(('BOBOT PEK'!$U$9:$U$256&lt;=$C7)*('BOBOT PEK'!$V$9:$V$256&gt;=$C7)*(($C7-'BOBOT PEK'!$U$9:$U$256+1)/('BOBOT PEK'!$V$9:$V$256-'BOBOT PEK'!$U$9:$U$256+1))+('BOBOT PEK'!$V$9:$V$256&lt;$C7)*1)*N('BOBOT PEK'!$J$9:$J$256))/100</f>
        <v>5.1715715727726055E-2</v>
      </c>
      <c r="F7" s="257">
        <f ca="1">IF($C7&lt;='RENCANA MINGGUAN'!$J$7,'RENCANA MINGGUAN'!$H$10/100,"belum terjadi")</f>
        <v>0</v>
      </c>
      <c r="G7" s="257">
        <f ca="1">IF($C7&lt;='RENCANA MINGGUAN'!$J$7,F7-D7,E7-D7)</f>
        <v>-0.2</v>
      </c>
      <c r="H7" t="str">
        <f ca="1">IF($C7&lt;='RENCANA MINGGUAN'!$J$7,IF(F7&gt;=D7,"PASS (aktual)","FAIL (aktual)"),IF(E7&gt;=D7,"PASS (rencana)","FAIL (rencana)"))</f>
        <v>FAIL (aktual)</v>
      </c>
    </row>
    <row r="8" spans="1:8" ht="15" customHeight="1" x14ac:dyDescent="0.2">
      <c r="A8" t="s">
        <v>773</v>
      </c>
      <c r="B8" t="s">
        <v>774</v>
      </c>
      <c r="C8">
        <v>6</v>
      </c>
      <c r="D8" s="257">
        <v>0.35</v>
      </c>
      <c r="E8" s="257">
        <f ca="1">SUMPRODUCT(('BOBOT PEK'!$AA$9:$AA$256="")*ISNUMBER('BOBOT PEK'!$U$9:$U$256)*ISNUMBER('BOBOT PEK'!$V$9:$V$256)*(('BOBOT PEK'!$U$9:$U$256&lt;=$C8)*('BOBOT PEK'!$V$9:$V$256&gt;=$C8)*(($C8-'BOBOT PEK'!$U$9:$U$256+1)/('BOBOT PEK'!$V$9:$V$256-'BOBOT PEK'!$U$9:$U$256+1))+('BOBOT PEK'!$V$9:$V$256&lt;$C8)*1)*N('BOBOT PEK'!$J$9:$J$256))/100</f>
        <v>0.13476542930037833</v>
      </c>
      <c r="F8" s="257">
        <f ca="1">IF($C8&lt;='RENCANA MINGGUAN'!$J$7,'RENCANA MINGGUAN'!$H$10/100,"belum terjadi")</f>
        <v>0</v>
      </c>
      <c r="G8" s="257">
        <f ca="1">IF($C8&lt;='RENCANA MINGGUAN'!$J$7,F8-D8,E8-D8)</f>
        <v>-0.35</v>
      </c>
      <c r="H8" t="str">
        <f ca="1">IF($C8&lt;='RENCANA MINGGUAN'!$J$7,IF(F8&gt;=D8,"PASS (aktual)","FAIL (aktual)"),IF(E8&gt;=D8,"PASS (rencana)","FAIL (rencana)"))</f>
        <v>FAIL (aktual)</v>
      </c>
    </row>
    <row r="9" spans="1:8" ht="15" customHeight="1" x14ac:dyDescent="0.2">
      <c r="A9" t="s">
        <v>775</v>
      </c>
      <c r="B9" t="s">
        <v>776</v>
      </c>
      <c r="C9">
        <v>8</v>
      </c>
      <c r="D9" s="257">
        <v>0.5</v>
      </c>
      <c r="E9" s="257">
        <f ca="1">SUMPRODUCT(('BOBOT PEK'!$AA$9:$AA$256="")*ISNUMBER('BOBOT PEK'!$U$9:$U$256)*ISNUMBER('BOBOT PEK'!$V$9:$V$256)*(('BOBOT PEK'!$U$9:$U$256&lt;=$C9)*('BOBOT PEK'!$V$9:$V$256&gt;=$C9)*(($C9-'BOBOT PEK'!$U$9:$U$256+1)/('BOBOT PEK'!$V$9:$V$256-'BOBOT PEK'!$U$9:$U$256+1))+('BOBOT PEK'!$V$9:$V$256&lt;$C9)*1)*N('BOBOT PEK'!$J$9:$J$256))/100</f>
        <v>0.36095011203323163</v>
      </c>
      <c r="F9" s="257">
        <f ca="1">IF($C9&lt;='RENCANA MINGGUAN'!$J$7,'RENCANA MINGGUAN'!$H$10/100,"belum terjadi")</f>
        <v>0</v>
      </c>
      <c r="G9" s="257">
        <f ca="1">IF($C9&lt;='RENCANA MINGGUAN'!$J$7,F9-D9,E9-D9)</f>
        <v>-0.5</v>
      </c>
      <c r="H9" t="str">
        <f ca="1">IF($C9&lt;='RENCANA MINGGUAN'!$J$7,IF(F9&gt;=D9,"PASS (aktual)","FAIL (aktual)"),IF(E9&gt;=D9,"PASS (rencana)","FAIL (rencana)"))</f>
        <v>FAIL (aktual)</v>
      </c>
    </row>
    <row r="10" spans="1:8" ht="15" customHeight="1" x14ac:dyDescent="0.2">
      <c r="A10" t="s">
        <v>777</v>
      </c>
      <c r="B10" t="s">
        <v>778</v>
      </c>
      <c r="C10">
        <v>10</v>
      </c>
      <c r="D10" s="257">
        <v>0.65</v>
      </c>
      <c r="E10" s="257">
        <f ca="1">SUMPRODUCT(('BOBOT PEK'!$AA$9:$AA$256="")*ISNUMBER('BOBOT PEK'!$U$9:$U$256)*ISNUMBER('BOBOT PEK'!$V$9:$V$256)*(('BOBOT PEK'!$U$9:$U$256&lt;=$C10)*('BOBOT PEK'!$V$9:$V$256&gt;=$C10)*(($C10-'BOBOT PEK'!$U$9:$U$256+1)/('BOBOT PEK'!$V$9:$V$256-'BOBOT PEK'!$U$9:$U$256+1))+('BOBOT PEK'!$V$9:$V$256&lt;$C10)*1)*N('BOBOT PEK'!$J$9:$J$256))/100</f>
        <v>0.62593680998229473</v>
      </c>
      <c r="F10" s="257">
        <f ca="1">IF($C10&lt;='RENCANA MINGGUAN'!$J$7,'RENCANA MINGGUAN'!$H$10/100,"belum terjadi")</f>
        <v>0</v>
      </c>
      <c r="G10" s="257">
        <f ca="1">IF($C10&lt;='RENCANA MINGGUAN'!$J$7,F10-D10,E10-D10)</f>
        <v>-0.65</v>
      </c>
      <c r="H10" t="str">
        <f ca="1">IF($C10&lt;='RENCANA MINGGUAN'!$J$7,IF(F10&gt;=D10,"PASS (aktual)","FAIL (aktual)"),IF(E10&gt;=D10,"PASS (rencana)","FAIL (rencana)"))</f>
        <v>FAIL (aktual)</v>
      </c>
    </row>
    <row r="11" spans="1:8" ht="15" customHeight="1" x14ac:dyDescent="0.2">
      <c r="A11" t="s">
        <v>779</v>
      </c>
      <c r="B11" t="s">
        <v>780</v>
      </c>
      <c r="C11">
        <v>12</v>
      </c>
      <c r="D11" s="257">
        <v>0.8</v>
      </c>
      <c r="E11" s="257">
        <f ca="1">SUMPRODUCT(('BOBOT PEK'!$AA$9:$AA$256="")*ISNUMBER('BOBOT PEK'!$U$9:$U$256)*ISNUMBER('BOBOT PEK'!$V$9:$V$256)*(('BOBOT PEK'!$U$9:$U$256&lt;=$C11)*('BOBOT PEK'!$V$9:$V$256&gt;=$C11)*(($C11-'BOBOT PEK'!$U$9:$U$256+1)/('BOBOT PEK'!$V$9:$V$256-'BOBOT PEK'!$U$9:$U$256+1))+('BOBOT PEK'!$V$9:$V$256&lt;$C11)*1)*N('BOBOT PEK'!$J$9:$J$256))/100</f>
        <v>0.69249109856193369</v>
      </c>
      <c r="F11" s="257" t="str">
        <f ca="1">IF($C11&lt;='RENCANA MINGGUAN'!$J$7,'RENCANA MINGGUAN'!$H$10/100,"belum terjadi")</f>
        <v>belum terjadi</v>
      </c>
      <c r="G11" s="257">
        <f ca="1">IF($C11&lt;='RENCANA MINGGUAN'!$J$7,F11-D11,E11-D11)</f>
        <v>-0.10750890143806635</v>
      </c>
      <c r="H11" t="str">
        <f ca="1">IF($C11&lt;='RENCANA MINGGUAN'!$J$7,IF(F11&gt;=D11,"PASS (aktual)","FAIL (aktual)"),IF(E11&gt;=D11,"PASS (rencana)","FAIL (rencana)"))</f>
        <v>FAIL (rencana)</v>
      </c>
    </row>
    <row r="12" spans="1:8" ht="15" customHeight="1" x14ac:dyDescent="0.2">
      <c r="A12" t="s">
        <v>781</v>
      </c>
      <c r="B12" t="s">
        <v>782</v>
      </c>
      <c r="C12">
        <v>16</v>
      </c>
      <c r="D12" s="257">
        <v>1</v>
      </c>
      <c r="E12" s="257">
        <f ca="1">SUMPRODUCT(('BOBOT PEK'!$AA$9:$AA$256="")*ISNUMBER('BOBOT PEK'!$U$9:$U$256)*ISNUMBER('BOBOT PEK'!$V$9:$V$256)*(('BOBOT PEK'!$U$9:$U$256&lt;=$C12)*('BOBOT PEK'!$V$9:$V$256&gt;=$C12)*(($C12-'BOBOT PEK'!$U$9:$U$256+1)/('BOBOT PEK'!$V$9:$V$256-'BOBOT PEK'!$U$9:$U$256+1))+('BOBOT PEK'!$V$9:$V$256&lt;$C12)*1)*N('BOBOT PEK'!$J$9:$J$256))/100</f>
        <v>0.7777458874106099</v>
      </c>
      <c r="F12" s="257" t="str">
        <f ca="1">IF($C12&lt;='RENCANA MINGGUAN'!$J$7,'RENCANA MINGGUAN'!$H$10/100,"belum terjadi")</f>
        <v>belum terjadi</v>
      </c>
      <c r="G12" s="257">
        <f ca="1">IF($C12&lt;='RENCANA MINGGUAN'!$J$7,F12-D12,E12-D12)</f>
        <v>-0.2222541125893901</v>
      </c>
      <c r="H12" t="str">
        <f ca="1">IF($C12&lt;='RENCANA MINGGUAN'!$J$7,IF(F12&gt;=D12,"PASS (aktual)","FAIL (aktual)"),IF(E12&gt;=D12,"PASS (rencana)","FAIL (rencana)"))</f>
        <v>FAIL (rencana)</v>
      </c>
    </row>
    <row r="14" spans="1:8" ht="15" customHeight="1" x14ac:dyDescent="0.2">
      <c r="A14" t="s">
        <v>783</v>
      </c>
    </row>
    <row r="15" spans="1:8" ht="15" customHeight="1" x14ac:dyDescent="0.2">
      <c r="A15" t="s">
        <v>784</v>
      </c>
    </row>
    <row r="16" spans="1:8" ht="15" customHeight="1" x14ac:dyDescent="0.2">
      <c r="A16" t="s">
        <v>785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README CARA PAKAI</vt:lpstr>
      <vt:lpstr>RAB UPDATE</vt:lpstr>
      <vt:lpstr>BOBOT PEK</vt:lpstr>
      <vt:lpstr>TS INTERNAL LAPANGAN</vt:lpstr>
      <vt:lpstr>TS</vt:lpstr>
      <vt:lpstr>KALENDER MINGGU</vt:lpstr>
      <vt:lpstr>PRODUKTIVITAS HARIAN</vt:lpstr>
      <vt:lpstr>RENCANA MINGGUAN</vt:lpstr>
      <vt:lpstr>CETAK RENCANA MINGGUAN</vt:lpstr>
      <vt:lpstr>VALIDASI TERMIN</vt:lpstr>
      <vt:lpstr>'CETAK RENCANA MINGGUAN'!Print_Area</vt:lpstr>
      <vt:lpstr>'KALENDER MINGGU'!Print_Area</vt:lpstr>
      <vt:lpstr>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dc:description/>
  <cp:lastModifiedBy>Ryan</cp:lastModifiedBy>
  <cp:revision>27</cp:revision>
  <cp:lastPrinted>2026-09-28T02:34:49Z</cp:lastPrinted>
  <dcterms:created xsi:type="dcterms:W3CDTF">2026-07-22T08:22:23Z</dcterms:created>
  <dcterms:modified xsi:type="dcterms:W3CDTF">2026-09-28T02:40:19Z</dcterms:modified>
  <dc:language>en-US</dc:language>
</cp:coreProperties>
</file>